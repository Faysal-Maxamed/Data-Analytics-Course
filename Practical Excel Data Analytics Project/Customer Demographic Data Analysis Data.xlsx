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3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12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<sst xmlns="http://schemas.openxmlformats.org/spreadsheetml/2006/main" count="2444" uniqueCount="375">
  <si>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</si>
  <si>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</si>
  <si>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</si>
  <si>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</si>
  <si>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</si>
  <si>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</si>
  <si>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</si>
  <si>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</si>
  <si>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</si>
  <si>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</si>
  <si>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</si>
  <si>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</si>
  <si>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</si>
  <si>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</si>
  <si>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</si>
  <si>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</si>
  <si>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</si>
  <si>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</si>
  <si>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</si>
  <si>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</si>
  <si>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</si>
  <si>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</si>
  <si>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</si>
  <si>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</si>
  <si>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</si>
  <si>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</si>
  <si>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</si>
  <si>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</si>
  <si>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</si>
  <si>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</si>
  <si>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</si>
  <si>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</si>
  <si>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</si>
  <si>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</si>
  <si>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</si>
  <si>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</si>
  <si>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</si>
  <si>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</si>
  <si>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</si>
  <si>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</si>
  <si>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</si>
  <si>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</si>
  <si>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</si>
  <si>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</si>
  <si>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</si>
  <si>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</si>
  <si>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</si>
  <si>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</si>
  <si>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</si>
  <si>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</si>
  <si>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</si>
  <si>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</si>
  <si>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</si>
  <si>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</si>
  <si>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</si>
  <si>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</si>
  <si>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</si>
  <si>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</si>
  <si>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</si>
  <si>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</si>
  <si>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</si>
  <si>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</si>
  <si>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</si>
  <si>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</si>
  <si>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</si>
  <si>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</si>
  <si>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</si>
  <si>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</si>
  <si>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</si>
  <si>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</si>
  <si>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</si>
  <si>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</si>
  <si>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</si>
  <si>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</si>
  <si>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</si>
  <si>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</si>
  <si>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</si>
  <si>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</si>
  <si>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</si>
  <si>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</si>
  <si>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</si>
  <si>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</si>
  <si>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</si>
  <si>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</si>
  <si>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</si>
  <si>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</si>
  <si>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</si>
  <si>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</si>
  <si>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</si>
  <si>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</si>
  <si>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</si>
  <si>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</si>
  <si>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</si>
  <si>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</si>
  <si>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</si>
  <si>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</si>
  <si>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</si>
  <si>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</si>
  <si>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</si>
  <si>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</si>
  <si>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</si>
  <si>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</si>
  <si>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</si>
  <si>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</si>
  <si>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</si>
  <si>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</si>
  <si>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</si>
  <si>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</si>
  <si>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</si>
  <si>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</si>
  <si>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</si>
  <si>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</si>
  <si>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</si>
  <si>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</si>
  <si>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</si>
  <si>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</si>
  <si>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</si>
  <si>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</si>
  <si>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</si>
  <si>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</si>
  <si>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</si>
  <si>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</si>
  <si>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</si>
  <si>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</si>
  <si>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</si>
  <si>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</si>
  <si>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</si>
  <si>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</si>
  <si>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</si>
  <si>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</si>
  <si>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</si>
  <si>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</si>
  <si>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</si>
  <si>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</si>
  <si>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</si>
  <si>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</si>
  <si>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</si>
  <si>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</si>
  <si>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</si>
  <si>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</si>
  <si>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</si>
  <si>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</si>
  <si>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</si>
  <si>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</si>
  <si>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</si>
  <si>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</si>
  <si>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</si>
  <si>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</si>
  <si>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</si>
  <si>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</si>
  <si>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</si>
  <si>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</si>
  <si>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</si>
  <si>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</si>
  <si>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</si>
  <si>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</si>
  <si>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</si>
  <si>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</si>
  <si>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</si>
  <si>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</si>
  <si>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</si>
  <si>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</si>
  <si>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</si>
  <si>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</si>
  <si>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</si>
  <si>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</si>
  <si>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</si>
  <si>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</si>
  <si>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</si>
  <si>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</si>
  <si>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</si>
  <si>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</si>
  <si>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</si>
  <si>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</si>
  <si>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</si>
  <si>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</si>
  <si>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</si>
  <si>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</si>
  <si>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</si>
  <si>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</si>
  <si>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</si>
  <si>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</si>
  <si>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</si>
  <si>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</si>
  <si>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</si>
  <si>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</si>
  <si>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</si>
  <si>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</si>
  <si>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</si>
  <si>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</si>
  <si>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</si>
  <si>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</si>
  <si>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</si>
  <si>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</si>
  <si>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</si>
  <si>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</si>
  <si>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</si>
  <si>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</si>
  <si>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</si>
  <si>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</si>
  <si>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</si>
  <si>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</si>
  <si>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</si>
  <si>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</si>
  <si>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</si>
  <si>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</si>
  <si>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</si>
  <si>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</si>
  <si>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</si>
  <si>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</si>
  <si>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</si>
  <si>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</si>
  <si>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</si>
  <si>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</si>
  <si>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</si>
  <si>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</si>
  <si>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</si>
  <si>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</si>
  <si>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</si>
  <si>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</si>
  <si>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</si>
  <si>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</si>
  <si>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</si>
  <si>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</si>
  <si>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</si>
  <si>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</si>
  <si>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</si>
  <si>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</si>
  <si>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</si>
  <si>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</si>
  <si>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</si>
  <si>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</si>
  <si>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</si>
  <si>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</si>
  <si>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</si>
  <si>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</si>
  <si>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</si>
  <si>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</si>
  <si>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</si>
  <si>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</si>
  <si>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</si>
  <si>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</si>
  <si>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</si>
  <si>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</si>
  <si>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</si>
  <si>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</si>
  <si>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</si>
  <si>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</si>
  <si>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</si>
  <si>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</si>
  <si>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</si>
  <si>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</si>
  <si>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</si>
  <si>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</si>
  <si>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</si>
  <si>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</si>
  <si>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</si>
  <si>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</si>
  <si>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</si>
  <si>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</si>
  <si>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</si>
  <si>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</si>
  <si>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</si>
  <si>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</si>
  <si>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</si>
  <si>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</si>
  <si>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</si>
  <si>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</si>
  <si>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</si>
  <si>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</si>
  <si>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</si>
  <si>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</si>
  <si>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</si>
  <si>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</si>
  <si>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</si>
  <si>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</si>
  <si>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</si>
  <si>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</si>
  <si>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</si>
  <si>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</si>
  <si>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</si>
  <si>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</si>
  <si>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</si>
  <si>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</si>
  <si>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</si>
  <si>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</si>
  <si>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</si>
  <si>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</si>
  <si>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</si>
  <si>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</si>
  <si>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</si>
  <si>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</si>
  <si>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</si>
  <si>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</si>
  <si>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</si>
  <si>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</si>
  <si>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</si>
  <si>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</si>
  <si>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</si>
  <si>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</si>
  <si>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</si>
  <si>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</si>
  <si>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</si>
  <si>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</si>
  <si>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</si>
  <si>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</si>
  <si>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</si>
  <si>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</si>
  <si>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</si>
  <si>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</si>
  <si>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</si>
  <si>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</si>
  <si>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</si>
  <si>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</si>
  <si>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</si>
  <si>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</si>
  <si>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</si>
  <si>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</si>
  <si>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</si>
  <si>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</si>
  <si>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</si>
  <si>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</si>
  <si>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</si>
  <si>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</si>
  <si>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</si>
  <si>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</si>
  <si>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</si>
  <si>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</si>
  <si>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</si>
  <si>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</si>
  <si>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</si>
  <si>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</si>
  <si>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</si>
  <si>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</si>
  <si>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</si>
  <si>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</si>
  <si>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</si>
  <si>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</si>
  <si>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</si>
  <si>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</si>
  <si>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</si>
  <si>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</si>
  <si>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</si>
  <si>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</si>
  <si>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</si>
  <si>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</si>
  <si>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</si>
  <si>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</si>
  <si>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</si>
  <si>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</si>
  <si>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</si>
  <si>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</si>
  <si>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</si>
  <si>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</si>
  <si>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</si>
  <si>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</si>
  <si>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</si>
  <si>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</si>
  <si>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</si>
  <si>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</si>
  <si>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</si>
  <si>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</si>
  <si>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</si>
  <si>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</si>
  <si>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</si>
  <si>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</si>
  <si>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</si>
  <si>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Column Labels</t>
  </si>
  <si>
    <t>Sum of Monthly_Income</t>
  </si>
  <si>
    <t>High</t>
  </si>
  <si>
    <t>Low</t>
  </si>
  <si>
    <t>Medium</t>
  </si>
  <si>
    <t>Count of Customer_ID</t>
  </si>
  <si>
    <t>(All)</t>
  </si>
  <si>
    <t>Average of Monthly_Income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</si>
</sst>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Total Income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Income by Occupation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dLbl>
          <c:idx val="0"/>
          <c:layout>
            <c:manualLayout>
              <c:x val="1.3888888888888888E-2"/>
              <c:y val="-0.319444444444444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dLbl>
          <c:idx val="0"/>
          <c:layout>
            <c:manualLayout>
              <c:x val="1.1111111111111112E-2"/>
              <c:y val="-0.18055555555555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4"/>
        <c:dLbl>
          <c:idx val="0"/>
          <c:layout>
            <c:manualLayout>
              <c:x val="2.7777777777777779E-3"/>
              <c:y val="-6.4814814814814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5"/>
        <c:dLbl>
          <c:idx val="0"/>
          <c:layout>
            <c:manualLayout>
              <c:x val="0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6"/>
        <c:dLbl>
          <c:idx val="0"/>
          <c:layout>
            <c:manualLayout>
              <c:x val="1.6666666666666566E-2"/>
              <c:y val="-0.236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dLbl>
          <c:idx val="0"/>
          <c:layout>
            <c:manualLayout>
              <c:x val="-1.0185067526415994E-16"/>
              <c:y val="-9.25925925925926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dLbl>
          <c:idx val="0"/>
          <c:layout>
            <c:manualLayout>
              <c:x val="1.3888888888888888E-2"/>
              <c:y val="-0.231481481481481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9"/>
        <c:dLbl>
          <c:idx val="0"/>
          <c:layout>
            <c:manualLayout>
              <c:x val="-2.7777777777777779E-3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0"/>
        <c:dLbl>
          <c:idx val="0"/>
          <c:layout>
            <c:manualLayout>
              <c:x val="8.3333333333333332E-3"/>
              <c:y val="-0.1851851851851852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PivotTables!$A$28:$A$36</c:f>
              <c:strCache>
                <c:ptCount val="8"/>
                <c:pt idx="0">
                  <c:v>Business Owner</c:v>
                </c:pt>
                <c:pt idx="1">
                  <c:v>Civil Servant</c:v>
                </c:pt>
                <c:pt idx="2">
                  <c:v>Engineer</c:v>
                </c:pt>
                <c:pt idx="3">
                  <c:v>Healthcare</c:v>
                </c:pt>
                <c:pt idx="4">
                  <c:v>Missing</c:v>
                </c:pt>
                <c:pt idx="5">
                  <c:v>Self-Employed</c:v>
                </c:pt>
                <c:pt idx="6">
                  <c:v>Student</c:v>
                </c:pt>
                <c:pt idx="7">
                  <c:v>Teacher</c:v>
                </c:pt>
              </c:strCache>
            </c:strRef>
          </c:cat>
          <c:val>
            <c:numRef>
              <c:f>PivotTables!$B$28:$B$36</c:f>
              <c:numCache>
                <c:formatCode>General</c:formatCode>
                <c:ptCount val="8"/>
                <c:pt idx="0">
                  <c:v>63062.01</c:v>
                </c:pt>
                <c:pt idx="1">
                  <c:v>30275.03000000001</c:v>
                </c:pt>
                <c:pt idx="2">
                  <c:v>43298.039999999994</c:v>
                </c:pt>
                <c:pt idx="3">
                  <c:v>41695.880000000005</c:v>
                </c:pt>
                <c:pt idx="4">
                  <c:v>9200.06</c:v>
                </c:pt>
                <c:pt idx="5">
                  <c:v>42372.009999999995</c:v>
                </c:pt>
                <c:pt idx="6">
                  <c:v>11241.05</c:v>
                </c:pt>
                <c:pt idx="7">
                  <c:v>29549.109999999993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2-43F0-9255-F974DF501E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01217007"/>
        <c:axId val="1701212847"/>
      </c:barChart>
      <c:catAx>
        <c:axId val="1701217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2847"/>
        <c:crosses val="autoZero"/>
        <c:auto val="1"/>
        <c:lblAlgn val="ctr"/>
        <c:lblOffset val="100"/>
        <c:noMultiLvlLbl val="0"/>
      </c:catAx>
      <c:valAx>
        <c:axId val="17012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 Gender × City (Rows + Columns)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PivotTables!$L$6:$L$7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PivotTables!$L$8:$L$15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10</c:v>
                </c:pt>
                <c:pt idx="3">
                  <c:v>23</c:v>
                </c:pt>
                <c:pt idx="4">
                  <c:v>14</c:v>
                </c:pt>
                <c:pt idx="5">
                  <c:v>10</c:v>
                </c:pt>
                <c:pt idx="6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A-488C-BB5E-38EE7C9EA65C}"/>
            </c:ext>
          </c:extLst>
        </c:ser>
        <c:ser>
          <c:idx val="1"/>
          <c:order val="1"/>
          <c:tx>
            <c:strRef>
              <c:f>PivotTables!$M$6:$M$7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PivotTables!$M$8:$M$15</c:f>
              <c:numCache>
                <c:formatCode>General</c:formatCode>
                <c:ptCount val="7"/>
                <c:pt idx="0">
                  <c:v>9</c:v>
                </c:pt>
                <c:pt idx="1">
                  <c:v>16</c:v>
                </c:pt>
                <c:pt idx="2">
                  <c:v>10</c:v>
                </c:pt>
                <c:pt idx="3">
                  <c:v>19</c:v>
                </c:pt>
                <c:pt idx="4">
                  <c:v>19</c:v>
                </c:pt>
                <c:pt idx="5">
                  <c:v>6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A-488C-BB5E-38EE7C9EA65C}"/>
            </c:ext>
          </c:extLst>
        </c:ser>
        <c:ser>
          <c:idx val="2"/>
          <c:order val="2"/>
          <c:tx>
            <c:strRef>
              <c:f>PivotTables!$N$6:$N$7</c:f>
              <c:strCache>
                <c:ptCount val="1"/>
                <c:pt idx="0">
                  <c:v>Missing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PivotTables!$N$8:$N$15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A-488C-BB5E-38EE7C9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634287"/>
        <c:axId val="1906618895"/>
      </c:barChart>
      <c:catAx>
        <c:axId val="190663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18895"/>
        <c:crosses val="autoZero"/>
        <c:auto val="1"/>
        <c:lblAlgn val="ctr"/>
        <c:lblOffset val="100"/>
        <c:noMultiLvlLbl val="0"/>
      </c:catAx>
      <c:valAx>
        <c:axId val="19066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Income Level by City — Customer Count &amp; Average Income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PivotTables!$L$33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PivotTables!$L$34:$L$37</c:f>
              <c:numCache>
                <c:formatCode>General</c:formatCode>
                <c:ptCount val="3"/>
                <c:pt idx="0">
                  <c:v>20</c:v>
                </c:pt>
                <c:pt idx="1">
                  <c:v>128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F01-B14B-128E60129C59}"/>
            </c:ext>
          </c:extLst>
        </c:ser>
        <c:ser>
          <c:idx val="1"/>
          <c:order val="1"/>
          <c:tx>
            <c:strRef>
              <c:f>PivotTables!$M$33</c:f>
              <c:strCache>
                <c:ptCount val="1"/>
                <c:pt idx="0">
                  <c:v>Average of Monthly_Income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PivotTables!$M$34:$M$37</c:f>
              <c:numCache>
                <c:formatCode>General</c:formatCode>
                <c:ptCount val="3"/>
                <c:pt idx="0">
                  <c:v>2563.3863636363635</c:v>
                </c:pt>
                <c:pt idx="1">
                  <c:v>518.12446969696919</c:v>
                </c:pt>
                <c:pt idx="2">
                  <c:v>1049.6853237410066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E-4F01-B14B-128E60129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192703"/>
        <c:axId val="1906203519"/>
      </c:barChart>
      <c:catAx>
        <c:axId val="190619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203519"/>
        <c:crosses val="autoZero"/>
        <c:auto val="1"/>
        <c:lblAlgn val="ctr"/>
        <c:lblOffset val="100"/>
        <c:noMultiLvlLbl val="0"/>
      </c:catAx>
      <c:valAx>
        <c:axId val="190620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9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95249</xdr:rowOff>
    </xdr:from>
    <xdr:to>
      <xdr:col>7</xdr:col>
      <xdr:colOff>438150</xdr:colOff>
      <xdr:row>21</xdr:row>
      <xdr:rowOff>9524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133350</xdr:rowOff>
    </xdr:from>
    <xdr:to>
      <xdr:col>5</xdr:col>
      <xdr:colOff>381000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495299</xdr:colOff>
      <xdr:row>3</xdr:row>
      <xdr:rowOff>85724</xdr:rowOff>
    </xdr:from>
    <xdr:to>
      <xdr:col>16</xdr:col>
      <xdr:colOff>438150</xdr:colOff>
      <xdr:row>20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25</xdr:row>
      <xdr:rowOff>89647</xdr:rowOff>
    </xdr:from>
    <xdr:to>
      <xdr:col>16</xdr:col>
      <xdr:colOff>0</xdr:colOff>
      <xdr:row>39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 count="8">
        <s v="Business Owner"/>
        <s v="Healthcare"/>
        <s v="Engineer"/>
        <s v="Civil Servant"/>
        <s v="Student"/>
        <s v="Teacher"/>
        <s v="Self-Employed"/>
        <s v="Missing"/>
      </sharedItems>
    </cacheField>
    <cacheField name="Income_Level" numFmtId="0">
      <sharedItems count="3">
        <s v="Medium"/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x v="0"/>
    <x v="0"/>
  </r>
  <r>
    <s v="CUS00196"/>
    <d v="2025-01-05T00:00:00"/>
    <x v="1"/>
    <n v="33"/>
    <x v="1"/>
    <x v="1"/>
    <x v="1"/>
    <s v="Male"/>
    <s v="Mogadishu"/>
    <x v="1"/>
    <x v="0"/>
  </r>
  <r>
    <s v="CUS00115"/>
    <d v="2025-01-07T00:00:00"/>
    <x v="1"/>
    <n v="30"/>
    <x v="2"/>
    <x v="2"/>
    <x v="2"/>
    <s v="Male"/>
    <s v="Baidoa"/>
    <x v="2"/>
    <x v="1"/>
  </r>
  <r>
    <s v="CUS00006"/>
    <d v="2025-01-08T00:00:00"/>
    <x v="0"/>
    <n v="40"/>
    <x v="3"/>
    <x v="3"/>
    <x v="3"/>
    <s v="Female"/>
    <s v="Bosaso"/>
    <x v="3"/>
    <x v="1"/>
  </r>
  <r>
    <s v="CUS00103"/>
    <d v="2025-01-08T00:00:00"/>
    <x v="1"/>
    <n v="66"/>
    <x v="4"/>
    <x v="0"/>
    <x v="4"/>
    <s v="Male"/>
    <s v="Hargeisa"/>
    <x v="0"/>
    <x v="2"/>
  </r>
  <r>
    <s v="CUS00157"/>
    <d v="2025-01-10T00:00:00"/>
    <x v="0"/>
    <n v="51"/>
    <x v="1"/>
    <x v="0"/>
    <x v="5"/>
    <s v="Female"/>
    <s v="Mogadishu"/>
    <x v="0"/>
    <x v="2"/>
  </r>
  <r>
    <s v="CUS00076"/>
    <d v="2025-01-10T00:00:00"/>
    <x v="1"/>
    <n v="62"/>
    <x v="1"/>
    <x v="2"/>
    <x v="6"/>
    <s v="Male"/>
    <s v="Mogadishu"/>
    <x v="2"/>
    <x v="0"/>
  </r>
  <r>
    <s v="CUS00067"/>
    <d v="2025-01-13T00:00:00"/>
    <x v="1"/>
    <n v="19"/>
    <x v="5"/>
    <x v="4"/>
    <x v="7"/>
    <s v="Male"/>
    <s v="Kismayo"/>
    <x v="4"/>
    <x v="1"/>
  </r>
  <r>
    <s v="CUS00287"/>
    <d v="2025-01-14T00:00:00"/>
    <x v="0"/>
    <n v="19"/>
    <x v="1"/>
    <x v="4"/>
    <x v="8"/>
    <s v="Female"/>
    <s v="Mogadishu"/>
    <x v="4"/>
    <x v="0"/>
  </r>
  <r>
    <s v="CUS00257"/>
    <d v="2025-01-16T00:00:00"/>
    <x v="1"/>
    <n v="43"/>
    <x v="4"/>
    <x v="4"/>
    <x v="9"/>
    <s v="Male"/>
    <s v="Hargeisa"/>
    <x v="4"/>
    <x v="1"/>
  </r>
  <r>
    <s v="CUS00279"/>
    <d v="2025-01-17T00:00:00"/>
    <x v="2"/>
    <n v="18"/>
    <x v="6"/>
    <x v="4"/>
    <x v="10"/>
    <s v="Missing"/>
    <s v="Garowe"/>
    <x v="4"/>
    <x v="1"/>
  </r>
  <r>
    <s v="CUS00270"/>
    <d v="2025-01-19T00:00:00"/>
    <x v="1"/>
    <n v="44"/>
    <x v="1"/>
    <x v="0"/>
    <x v="11"/>
    <s v="Male"/>
    <s v="Mogadishu"/>
    <x v="0"/>
    <x v="0"/>
  </r>
  <r>
    <s v="CUS00005"/>
    <d v="2025-01-20T00:00:00"/>
    <x v="1"/>
    <n v="49"/>
    <x v="1"/>
    <x v="1"/>
    <x v="12"/>
    <s v="Male"/>
    <s v="Mogadishu"/>
    <x v="1"/>
    <x v="0"/>
  </r>
  <r>
    <s v="CUS00186"/>
    <d v="2025-01-21T00:00:00"/>
    <x v="1"/>
    <n v="53"/>
    <x v="4"/>
    <x v="2"/>
    <x v="13"/>
    <s v="Male"/>
    <s v="Hargeisa"/>
    <x v="2"/>
    <x v="0"/>
  </r>
  <r>
    <s v="CUS00252"/>
    <d v="2025-01-22T00:00:00"/>
    <x v="0"/>
    <n v="70"/>
    <x v="1"/>
    <x v="0"/>
    <x v="14"/>
    <s v="Female"/>
    <s v="Mogadishu"/>
    <x v="0"/>
    <x v="2"/>
  </r>
  <r>
    <s v="CUS00030"/>
    <d v="2025-01-23T00:00:00"/>
    <x v="0"/>
    <n v="28"/>
    <x v="2"/>
    <x v="1"/>
    <x v="15"/>
    <s v="Female"/>
    <s v="Baidoa"/>
    <x v="1"/>
    <x v="0"/>
  </r>
  <r>
    <s v="CUS00235"/>
    <d v="2025-01-24T00:00:00"/>
    <x v="0"/>
    <n v="19"/>
    <x v="6"/>
    <x v="5"/>
    <x v="16"/>
    <s v="Female"/>
    <s v="Garowe"/>
    <x v="5"/>
    <x v="1"/>
  </r>
  <r>
    <s v="CUS00052"/>
    <d v="2025-01-25T00:00:00"/>
    <x v="0"/>
    <n v="63"/>
    <x v="1"/>
    <x v="1"/>
    <x v="17"/>
    <s v="Female"/>
    <s v="Mogadishu"/>
    <x v="1"/>
    <x v="0"/>
  </r>
  <r>
    <s v="CUS00058"/>
    <d v="2025-02-03T00:00:00"/>
    <x v="1"/>
    <n v="20"/>
    <x v="0"/>
    <x v="5"/>
    <x v="18"/>
    <s v="Male"/>
    <s v="Missing"/>
    <x v="5"/>
    <x v="1"/>
  </r>
  <r>
    <s v="CUS00181"/>
    <d v="2025-02-03T00:00:00"/>
    <x v="1"/>
    <n v="26"/>
    <x v="1"/>
    <x v="2"/>
    <x v="19"/>
    <s v="Male"/>
    <s v="Mogadishu"/>
    <x v="2"/>
    <x v="0"/>
  </r>
  <r>
    <s v="CUS00206"/>
    <d v="2025-02-06T00:00:00"/>
    <x v="0"/>
    <n v="20"/>
    <x v="1"/>
    <x v="3"/>
    <x v="8"/>
    <s v="Female"/>
    <s v="Mogadishu"/>
    <x v="3"/>
    <x v="0"/>
  </r>
  <r>
    <s v="CUS00230"/>
    <d v="2025-02-08T00:00:00"/>
    <x v="0"/>
    <n v="62"/>
    <x v="4"/>
    <x v="4"/>
    <x v="20"/>
    <s v="Female"/>
    <s v="Hargeisa"/>
    <x v="4"/>
    <x v="1"/>
  </r>
  <r>
    <s v="CUS00025"/>
    <d v="2025-02-15T00:00:00"/>
    <x v="1"/>
    <n v="52"/>
    <x v="4"/>
    <x v="6"/>
    <x v="21"/>
    <s v="Male"/>
    <s v="Hargeisa"/>
    <x v="6"/>
    <x v="0"/>
  </r>
  <r>
    <s v="CUS00211"/>
    <d v="2025-02-15T00:00:00"/>
    <x v="1"/>
    <n v="66"/>
    <x v="4"/>
    <x v="1"/>
    <x v="22"/>
    <s v="Male"/>
    <s v="Hargeisa"/>
    <x v="1"/>
    <x v="0"/>
  </r>
  <r>
    <s v="CUS00207"/>
    <d v="2025-02-17T00:00:00"/>
    <x v="1"/>
    <n v="52"/>
    <x v="6"/>
    <x v="7"/>
    <x v="23"/>
    <s v="Male"/>
    <s v="Garowe"/>
    <x v="7"/>
    <x v="1"/>
  </r>
  <r>
    <s v="CUS00203"/>
    <d v="2025-02-18T00:00:00"/>
    <x v="0"/>
    <n v="35"/>
    <x v="2"/>
    <x v="3"/>
    <x v="24"/>
    <s v="Female"/>
    <s v="Baidoa"/>
    <x v="3"/>
    <x v="1"/>
  </r>
  <r>
    <s v="CUS00202"/>
    <d v="2025-02-21T00:00:00"/>
    <x v="1"/>
    <n v="44"/>
    <x v="3"/>
    <x v="5"/>
    <x v="25"/>
    <s v="Male"/>
    <s v="Bosaso"/>
    <x v="5"/>
    <x v="1"/>
  </r>
  <r>
    <s v="CUS00223"/>
    <d v="2025-02-27T00:00:00"/>
    <x v="0"/>
    <n v="34"/>
    <x v="5"/>
    <x v="6"/>
    <x v="26"/>
    <s v="Female"/>
    <s v="Kismayo"/>
    <x v="6"/>
    <x v="0"/>
  </r>
  <r>
    <s v="CUS00231"/>
    <d v="2025-02-27T00:00:00"/>
    <x v="1"/>
    <n v="54"/>
    <x v="1"/>
    <x v="0"/>
    <x v="8"/>
    <s v="Male"/>
    <s v="Mogadishu"/>
    <x v="0"/>
    <x v="0"/>
  </r>
  <r>
    <s v="CUS00292"/>
    <d v="2025-03-03T00:00:00"/>
    <x v="1"/>
    <n v="46"/>
    <x v="0"/>
    <x v="5"/>
    <x v="27"/>
    <s v="Male"/>
    <s v="Missing"/>
    <x v="5"/>
    <x v="1"/>
  </r>
  <r>
    <s v="CUS00156"/>
    <d v="2025-03-04T00:00:00"/>
    <x v="0"/>
    <n v="37"/>
    <x v="1"/>
    <x v="0"/>
    <x v="28"/>
    <s v="Female"/>
    <s v="Mogadishu"/>
    <x v="0"/>
    <x v="2"/>
  </r>
  <r>
    <s v="CUS00072"/>
    <d v="2025-03-05T00:00:00"/>
    <x v="2"/>
    <n v="29"/>
    <x v="1"/>
    <x v="2"/>
    <x v="29"/>
    <s v="Missing"/>
    <s v="Mogadishu"/>
    <x v="2"/>
    <x v="2"/>
  </r>
  <r>
    <s v="CUS00173"/>
    <d v="2025-03-07T00:00:00"/>
    <x v="2"/>
    <n v="59"/>
    <x v="4"/>
    <x v="6"/>
    <x v="30"/>
    <s v="Missing"/>
    <s v="Hargeisa"/>
    <x v="6"/>
    <x v="0"/>
  </r>
  <r>
    <m/>
    <d v="2025-03-12T00:00:00"/>
    <x v="1"/>
    <n v="21"/>
    <x v="5"/>
    <x v="1"/>
    <x v="31"/>
    <s v="Male"/>
    <s v="Kismayo"/>
    <x v="1"/>
    <x v="0"/>
  </r>
  <r>
    <s v="CUS00218"/>
    <d v="2025-03-13T00:00:00"/>
    <x v="0"/>
    <n v="44"/>
    <x v="2"/>
    <x v="2"/>
    <x v="32"/>
    <s v="Female"/>
    <s v="Baidoa"/>
    <x v="2"/>
    <x v="0"/>
  </r>
  <r>
    <s v="CUS00137"/>
    <d v="2025-03-15T00:00:00"/>
    <x v="1"/>
    <n v="42"/>
    <x v="1"/>
    <x v="1"/>
    <x v="33"/>
    <s v="Male"/>
    <s v="Mogadishu"/>
    <x v="1"/>
    <x v="0"/>
  </r>
  <r>
    <s v="CUS00208"/>
    <d v="2025-03-15T00:00:00"/>
    <x v="0"/>
    <n v="66"/>
    <x v="4"/>
    <x v="6"/>
    <x v="34"/>
    <s v="Female"/>
    <s v="Hargeisa"/>
    <x v="6"/>
    <x v="1"/>
  </r>
  <r>
    <s v="CUS00259"/>
    <d v="2025-03-16T00:00:00"/>
    <x v="1"/>
    <n v="21"/>
    <x v="1"/>
    <x v="7"/>
    <x v="35"/>
    <s v="Male"/>
    <s v="Mogadishu"/>
    <x v="7"/>
    <x v="0"/>
  </r>
  <r>
    <s v="CUS00136"/>
    <d v="2025-03-18T00:00:00"/>
    <x v="1"/>
    <n v="32"/>
    <x v="2"/>
    <x v="3"/>
    <x v="36"/>
    <s v="Male"/>
    <s v="Baidoa"/>
    <x v="3"/>
    <x v="1"/>
  </r>
  <r>
    <s v="CUS00081"/>
    <d v="2025-03-19T00:00:00"/>
    <x v="0"/>
    <n v="61"/>
    <x v="0"/>
    <x v="4"/>
    <x v="37"/>
    <s v="Female"/>
    <s v="Missing"/>
    <x v="4"/>
    <x v="1"/>
  </r>
  <r>
    <s v="CUS00111"/>
    <d v="2025-03-25T00:00:00"/>
    <x v="0"/>
    <n v="48"/>
    <x v="2"/>
    <x v="3"/>
    <x v="38"/>
    <s v="Female"/>
    <s v="Baidoa"/>
    <x v="3"/>
    <x v="1"/>
  </r>
  <r>
    <s v="CUS00138"/>
    <d v="2025-03-26T00:00:00"/>
    <x v="0"/>
    <n v="22"/>
    <x v="4"/>
    <x v="0"/>
    <x v="39"/>
    <s v="Female"/>
    <s v="Hargeisa"/>
    <x v="0"/>
    <x v="2"/>
  </r>
  <r>
    <s v="CUS00276"/>
    <d v="2025-03-28T00:00:00"/>
    <x v="1"/>
    <n v="20"/>
    <x v="4"/>
    <x v="3"/>
    <x v="40"/>
    <s v="Male"/>
    <s v="Hargeisa"/>
    <x v="3"/>
    <x v="1"/>
  </r>
  <r>
    <s v="CUS00277"/>
    <d v="2025-03-28T00:00:00"/>
    <x v="1"/>
    <n v="39"/>
    <x v="1"/>
    <x v="6"/>
    <x v="41"/>
    <s v="Male"/>
    <s v="Mogadishu"/>
    <x v="6"/>
    <x v="2"/>
  </r>
  <r>
    <s v="CUS00080"/>
    <d v="2025-03-29T00:00:00"/>
    <x v="0"/>
    <n v="32"/>
    <x v="1"/>
    <x v="6"/>
    <x v="42"/>
    <s v="Female"/>
    <s v="Mogadishu"/>
    <x v="6"/>
    <x v="0"/>
  </r>
  <r>
    <s v="CUS00124"/>
    <d v="2025-03-31T00:00:00"/>
    <x v="0"/>
    <n v="27"/>
    <x v="1"/>
    <x v="7"/>
    <x v="43"/>
    <s v="Female"/>
    <s v="Mogadishu"/>
    <x v="7"/>
    <x v="0"/>
  </r>
  <r>
    <s v="CUS00249"/>
    <d v="2025-04-02T00:00:00"/>
    <x v="1"/>
    <n v="42"/>
    <x v="1"/>
    <x v="0"/>
    <x v="44"/>
    <s v="Male"/>
    <s v="Mogadishu"/>
    <x v="0"/>
    <x v="0"/>
  </r>
  <r>
    <s v="CUS00097"/>
    <d v="2025-04-03T00:00:00"/>
    <x v="1"/>
    <n v="49"/>
    <x v="3"/>
    <x v="4"/>
    <x v="8"/>
    <s v="Male"/>
    <s v="Bosaso"/>
    <x v="4"/>
    <x v="0"/>
  </r>
  <r>
    <s v="CUS00247"/>
    <d v="2025-04-05T00:00:00"/>
    <x v="0"/>
    <n v="39"/>
    <x v="6"/>
    <x v="3"/>
    <x v="45"/>
    <s v="Female"/>
    <s v="Garowe"/>
    <x v="3"/>
    <x v="1"/>
  </r>
  <r>
    <s v="CUS00169"/>
    <d v="2025-04-05T00:00:00"/>
    <x v="1"/>
    <n v="44"/>
    <x v="5"/>
    <x v="0"/>
    <x v="46"/>
    <s v="Male"/>
    <s v="Kismayo"/>
    <x v="0"/>
    <x v="2"/>
  </r>
  <r>
    <s v="CUS00271"/>
    <d v="2025-04-06T00:00:00"/>
    <x v="0"/>
    <n v="48"/>
    <x v="6"/>
    <x v="3"/>
    <x v="47"/>
    <s v="Female"/>
    <s v="Garowe"/>
    <x v="3"/>
    <x v="1"/>
  </r>
  <r>
    <s v="CUS00049"/>
    <d v="2025-04-10T00:00:00"/>
    <x v="0"/>
    <n v="33"/>
    <x v="6"/>
    <x v="3"/>
    <x v="48"/>
    <s v="Female"/>
    <s v="Garowe"/>
    <x v="3"/>
    <x v="1"/>
  </r>
  <r>
    <s v="CUS00234"/>
    <d v="2025-04-11T00:00:00"/>
    <x v="2"/>
    <n v="40"/>
    <x v="5"/>
    <x v="3"/>
    <x v="49"/>
    <s v="Missing"/>
    <s v="Kismayo"/>
    <x v="3"/>
    <x v="1"/>
  </r>
  <r>
    <s v="CUS00132"/>
    <d v="2025-04-16T00:00:00"/>
    <x v="2"/>
    <n v="41"/>
    <x v="3"/>
    <x v="1"/>
    <x v="50"/>
    <s v="Missing"/>
    <s v="Bosaso"/>
    <x v="1"/>
    <x v="2"/>
  </r>
  <r>
    <s v="CUS00119"/>
    <d v="2025-04-16T00:00:00"/>
    <x v="0"/>
    <n v="65"/>
    <x v="1"/>
    <x v="5"/>
    <x v="51"/>
    <s v="Female"/>
    <s v="Mogadishu"/>
    <x v="5"/>
    <x v="1"/>
  </r>
  <r>
    <s v="CUS00027"/>
    <d v="2025-04-18T00:00:00"/>
    <x v="1"/>
    <n v="44"/>
    <x v="3"/>
    <x v="6"/>
    <x v="8"/>
    <s v="Male"/>
    <s v="Bosaso"/>
    <x v="6"/>
    <x v="0"/>
  </r>
  <r>
    <s v="CUS00258"/>
    <d v="2025-04-20T00:00:00"/>
    <x v="1"/>
    <n v="37"/>
    <x v="6"/>
    <x v="0"/>
    <x v="52"/>
    <s v="Male"/>
    <s v="Garowe"/>
    <x v="0"/>
    <x v="0"/>
  </r>
  <r>
    <s v="CUS00079"/>
    <d v="2025-04-21T00:00:00"/>
    <x v="1"/>
    <n v="39"/>
    <x v="5"/>
    <x v="4"/>
    <x v="53"/>
    <s v="Male"/>
    <s v="Kismayo"/>
    <x v="4"/>
    <x v="1"/>
  </r>
  <r>
    <s v="CUS00121"/>
    <d v="2025-04-24T00:00:00"/>
    <x v="1"/>
    <n v="38"/>
    <x v="1"/>
    <x v="5"/>
    <x v="54"/>
    <s v="Male"/>
    <s v="Mogadishu"/>
    <x v="5"/>
    <x v="1"/>
  </r>
  <r>
    <s v="CUS00288"/>
    <d v="2025-04-24T00:00:00"/>
    <x v="0"/>
    <n v="44"/>
    <x v="6"/>
    <x v="5"/>
    <x v="55"/>
    <s v="Female"/>
    <s v="Garowe"/>
    <x v="5"/>
    <x v="1"/>
  </r>
  <r>
    <s v="CUS00002"/>
    <d v="2025-04-24T00:00:00"/>
    <x v="1"/>
    <n v="47"/>
    <x v="5"/>
    <x v="4"/>
    <x v="56"/>
    <s v="Male"/>
    <s v="Kismayo"/>
    <x v="4"/>
    <x v="1"/>
  </r>
  <r>
    <s v="CUS00226"/>
    <d v="2025-04-25T00:00:00"/>
    <x v="1"/>
    <n v="25"/>
    <x v="1"/>
    <x v="0"/>
    <x v="57"/>
    <s v="Male"/>
    <s v="Mogadishu"/>
    <x v="0"/>
    <x v="0"/>
  </r>
  <r>
    <s v="CUS00217"/>
    <d v="2025-04-25T00:00:00"/>
    <x v="1"/>
    <n v="56"/>
    <x v="1"/>
    <x v="6"/>
    <x v="58"/>
    <s v="Male"/>
    <s v="Mogadishu"/>
    <x v="6"/>
    <x v="0"/>
  </r>
  <r>
    <m/>
    <d v="2025-04-26T00:00:00"/>
    <x v="1"/>
    <n v="38"/>
    <x v="1"/>
    <x v="5"/>
    <x v="59"/>
    <s v="Male"/>
    <s v="Mogadishu"/>
    <x v="5"/>
    <x v="0"/>
  </r>
  <r>
    <s v="CUS00146"/>
    <d v="2025-04-26T00:00:00"/>
    <x v="0"/>
    <n v="61"/>
    <x v="1"/>
    <x v="2"/>
    <x v="60"/>
    <s v="Female"/>
    <s v="Mogadishu"/>
    <x v="2"/>
    <x v="0"/>
  </r>
  <r>
    <s v="CUS00133"/>
    <d v="2025-04-28T00:00:00"/>
    <x v="0"/>
    <n v="58"/>
    <x v="5"/>
    <x v="2"/>
    <x v="61"/>
    <s v="Female"/>
    <s v="Kismayo"/>
    <x v="2"/>
    <x v="1"/>
  </r>
  <r>
    <s v="CUS00109"/>
    <d v="2025-04-29T00:00:00"/>
    <x v="0"/>
    <n v="43"/>
    <x v="5"/>
    <x v="2"/>
    <x v="62"/>
    <s v="Female"/>
    <s v="Kismayo"/>
    <x v="2"/>
    <x v="1"/>
  </r>
  <r>
    <s v="CUS00246"/>
    <d v="2025-04-30T00:00:00"/>
    <x v="0"/>
    <n v="41"/>
    <x v="0"/>
    <x v="1"/>
    <x v="63"/>
    <s v="Female"/>
    <s v="Missing"/>
    <x v="1"/>
    <x v="0"/>
  </r>
  <r>
    <s v="CUS00261"/>
    <d v="2025-05-01T00:00:00"/>
    <x v="0"/>
    <n v="38"/>
    <x v="0"/>
    <x v="5"/>
    <x v="64"/>
    <s v="Female"/>
    <s v="Missing"/>
    <x v="5"/>
    <x v="1"/>
  </r>
  <r>
    <s v="CUS00149"/>
    <d v="2025-05-01T00:00:00"/>
    <x v="1"/>
    <n v="55"/>
    <x v="0"/>
    <x v="2"/>
    <x v="65"/>
    <s v="Male"/>
    <s v="Missing"/>
    <x v="2"/>
    <x v="0"/>
  </r>
  <r>
    <s v="CUS00227"/>
    <d v="2025-05-03T00:00:00"/>
    <x v="0"/>
    <n v="37"/>
    <x v="1"/>
    <x v="3"/>
    <x v="66"/>
    <s v="Female"/>
    <s v="Mogadishu"/>
    <x v="3"/>
    <x v="0"/>
  </r>
  <r>
    <s v="CUS00262"/>
    <d v="2025-05-03T00:00:00"/>
    <x v="1"/>
    <n v="67"/>
    <x v="1"/>
    <x v="3"/>
    <x v="8"/>
    <s v="Male"/>
    <s v="Mogadishu"/>
    <x v="3"/>
    <x v="0"/>
  </r>
  <r>
    <s v="CUS00245"/>
    <d v="2025-05-04T00:00:00"/>
    <x v="1"/>
    <n v="32"/>
    <x v="1"/>
    <x v="7"/>
    <x v="67"/>
    <s v="Male"/>
    <s v="Mogadishu"/>
    <x v="7"/>
    <x v="1"/>
  </r>
  <r>
    <s v="CUS00091"/>
    <d v="2025-05-14T00:00:00"/>
    <x v="1"/>
    <n v="20"/>
    <x v="1"/>
    <x v="6"/>
    <x v="68"/>
    <s v="Male"/>
    <s v="Mogadishu"/>
    <x v="6"/>
    <x v="0"/>
  </r>
  <r>
    <s v="CUS00017"/>
    <d v="2025-05-15T00:00:00"/>
    <x v="1"/>
    <n v="33"/>
    <x v="1"/>
    <x v="7"/>
    <x v="69"/>
    <s v="Male"/>
    <s v="Mogadishu"/>
    <x v="7"/>
    <x v="1"/>
  </r>
  <r>
    <s v="CUS00187"/>
    <d v="2025-05-18T00:00:00"/>
    <x v="1"/>
    <n v="26"/>
    <x v="5"/>
    <x v="4"/>
    <x v="70"/>
    <s v="Male"/>
    <s v="Kismayo"/>
    <x v="4"/>
    <x v="1"/>
  </r>
  <r>
    <s v="CUS00128"/>
    <d v="2025-05-24T00:00:00"/>
    <x v="1"/>
    <n v="21"/>
    <x v="2"/>
    <x v="2"/>
    <x v="71"/>
    <s v="Male"/>
    <s v="Baidoa"/>
    <x v="2"/>
    <x v="0"/>
  </r>
  <r>
    <s v="CUS00134"/>
    <d v="2025-05-25T00:00:00"/>
    <x v="0"/>
    <n v="38"/>
    <x v="1"/>
    <x v="2"/>
    <x v="72"/>
    <s v="Female"/>
    <s v="Mogadishu"/>
    <x v="2"/>
    <x v="0"/>
  </r>
  <r>
    <s v="CUS00012"/>
    <d v="2025-05-27T00:00:00"/>
    <x v="0"/>
    <n v="65"/>
    <x v="1"/>
    <x v="2"/>
    <x v="73"/>
    <s v="Female"/>
    <s v="Mogadishu"/>
    <x v="2"/>
    <x v="1"/>
  </r>
  <r>
    <s v="CUS00166"/>
    <d v="2025-05-28T00:00:00"/>
    <x v="1"/>
    <n v="41"/>
    <x v="1"/>
    <x v="5"/>
    <x v="74"/>
    <s v="Male"/>
    <s v="Mogadishu"/>
    <x v="5"/>
    <x v="0"/>
  </r>
  <r>
    <s v="CUS00224"/>
    <d v="2025-05-30T00:00:00"/>
    <x v="0"/>
    <n v="48"/>
    <x v="1"/>
    <x v="0"/>
    <x v="75"/>
    <s v="Female"/>
    <s v="Mogadishu"/>
    <x v="0"/>
    <x v="0"/>
  </r>
  <r>
    <s v="CUS00241"/>
    <d v="2025-06-01T00:00:00"/>
    <x v="1"/>
    <n v="24"/>
    <x v="1"/>
    <x v="2"/>
    <x v="76"/>
    <s v="Male"/>
    <s v="Mogadishu"/>
    <x v="2"/>
    <x v="1"/>
  </r>
  <r>
    <s v="CUS00021"/>
    <d v="2025-06-04T00:00:00"/>
    <x v="0"/>
    <n v="19"/>
    <x v="1"/>
    <x v="3"/>
    <x v="8"/>
    <s v="Female"/>
    <s v="Mogadishu"/>
    <x v="3"/>
    <x v="0"/>
  </r>
  <r>
    <s v="CUS00239"/>
    <d v="2025-06-08T00:00:00"/>
    <x v="2"/>
    <n v="38"/>
    <x v="2"/>
    <x v="5"/>
    <x v="77"/>
    <s v="Missing"/>
    <s v="Baidoa"/>
    <x v="5"/>
    <x v="1"/>
  </r>
  <r>
    <s v="CUS00222"/>
    <d v="2025-06-12T00:00:00"/>
    <x v="0"/>
    <n v="58"/>
    <x v="5"/>
    <x v="0"/>
    <x v="78"/>
    <s v="Female"/>
    <s v="Kismayo"/>
    <x v="0"/>
    <x v="0"/>
  </r>
  <r>
    <s v="CUS00197"/>
    <d v="2025-06-13T00:00:00"/>
    <x v="0"/>
    <n v="48"/>
    <x v="1"/>
    <x v="5"/>
    <x v="79"/>
    <s v="Female"/>
    <s v="Mogadishu"/>
    <x v="5"/>
    <x v="0"/>
  </r>
  <r>
    <s v="CUS00083"/>
    <d v="2025-06-14T00:00:00"/>
    <x v="1"/>
    <n v="68"/>
    <x v="1"/>
    <x v="5"/>
    <x v="80"/>
    <s v="Male"/>
    <s v="Mogadishu"/>
    <x v="5"/>
    <x v="0"/>
  </r>
  <r>
    <s v="CUS00273"/>
    <d v="2025-06-16T00:00:00"/>
    <x v="0"/>
    <n v="23"/>
    <x v="1"/>
    <x v="6"/>
    <x v="81"/>
    <s v="Female"/>
    <s v="Mogadishu"/>
    <x v="6"/>
    <x v="1"/>
  </r>
  <r>
    <s v="CUS00219"/>
    <d v="2025-06-19T00:00:00"/>
    <x v="0"/>
    <n v="42"/>
    <x v="4"/>
    <x v="1"/>
    <x v="82"/>
    <s v="Female"/>
    <s v="Hargeisa"/>
    <x v="1"/>
    <x v="0"/>
  </r>
  <r>
    <s v="CUS00048"/>
    <d v="2025-06-20T00:00:00"/>
    <x v="1"/>
    <n v="36"/>
    <x v="1"/>
    <x v="4"/>
    <x v="83"/>
    <s v="Male"/>
    <s v="Mogadishu"/>
    <x v="4"/>
    <x v="1"/>
  </r>
  <r>
    <s v="CUS00003"/>
    <d v="2025-06-22T00:00:00"/>
    <x v="0"/>
    <n v="67"/>
    <x v="1"/>
    <x v="2"/>
    <x v="8"/>
    <s v="Female"/>
    <s v="Mogadishu"/>
    <x v="2"/>
    <x v="0"/>
  </r>
  <r>
    <s v="CUS00272"/>
    <d v="2025-06-24T00:00:00"/>
    <x v="0"/>
    <n v="39"/>
    <x v="5"/>
    <x v="7"/>
    <x v="84"/>
    <s v="Female"/>
    <s v="Kismayo"/>
    <x v="7"/>
    <x v="0"/>
  </r>
  <r>
    <s v="CUS00189"/>
    <d v="2025-06-25T00:00:00"/>
    <x v="1"/>
    <n v="28"/>
    <x v="6"/>
    <x v="5"/>
    <x v="85"/>
    <s v="Male"/>
    <s v="Garowe"/>
    <x v="5"/>
    <x v="0"/>
  </r>
  <r>
    <s v="CUS00043"/>
    <d v="2025-06-25T00:00:00"/>
    <x v="2"/>
    <n v="43"/>
    <x v="1"/>
    <x v="3"/>
    <x v="86"/>
    <s v="Missing"/>
    <s v="Mogadishu"/>
    <x v="3"/>
    <x v="0"/>
  </r>
  <r>
    <s v="CUS00019"/>
    <d v="2025-06-29T00:00:00"/>
    <x v="1"/>
    <n v="54"/>
    <x v="5"/>
    <x v="5"/>
    <x v="87"/>
    <s v="Male"/>
    <s v="Kismayo"/>
    <x v="5"/>
    <x v="1"/>
  </r>
  <r>
    <s v="CUS00042"/>
    <d v="2025-07-01T00:00:00"/>
    <x v="0"/>
    <n v="44"/>
    <x v="4"/>
    <x v="5"/>
    <x v="88"/>
    <s v="Female"/>
    <s v="Hargeisa"/>
    <x v="5"/>
    <x v="1"/>
  </r>
  <r>
    <s v="CUS00152"/>
    <d v="2025-07-02T00:00:00"/>
    <x v="0"/>
    <n v="44"/>
    <x v="4"/>
    <x v="6"/>
    <x v="89"/>
    <s v="Female"/>
    <s v="Hargeisa"/>
    <x v="6"/>
    <x v="1"/>
  </r>
  <r>
    <s v="CUS00214"/>
    <d v="2025-07-07T00:00:00"/>
    <x v="0"/>
    <n v="56"/>
    <x v="5"/>
    <x v="0"/>
    <x v="90"/>
    <s v="Female"/>
    <s v="Kismayo"/>
    <x v="0"/>
    <x v="1"/>
  </r>
  <r>
    <s v="CUS00183"/>
    <d v="2025-07-08T00:00:00"/>
    <x v="0"/>
    <n v="18"/>
    <x v="2"/>
    <x v="4"/>
    <x v="91"/>
    <s v="Female"/>
    <s v="Baidoa"/>
    <x v="4"/>
    <x v="1"/>
  </r>
  <r>
    <s v="CUS00150"/>
    <d v="2025-07-08T00:00:00"/>
    <x v="1"/>
    <n v="62"/>
    <x v="4"/>
    <x v="6"/>
    <x v="92"/>
    <s v="Male"/>
    <s v="Hargeisa"/>
    <x v="6"/>
    <x v="0"/>
  </r>
  <r>
    <s v="CUS00004"/>
    <d v="2025-07-09T00:00:00"/>
    <x v="0"/>
    <n v="42"/>
    <x v="1"/>
    <x v="5"/>
    <x v="93"/>
    <s v="Female"/>
    <s v="Mogadishu"/>
    <x v="5"/>
    <x v="1"/>
  </r>
  <r>
    <s v="CUS00286"/>
    <d v="2025-07-10T00:00:00"/>
    <x v="1"/>
    <n v="18"/>
    <x v="3"/>
    <x v="4"/>
    <x v="94"/>
    <s v="Male"/>
    <s v="Bosaso"/>
    <x v="4"/>
    <x v="1"/>
  </r>
  <r>
    <s v="CUS00135"/>
    <d v="2025-07-12T00:00:00"/>
    <x v="0"/>
    <n v="55"/>
    <x v="1"/>
    <x v="0"/>
    <x v="95"/>
    <s v="Female"/>
    <s v="Mogadishu"/>
    <x v="0"/>
    <x v="0"/>
  </r>
  <r>
    <s v="CUS00254"/>
    <d v="2025-07-19T00:00:00"/>
    <x v="1"/>
    <n v="28"/>
    <x v="2"/>
    <x v="4"/>
    <x v="96"/>
    <s v="Male"/>
    <s v="Baidoa"/>
    <x v="4"/>
    <x v="1"/>
  </r>
  <r>
    <s v="CUS00100"/>
    <d v="2025-07-20T00:00:00"/>
    <x v="0"/>
    <n v="64"/>
    <x v="1"/>
    <x v="2"/>
    <x v="97"/>
    <s v="Female"/>
    <s v="Mogadishu"/>
    <x v="2"/>
    <x v="0"/>
  </r>
  <r>
    <s v="CUS00060"/>
    <d v="2025-07-23T00:00:00"/>
    <x v="0"/>
    <n v="47"/>
    <x v="1"/>
    <x v="6"/>
    <x v="98"/>
    <s v="Female"/>
    <s v="Mogadishu"/>
    <x v="6"/>
    <x v="1"/>
  </r>
  <r>
    <s v="CUS00078"/>
    <d v="2025-07-24T00:00:00"/>
    <x v="0"/>
    <n v="69"/>
    <x v="1"/>
    <x v="7"/>
    <x v="99"/>
    <s v="Female"/>
    <s v="Mogadishu"/>
    <x v="7"/>
    <x v="1"/>
  </r>
  <r>
    <s v="CUS00154"/>
    <d v="2025-07-26T00:00:00"/>
    <x v="0"/>
    <n v="60"/>
    <x v="4"/>
    <x v="0"/>
    <x v="100"/>
    <s v="Female"/>
    <s v="Hargeisa"/>
    <x v="0"/>
    <x v="1"/>
  </r>
  <r>
    <s v="CUS00175"/>
    <d v="2025-07-30T00:00:00"/>
    <x v="0"/>
    <n v="59"/>
    <x v="4"/>
    <x v="5"/>
    <x v="101"/>
    <s v="Female"/>
    <s v="Hargeisa"/>
    <x v="5"/>
    <x v="0"/>
  </r>
  <r>
    <s v="CUS00140"/>
    <d v="2025-08-02T00:00:00"/>
    <x v="1"/>
    <n v="30"/>
    <x v="1"/>
    <x v="4"/>
    <x v="102"/>
    <s v="Male"/>
    <s v="Mogadishu"/>
    <x v="4"/>
    <x v="1"/>
  </r>
  <r>
    <s v="CUS00210"/>
    <d v="2025-08-04T00:00:00"/>
    <x v="1"/>
    <n v="52"/>
    <x v="5"/>
    <x v="1"/>
    <x v="103"/>
    <s v="Male"/>
    <s v="Kismayo"/>
    <x v="1"/>
    <x v="0"/>
  </r>
  <r>
    <s v="CUS00007"/>
    <d v="2025-08-05T00:00:00"/>
    <x v="1"/>
    <n v="45"/>
    <x v="1"/>
    <x v="3"/>
    <x v="104"/>
    <s v="Male"/>
    <s v="Mogadishu"/>
    <x v="3"/>
    <x v="0"/>
  </r>
  <r>
    <s v="CUS00065"/>
    <d v="2025-08-05T00:00:00"/>
    <x v="1"/>
    <n v="52"/>
    <x v="2"/>
    <x v="7"/>
    <x v="105"/>
    <s v="Male"/>
    <s v="Baidoa"/>
    <x v="7"/>
    <x v="1"/>
  </r>
  <r>
    <s v="CUS00106"/>
    <d v="2025-08-06T00:00:00"/>
    <x v="1"/>
    <n v="48"/>
    <x v="4"/>
    <x v="8"/>
    <x v="8"/>
    <s v="Male"/>
    <s v="Hargeisa"/>
    <x v="3"/>
    <x v="0"/>
  </r>
  <r>
    <s v="CUS00228"/>
    <d v="2025-08-06T00:00:00"/>
    <x v="1"/>
    <n v="59"/>
    <x v="3"/>
    <x v="5"/>
    <x v="8"/>
    <s v="Male"/>
    <s v="Bosaso"/>
    <x v="5"/>
    <x v="0"/>
  </r>
  <r>
    <s v="CUS00194"/>
    <d v="2025-08-07T00:00:00"/>
    <x v="1"/>
    <n v="50"/>
    <x v="5"/>
    <x v="5"/>
    <x v="106"/>
    <s v="Male"/>
    <s v="Kismayo"/>
    <x v="5"/>
    <x v="0"/>
  </r>
  <r>
    <s v="CUS00131"/>
    <d v="2025-08-08T00:00:00"/>
    <x v="0"/>
    <n v="29"/>
    <x v="1"/>
    <x v="4"/>
    <x v="8"/>
    <s v="Female"/>
    <s v="Mogadishu"/>
    <x v="4"/>
    <x v="0"/>
  </r>
  <r>
    <m/>
    <d v="2025-08-09T00:00:00"/>
    <x v="1"/>
    <n v="53"/>
    <x v="1"/>
    <x v="6"/>
    <x v="107"/>
    <s v="Male"/>
    <s v="Mogadishu"/>
    <x v="6"/>
    <x v="0"/>
  </r>
  <r>
    <s v="CUS00160"/>
    <d v="2025-08-10T00:00:00"/>
    <x v="1"/>
    <n v="42"/>
    <x v="4"/>
    <x v="0"/>
    <x v="108"/>
    <s v="Male"/>
    <s v="Hargeisa"/>
    <x v="0"/>
    <x v="2"/>
  </r>
  <r>
    <s v="CUS00053"/>
    <d v="2025-08-12T00:00:00"/>
    <x v="1"/>
    <n v="25"/>
    <x v="1"/>
    <x v="5"/>
    <x v="109"/>
    <s v="Male"/>
    <s v="Mogadishu"/>
    <x v="5"/>
    <x v="1"/>
  </r>
  <r>
    <s v="CUS00102"/>
    <d v="2025-08-12T00:00:00"/>
    <x v="1"/>
    <n v="36"/>
    <x v="0"/>
    <x v="4"/>
    <x v="110"/>
    <s v="Male"/>
    <s v="Missing"/>
    <x v="4"/>
    <x v="1"/>
  </r>
  <r>
    <s v="CUS00180"/>
    <d v="2025-08-14T00:00:00"/>
    <x v="1"/>
    <n v="61"/>
    <x v="1"/>
    <x v="6"/>
    <x v="111"/>
    <s v="Male"/>
    <s v="Mogadishu"/>
    <x v="6"/>
    <x v="0"/>
  </r>
  <r>
    <s v="CUS00255"/>
    <d v="2025-08-15T00:00:00"/>
    <x v="1"/>
    <n v="21"/>
    <x v="2"/>
    <x v="2"/>
    <x v="112"/>
    <s v="Male"/>
    <s v="Baidoa"/>
    <x v="2"/>
    <x v="0"/>
  </r>
  <r>
    <s v="CUS00221"/>
    <d v="2025-08-15T00:00:00"/>
    <x v="1"/>
    <n v="44"/>
    <x v="1"/>
    <x v="0"/>
    <x v="113"/>
    <s v="Male"/>
    <s v="Mogadishu"/>
    <x v="0"/>
    <x v="0"/>
  </r>
  <r>
    <s v="CUS00268"/>
    <d v="2025-08-15T00:00:00"/>
    <x v="0"/>
    <n v="49"/>
    <x v="5"/>
    <x v="2"/>
    <x v="114"/>
    <s v="Female"/>
    <s v="Kismayo"/>
    <x v="2"/>
    <x v="2"/>
  </r>
  <r>
    <s v="CUS00275"/>
    <d v="2025-08-15T00:00:00"/>
    <x v="1"/>
    <n v="59"/>
    <x v="4"/>
    <x v="5"/>
    <x v="115"/>
    <s v="Male"/>
    <s v="Hargeisa"/>
    <x v="5"/>
    <x v="1"/>
  </r>
  <r>
    <s v="CUS00122"/>
    <d v="2025-08-17T00:00:00"/>
    <x v="0"/>
    <n v="60"/>
    <x v="4"/>
    <x v="6"/>
    <x v="116"/>
    <s v="Female"/>
    <s v="Hargeisa"/>
    <x v="6"/>
    <x v="1"/>
  </r>
  <r>
    <s v="CUS00118"/>
    <d v="2025-08-21T00:00:00"/>
    <x v="1"/>
    <n v="60"/>
    <x v="0"/>
    <x v="4"/>
    <x v="8"/>
    <s v="Male"/>
    <s v="Missing"/>
    <x v="4"/>
    <x v="0"/>
  </r>
  <r>
    <s v="CUS00182"/>
    <d v="2025-08-23T00:00:00"/>
    <x v="1"/>
    <n v="43"/>
    <x v="5"/>
    <x v="1"/>
    <x v="117"/>
    <s v="Male"/>
    <s v="Kismayo"/>
    <x v="1"/>
    <x v="0"/>
  </r>
  <r>
    <s v="CUS00237"/>
    <d v="2025-08-23T00:00:00"/>
    <x v="1"/>
    <n v="44"/>
    <x v="3"/>
    <x v="0"/>
    <x v="118"/>
    <s v="Male"/>
    <s v="Bosaso"/>
    <x v="0"/>
    <x v="0"/>
  </r>
  <r>
    <s v="CUS00171"/>
    <d v="2025-08-24T00:00:00"/>
    <x v="1"/>
    <n v="39"/>
    <x v="4"/>
    <x v="2"/>
    <x v="119"/>
    <s v="Male"/>
    <s v="Hargeisa"/>
    <x v="2"/>
    <x v="0"/>
  </r>
  <r>
    <s v="CUS00209"/>
    <d v="2025-08-26T00:00:00"/>
    <x v="0"/>
    <n v="61"/>
    <x v="1"/>
    <x v="5"/>
    <x v="8"/>
    <s v="Female"/>
    <s v="Mogadishu"/>
    <x v="5"/>
    <x v="0"/>
  </r>
  <r>
    <s v="CUS00143"/>
    <d v="2025-08-27T00:00:00"/>
    <x v="1"/>
    <n v="26"/>
    <x v="3"/>
    <x v="2"/>
    <x v="120"/>
    <s v="Male"/>
    <s v="Bosaso"/>
    <x v="2"/>
    <x v="0"/>
  </r>
  <r>
    <s v="CUS00056"/>
    <d v="2025-08-30T00:00:00"/>
    <x v="1"/>
    <n v="67"/>
    <x v="5"/>
    <x v="5"/>
    <x v="121"/>
    <s v="Male"/>
    <s v="Kismayo"/>
    <x v="5"/>
    <x v="0"/>
  </r>
  <r>
    <s v="CUS00285"/>
    <d v="2025-08-31T00:00:00"/>
    <x v="0"/>
    <n v="22"/>
    <x v="4"/>
    <x v="7"/>
    <x v="122"/>
    <s v="Female"/>
    <s v="Hargeisa"/>
    <x v="7"/>
    <x v="1"/>
  </r>
  <r>
    <s v="CUS00229"/>
    <d v="2025-09-02T00:00:00"/>
    <x v="0"/>
    <n v="46"/>
    <x v="1"/>
    <x v="7"/>
    <x v="123"/>
    <s v="Female"/>
    <s v="Mogadishu"/>
    <x v="7"/>
    <x v="0"/>
  </r>
  <r>
    <m/>
    <d v="2025-09-08T00:00:00"/>
    <x v="0"/>
    <n v="32"/>
    <x v="6"/>
    <x v="0"/>
    <x v="124"/>
    <s v="Female"/>
    <s v="Garowe"/>
    <x v="0"/>
    <x v="2"/>
  </r>
  <r>
    <s v="CUS00063"/>
    <d v="2025-09-13T00:00:00"/>
    <x v="0"/>
    <n v="62"/>
    <x v="1"/>
    <x v="6"/>
    <x v="125"/>
    <s v="Female"/>
    <s v="Mogadishu"/>
    <x v="6"/>
    <x v="0"/>
  </r>
  <r>
    <s v="CUS00213"/>
    <d v="2025-09-17T00:00:00"/>
    <x v="0"/>
    <n v="32"/>
    <x v="2"/>
    <x v="2"/>
    <x v="126"/>
    <s v="Female"/>
    <s v="Baidoa"/>
    <x v="2"/>
    <x v="0"/>
  </r>
  <r>
    <s v="CUS00112"/>
    <d v="2025-09-18T00:00:00"/>
    <x v="0"/>
    <n v="40"/>
    <x v="5"/>
    <x v="0"/>
    <x v="127"/>
    <s v="Female"/>
    <s v="Kismayo"/>
    <x v="0"/>
    <x v="1"/>
  </r>
  <r>
    <s v="CUS00216"/>
    <d v="2025-09-19T00:00:00"/>
    <x v="0"/>
    <n v="19"/>
    <x v="4"/>
    <x v="3"/>
    <x v="128"/>
    <s v="Female"/>
    <s v="Hargeisa"/>
    <x v="3"/>
    <x v="0"/>
  </r>
  <r>
    <s v="CUS00164"/>
    <d v="2025-09-25T00:00:00"/>
    <x v="0"/>
    <n v="58"/>
    <x v="1"/>
    <x v="0"/>
    <x v="129"/>
    <s v="Female"/>
    <s v="Mogadishu"/>
    <x v="0"/>
    <x v="0"/>
  </r>
  <r>
    <s v="CUS00040"/>
    <d v="2025-09-25T00:00:00"/>
    <x v="0"/>
    <n v="66"/>
    <x v="1"/>
    <x v="3"/>
    <x v="130"/>
    <s v="Female"/>
    <s v="Mogadishu"/>
    <x v="3"/>
    <x v="1"/>
  </r>
  <r>
    <s v="CUS00232"/>
    <d v="2025-09-28T00:00:00"/>
    <x v="0"/>
    <n v="61"/>
    <x v="4"/>
    <x v="7"/>
    <x v="131"/>
    <s v="Female"/>
    <s v="Hargeisa"/>
    <x v="7"/>
    <x v="1"/>
  </r>
  <r>
    <s v="CUS00123"/>
    <d v="2025-09-30T00:00:00"/>
    <x v="0"/>
    <n v="66"/>
    <x v="1"/>
    <x v="0"/>
    <x v="132"/>
    <s v="Female"/>
    <s v="Mogadishu"/>
    <x v="0"/>
    <x v="0"/>
  </r>
  <r>
    <s v="CUS00264"/>
    <d v="2025-10-01T00:00:00"/>
    <x v="1"/>
    <n v="68"/>
    <x v="1"/>
    <x v="7"/>
    <x v="133"/>
    <s v="Male"/>
    <s v="Mogadishu"/>
    <x v="7"/>
    <x v="0"/>
  </r>
  <r>
    <s v="CUS00198"/>
    <d v="2025-10-02T00:00:00"/>
    <x v="0"/>
    <n v="33"/>
    <x v="6"/>
    <x v="1"/>
    <x v="134"/>
    <s v="Female"/>
    <s v="Garowe"/>
    <x v="1"/>
    <x v="0"/>
  </r>
  <r>
    <s v="CUS00033"/>
    <d v="2025-10-02T00:00:00"/>
    <x v="1"/>
    <n v="54"/>
    <x v="5"/>
    <x v="3"/>
    <x v="135"/>
    <s v="Male"/>
    <s v="Kismayo"/>
    <x v="3"/>
    <x v="0"/>
  </r>
  <r>
    <s v="CUS00139"/>
    <d v="2025-10-04T00:00:00"/>
    <x v="1"/>
    <n v="27"/>
    <x v="3"/>
    <x v="3"/>
    <x v="136"/>
    <s v="Male"/>
    <s v="Bosaso"/>
    <x v="3"/>
    <x v="0"/>
  </r>
  <r>
    <s v="CUS00077"/>
    <d v="2025-10-07T00:00:00"/>
    <x v="0"/>
    <n v="44"/>
    <x v="3"/>
    <x v="4"/>
    <x v="137"/>
    <s v="Female"/>
    <s v="Bosaso"/>
    <x v="4"/>
    <x v="1"/>
  </r>
  <r>
    <s v="CUS00153"/>
    <d v="2025-10-08T00:00:00"/>
    <x v="1"/>
    <n v="52"/>
    <x v="5"/>
    <x v="4"/>
    <x v="138"/>
    <s v="Male"/>
    <s v="Kismayo"/>
    <x v="4"/>
    <x v="1"/>
  </r>
  <r>
    <s v="CUS00144"/>
    <d v="2025-10-11T00:00:00"/>
    <x v="1"/>
    <n v="20"/>
    <x v="4"/>
    <x v="6"/>
    <x v="139"/>
    <s v="Male"/>
    <s v="Hargeisa"/>
    <x v="6"/>
    <x v="1"/>
  </r>
  <r>
    <s v="CUS00069"/>
    <d v="2025-10-12T00:00:00"/>
    <x v="2"/>
    <n v="24"/>
    <x v="3"/>
    <x v="2"/>
    <x v="140"/>
    <s v="Missing"/>
    <s v="Bosaso"/>
    <x v="2"/>
    <x v="0"/>
  </r>
  <r>
    <s v="CUS00086"/>
    <d v="2025-10-13T00:00:00"/>
    <x v="1"/>
    <n v="123"/>
    <x v="1"/>
    <x v="2"/>
    <x v="141"/>
    <s v="Male"/>
    <s v="Mogadishu"/>
    <x v="2"/>
    <x v="1"/>
  </r>
  <r>
    <m/>
    <d v="2025-10-15T00:00:00"/>
    <x v="0"/>
    <n v="41"/>
    <x v="3"/>
    <x v="1"/>
    <x v="142"/>
    <s v="Female"/>
    <s v="Bosaso"/>
    <x v="1"/>
    <x v="0"/>
  </r>
  <r>
    <s v="CUS00256"/>
    <d v="2025-10-20T00:00:00"/>
    <x v="2"/>
    <n v="21"/>
    <x v="1"/>
    <x v="0"/>
    <x v="143"/>
    <s v="Missing"/>
    <s v="Mogadishu"/>
    <x v="0"/>
    <x v="2"/>
  </r>
  <r>
    <s v="CUS00088"/>
    <d v="2025-10-21T00:00:00"/>
    <x v="0"/>
    <n v="26"/>
    <x v="1"/>
    <x v="5"/>
    <x v="144"/>
    <s v="Female"/>
    <s v="Mogadishu"/>
    <x v="5"/>
    <x v="0"/>
  </r>
  <r>
    <s v="CUS00026"/>
    <d v="2025-10-24T00:00:00"/>
    <x v="0"/>
    <n v="20"/>
    <x v="1"/>
    <x v="4"/>
    <x v="145"/>
    <s v="Female"/>
    <s v="Mogadishu"/>
    <x v="4"/>
    <x v="1"/>
  </r>
  <r>
    <s v="CUS00282"/>
    <d v="2025-10-26T00:00:00"/>
    <x v="1"/>
    <n v="34"/>
    <x v="3"/>
    <x v="3"/>
    <x v="146"/>
    <s v="Male"/>
    <s v="Bosaso"/>
    <x v="3"/>
    <x v="0"/>
  </r>
  <r>
    <m/>
    <d v="2025-10-27T00:00:00"/>
    <x v="1"/>
    <n v="68"/>
    <x v="4"/>
    <x v="1"/>
    <x v="147"/>
    <s v="Male"/>
    <s v="Hargeisa"/>
    <x v="1"/>
    <x v="0"/>
  </r>
  <r>
    <s v="CUS00114"/>
    <d v="2025-10-28T00:00:00"/>
    <x v="1"/>
    <n v="63"/>
    <x v="3"/>
    <x v="4"/>
    <x v="148"/>
    <s v="Male"/>
    <s v="Bosaso"/>
    <x v="4"/>
    <x v="1"/>
  </r>
  <r>
    <s v="CUS00051"/>
    <d v="2025-10-30T00:00:00"/>
    <x v="0"/>
    <n v="30"/>
    <x v="4"/>
    <x v="6"/>
    <x v="149"/>
    <s v="Female"/>
    <s v="Hargeisa"/>
    <x v="6"/>
    <x v="1"/>
  </r>
  <r>
    <s v="CUS00089"/>
    <d v="2025-11-02T00:00:00"/>
    <x v="0"/>
    <n v="40"/>
    <x v="3"/>
    <x v="6"/>
    <x v="150"/>
    <s v="Female"/>
    <s v="Bosaso"/>
    <x v="6"/>
    <x v="1"/>
  </r>
  <r>
    <s v="CUS00242"/>
    <d v="2025-11-05T00:00:00"/>
    <x v="0"/>
    <n v="20"/>
    <x v="3"/>
    <x v="6"/>
    <x v="151"/>
    <s v="Female"/>
    <s v="Bosaso"/>
    <x v="6"/>
    <x v="0"/>
  </r>
  <r>
    <s v="CUS00105"/>
    <d v="2025-11-07T00:00:00"/>
    <x v="0"/>
    <n v="32"/>
    <x v="1"/>
    <x v="6"/>
    <x v="152"/>
    <s v="Female"/>
    <s v="Mogadishu"/>
    <x v="6"/>
    <x v="1"/>
  </r>
  <r>
    <s v="CUS00172"/>
    <d v="2025-11-09T00:00:00"/>
    <x v="0"/>
    <n v="70"/>
    <x v="3"/>
    <x v="5"/>
    <x v="153"/>
    <s v="Female"/>
    <s v="Bosaso"/>
    <x v="5"/>
    <x v="1"/>
  </r>
  <r>
    <s v="CUS00161"/>
    <d v="2025-11-12T00:00:00"/>
    <x v="1"/>
    <n v="20"/>
    <x v="5"/>
    <x v="3"/>
    <x v="154"/>
    <s v="Male"/>
    <s v="Kismayo"/>
    <x v="3"/>
    <x v="0"/>
  </r>
  <r>
    <s v="CUS00225"/>
    <d v="2025-11-14T00:00:00"/>
    <x v="2"/>
    <n v="70"/>
    <x v="1"/>
    <x v="3"/>
    <x v="155"/>
    <s v="Missing"/>
    <s v="Mogadishu"/>
    <x v="3"/>
    <x v="1"/>
  </r>
  <r>
    <s v="CUS00028"/>
    <d v="2025-11-15T00:00:00"/>
    <x v="1"/>
    <n v="53"/>
    <x v="1"/>
    <x v="4"/>
    <x v="156"/>
    <s v="Male"/>
    <s v="Mogadishu"/>
    <x v="4"/>
    <x v="1"/>
  </r>
  <r>
    <s v="CUS00126"/>
    <d v="2025-11-17T00:00:00"/>
    <x v="2"/>
    <n v="26"/>
    <x v="2"/>
    <x v="2"/>
    <x v="157"/>
    <s v="Missing"/>
    <s v="Baidoa"/>
    <x v="2"/>
    <x v="0"/>
  </r>
  <r>
    <m/>
    <d v="2025-11-21T00:00:00"/>
    <x v="1"/>
    <n v="30"/>
    <x v="2"/>
    <x v="1"/>
    <x v="158"/>
    <s v="Male"/>
    <s v="Baidoa"/>
    <x v="1"/>
    <x v="0"/>
  </r>
  <r>
    <s v="CUS00125"/>
    <d v="2025-11-21T00:00:00"/>
    <x v="1"/>
    <n v="35"/>
    <x v="1"/>
    <x v="0"/>
    <x v="159"/>
    <s v="Male"/>
    <s v="Mogadishu"/>
    <x v="0"/>
    <x v="0"/>
  </r>
  <r>
    <s v="CUS00110"/>
    <d v="2025-11-22T00:00:00"/>
    <x v="0"/>
    <n v="50"/>
    <x v="1"/>
    <x v="0"/>
    <x v="8"/>
    <s v="Female"/>
    <s v="Mogadishu"/>
    <x v="0"/>
    <x v="0"/>
  </r>
  <r>
    <s v="CUS00001"/>
    <d v="2025-11-23T00:00:00"/>
    <x v="0"/>
    <n v="39"/>
    <x v="5"/>
    <x v="2"/>
    <x v="160"/>
    <s v="Female"/>
    <s v="Kismayo"/>
    <x v="2"/>
    <x v="1"/>
  </r>
  <r>
    <s v="CUS00289"/>
    <d v="2025-11-30T00:00:00"/>
    <x v="1"/>
    <n v="41"/>
    <x v="1"/>
    <x v="5"/>
    <x v="161"/>
    <s v="Male"/>
    <s v="Mogadishu"/>
    <x v="5"/>
    <x v="1"/>
  </r>
  <r>
    <s v="CUS00274"/>
    <d v="2025-12-07T00:00:00"/>
    <x v="0"/>
    <n v="32"/>
    <x v="1"/>
    <x v="0"/>
    <x v="162"/>
    <s v="Female"/>
    <s v="Mogadishu"/>
    <x v="0"/>
    <x v="2"/>
  </r>
  <r>
    <s v="CUS00167"/>
    <d v="2025-12-07T00:00:00"/>
    <x v="0"/>
    <n v="37"/>
    <x v="6"/>
    <x v="5"/>
    <x v="163"/>
    <s v="Female"/>
    <s v="Garowe"/>
    <x v="5"/>
    <x v="0"/>
  </r>
  <r>
    <s v="CUS00260"/>
    <d v="2025-12-07T00:00:00"/>
    <x v="0"/>
    <n v="40"/>
    <x v="5"/>
    <x v="0"/>
    <x v="164"/>
    <s v="Female"/>
    <s v="Kismayo"/>
    <x v="0"/>
    <x v="0"/>
  </r>
  <r>
    <s v="CUS00047"/>
    <d v="2025-12-09T00:00:00"/>
    <x v="0"/>
    <n v="43"/>
    <x v="1"/>
    <x v="2"/>
    <x v="165"/>
    <s v="Female"/>
    <s v="Mogadishu"/>
    <x v="2"/>
    <x v="1"/>
  </r>
  <r>
    <s v="CUS00094"/>
    <d v="2025-12-10T00:00:00"/>
    <x v="1"/>
    <n v="55"/>
    <x v="5"/>
    <x v="2"/>
    <x v="166"/>
    <s v="Male"/>
    <s v="Kismayo"/>
    <x v="2"/>
    <x v="0"/>
  </r>
  <r>
    <s v="CUS00195"/>
    <d v="2025-12-15T00:00:00"/>
    <x v="1"/>
    <n v="31"/>
    <x v="3"/>
    <x v="6"/>
    <x v="167"/>
    <s v="Male"/>
    <s v="Bosaso"/>
    <x v="6"/>
    <x v="1"/>
  </r>
  <r>
    <s v="CUS00184"/>
    <d v="2025-12-17T00:00:00"/>
    <x v="2"/>
    <n v="64"/>
    <x v="3"/>
    <x v="6"/>
    <x v="168"/>
    <s v="Missing"/>
    <s v="Bosaso"/>
    <x v="6"/>
    <x v="1"/>
  </r>
  <r>
    <s v="CUS00107"/>
    <d v="2025-12-23T00:00:00"/>
    <x v="1"/>
    <n v="46"/>
    <x v="0"/>
    <x v="0"/>
    <x v="169"/>
    <s v="Male"/>
    <s v="Missing"/>
    <x v="0"/>
    <x v="2"/>
  </r>
  <r>
    <s v="CUS00010"/>
    <d v="2025-12-23T00:00:00"/>
    <x v="1"/>
    <n v="55"/>
    <x v="4"/>
    <x v="1"/>
    <x v="170"/>
    <s v="Male"/>
    <s v="Hargeisa"/>
    <x v="1"/>
    <x v="1"/>
  </r>
  <r>
    <s v="CUS00008"/>
    <d v="2025-12-23T00:00:00"/>
    <x v="0"/>
    <n v="60"/>
    <x v="2"/>
    <x v="2"/>
    <x v="171"/>
    <s v="Female"/>
    <s v="Baidoa"/>
    <x v="2"/>
    <x v="1"/>
  </r>
  <r>
    <s v="CUS00045"/>
    <d v="2025-12-26T00:00:00"/>
    <x v="1"/>
    <n v="60"/>
    <x v="1"/>
    <x v="4"/>
    <x v="172"/>
    <s v="Male"/>
    <s v="Mogadishu"/>
    <x v="4"/>
    <x v="1"/>
  </r>
  <r>
    <s v="CUS00046"/>
    <d v="2025-12-28T00:00:00"/>
    <x v="0"/>
    <n v="38"/>
    <x v="1"/>
    <x v="6"/>
    <x v="173"/>
    <s v="Female"/>
    <s v="Mogadishu"/>
    <x v="6"/>
    <x v="1"/>
  </r>
  <r>
    <s v="CUS00116"/>
    <d v="2025-12-29T00:00:00"/>
    <x v="0"/>
    <n v="70"/>
    <x v="3"/>
    <x v="0"/>
    <x v="174"/>
    <s v="Female"/>
    <s v="Bosaso"/>
    <x v="0"/>
    <x v="0"/>
  </r>
  <r>
    <s v="CUS00266"/>
    <d v="2025-12-30T00:00:00"/>
    <x v="1"/>
    <n v="44"/>
    <x v="6"/>
    <x v="1"/>
    <x v="175"/>
    <s v="Male"/>
    <s v="Garowe"/>
    <x v="1"/>
    <x v="0"/>
  </r>
  <r>
    <s v="CUS00016"/>
    <d v="2025-12-31T00:00:00"/>
    <x v="2"/>
    <n v="33"/>
    <x v="1"/>
    <x v="5"/>
    <x v="176"/>
    <s v="Missing"/>
    <s v="Mogadishu"/>
    <x v="5"/>
    <x v="1"/>
  </r>
  <r>
    <s v="CUS00035"/>
    <d v="2025-12-31T00:00:00"/>
    <x v="0"/>
    <n v="41"/>
    <x v="2"/>
    <x v="6"/>
    <x v="177"/>
    <s v="Female"/>
    <s v="Baidoa"/>
    <x v="6"/>
    <x v="1"/>
  </r>
  <r>
    <s v="CUS00269"/>
    <d v="2026-01-04T00:00:00"/>
    <x v="0"/>
    <n v="65"/>
    <x v="0"/>
    <x v="6"/>
    <x v="178"/>
    <s v="Female"/>
    <s v="Missing"/>
    <x v="6"/>
    <x v="0"/>
  </r>
  <r>
    <s v="CUS00141"/>
    <d v="2026-01-09T00:00:00"/>
    <x v="0"/>
    <n v="57"/>
    <x v="2"/>
    <x v="4"/>
    <x v="179"/>
    <s v="Female"/>
    <s v="Baidoa"/>
    <x v="4"/>
    <x v="1"/>
  </r>
  <r>
    <s v="CUS00087"/>
    <d v="2026-01-11T00:00:00"/>
    <x v="0"/>
    <n v="70"/>
    <x v="3"/>
    <x v="0"/>
    <x v="180"/>
    <s v="Female"/>
    <s v="Bosaso"/>
    <x v="0"/>
    <x v="2"/>
  </r>
  <r>
    <s v="CUS00200"/>
    <d v="2026-01-15T00:00:00"/>
    <x v="0"/>
    <n v="21"/>
    <x v="2"/>
    <x v="1"/>
    <x v="181"/>
    <s v="Female"/>
    <s v="Baidoa"/>
    <x v="1"/>
    <x v="0"/>
  </r>
  <r>
    <s v="CUS00054"/>
    <d v="2026-01-15T00:00:00"/>
    <x v="1"/>
    <n v="63"/>
    <x v="6"/>
    <x v="5"/>
    <x v="182"/>
    <s v="Male"/>
    <s v="Garowe"/>
    <x v="5"/>
    <x v="1"/>
  </r>
  <r>
    <m/>
    <d v="2026-01-16T00:00:00"/>
    <x v="0"/>
    <n v="44"/>
    <x v="1"/>
    <x v="6"/>
    <x v="8"/>
    <s v="Female"/>
    <s v="Mogadishu"/>
    <x v="6"/>
    <x v="0"/>
  </r>
  <r>
    <s v="CUS00165"/>
    <d v="2026-01-17T00:00:00"/>
    <x v="0"/>
    <n v="37"/>
    <x v="3"/>
    <x v="4"/>
    <x v="8"/>
    <s v="Female"/>
    <s v="Bosaso"/>
    <x v="4"/>
    <x v="0"/>
  </r>
  <r>
    <s v="CUS00095"/>
    <d v="2026-01-19T00:00:00"/>
    <x v="0"/>
    <n v="28"/>
    <x v="0"/>
    <x v="6"/>
    <x v="183"/>
    <s v="Female"/>
    <s v="Missing"/>
    <x v="6"/>
    <x v="1"/>
  </r>
  <r>
    <s v="CUS00284"/>
    <d v="2026-01-19T00:00:00"/>
    <x v="0"/>
    <n v="36"/>
    <x v="0"/>
    <x v="5"/>
    <x v="184"/>
    <s v="Female"/>
    <s v="Missing"/>
    <x v="5"/>
    <x v="0"/>
  </r>
  <r>
    <s v="CUS00098"/>
    <d v="2026-01-26T00:00:00"/>
    <x v="0"/>
    <n v="47"/>
    <x v="0"/>
    <x v="6"/>
    <x v="185"/>
    <s v="Female"/>
    <s v="Missing"/>
    <x v="6"/>
    <x v="1"/>
  </r>
  <r>
    <s v="CUS00014"/>
    <d v="2026-01-30T00:00:00"/>
    <x v="0"/>
    <n v="49"/>
    <x v="1"/>
    <x v="6"/>
    <x v="186"/>
    <s v="Female"/>
    <s v="Mogadishu"/>
    <x v="6"/>
    <x v="1"/>
  </r>
  <r>
    <s v="CUS00283"/>
    <d v="2026-02-01T00:00:00"/>
    <x v="1"/>
    <n v="55"/>
    <x v="5"/>
    <x v="2"/>
    <x v="8"/>
    <s v="Male"/>
    <s v="Kismayo"/>
    <x v="2"/>
    <x v="0"/>
  </r>
  <r>
    <s v="CUS00062"/>
    <d v="2026-02-04T00:00:00"/>
    <x v="1"/>
    <n v="47"/>
    <x v="1"/>
    <x v="2"/>
    <x v="8"/>
    <s v="Male"/>
    <s v="Mogadishu"/>
    <x v="2"/>
    <x v="0"/>
  </r>
  <r>
    <s v="CUS00147"/>
    <d v="2026-02-06T00:00:00"/>
    <x v="1"/>
    <n v="36"/>
    <x v="4"/>
    <x v="1"/>
    <x v="187"/>
    <s v="Male"/>
    <s v="Hargeisa"/>
    <x v="1"/>
    <x v="1"/>
  </r>
  <r>
    <s v="CUS00191"/>
    <d v="2026-02-06T00:00:00"/>
    <x v="0"/>
    <n v="65"/>
    <x v="4"/>
    <x v="3"/>
    <x v="188"/>
    <s v="Female"/>
    <s v="Hargeisa"/>
    <x v="3"/>
    <x v="0"/>
  </r>
  <r>
    <m/>
    <d v="2026-02-07T00:00:00"/>
    <x v="1"/>
    <n v="23"/>
    <x v="5"/>
    <x v="3"/>
    <x v="189"/>
    <s v="Male"/>
    <s v="Kismayo"/>
    <x v="3"/>
    <x v="1"/>
  </r>
  <r>
    <s v="CUS00096"/>
    <d v="2026-02-07T00:00:00"/>
    <x v="2"/>
    <n v="33"/>
    <x v="1"/>
    <x v="3"/>
    <x v="190"/>
    <s v="Missing"/>
    <s v="Mogadishu"/>
    <x v="3"/>
    <x v="0"/>
  </r>
  <r>
    <s v="CUS00073"/>
    <d v="2026-02-08T00:00:00"/>
    <x v="0"/>
    <n v="46"/>
    <x v="1"/>
    <x v="4"/>
    <x v="191"/>
    <s v="Female"/>
    <s v="Mogadishu"/>
    <x v="4"/>
    <x v="1"/>
  </r>
  <r>
    <s v="CUS00248"/>
    <d v="2026-02-11T00:00:00"/>
    <x v="0"/>
    <n v="30"/>
    <x v="0"/>
    <x v="5"/>
    <x v="192"/>
    <s v="Female"/>
    <s v="Missing"/>
    <x v="5"/>
    <x v="0"/>
  </r>
  <r>
    <s v="CUS00240"/>
    <d v="2026-02-12T00:00:00"/>
    <x v="0"/>
    <n v="22"/>
    <x v="1"/>
    <x v="6"/>
    <x v="193"/>
    <s v="Female"/>
    <s v="Mogadishu"/>
    <x v="6"/>
    <x v="0"/>
  </r>
  <r>
    <s v="CUS00236"/>
    <d v="2026-02-14T00:00:00"/>
    <x v="0"/>
    <n v="22"/>
    <x v="4"/>
    <x v="3"/>
    <x v="194"/>
    <s v="Female"/>
    <s v="Hargeisa"/>
    <x v="3"/>
    <x v="0"/>
  </r>
  <r>
    <s v="CUS00190"/>
    <d v="2026-02-15T00:00:00"/>
    <x v="0"/>
    <n v="58"/>
    <x v="3"/>
    <x v="2"/>
    <x v="195"/>
    <s v="Female"/>
    <s v="Bosaso"/>
    <x v="2"/>
    <x v="0"/>
  </r>
  <r>
    <s v="CUS00201"/>
    <d v="2026-02-17T00:00:00"/>
    <x v="0"/>
    <n v="55"/>
    <x v="4"/>
    <x v="3"/>
    <x v="196"/>
    <s v="Female"/>
    <s v="Hargeisa"/>
    <x v="3"/>
    <x v="0"/>
  </r>
  <r>
    <s v="CUS00188"/>
    <d v="2026-02-20T00:00:00"/>
    <x v="1"/>
    <n v="30"/>
    <x v="3"/>
    <x v="1"/>
    <x v="197"/>
    <s v="Male"/>
    <s v="Bosaso"/>
    <x v="1"/>
    <x v="0"/>
  </r>
  <r>
    <s v="CUS00029"/>
    <d v="2026-02-24T00:00:00"/>
    <x v="1"/>
    <n v="50"/>
    <x v="6"/>
    <x v="2"/>
    <x v="198"/>
    <s v="Male"/>
    <s v="Garowe"/>
    <x v="2"/>
    <x v="1"/>
  </r>
  <r>
    <s v="CUS00220"/>
    <d v="2026-02-27T00:00:00"/>
    <x v="0"/>
    <n v="60"/>
    <x v="3"/>
    <x v="1"/>
    <x v="199"/>
    <s v="Female"/>
    <s v="Bosaso"/>
    <x v="1"/>
    <x v="0"/>
  </r>
  <r>
    <s v="CUS00085"/>
    <d v="2026-02-28T00:00:00"/>
    <x v="0"/>
    <n v="62"/>
    <x v="1"/>
    <x v="2"/>
    <x v="200"/>
    <s v="Female"/>
    <s v="Mogadishu"/>
    <x v="2"/>
    <x v="0"/>
  </r>
  <r>
    <s v="CUS00023"/>
    <d v="2026-03-01T00:00:00"/>
    <x v="0"/>
    <n v="32"/>
    <x v="5"/>
    <x v="3"/>
    <x v="201"/>
    <s v="Female"/>
    <s v="Kismayo"/>
    <x v="3"/>
    <x v="1"/>
  </r>
  <r>
    <s v="CUS00185"/>
    <d v="2026-03-08T00:00:00"/>
    <x v="0"/>
    <n v="43"/>
    <x v="1"/>
    <x v="1"/>
    <x v="202"/>
    <s v="Female"/>
    <s v="Mogadishu"/>
    <x v="1"/>
    <x v="0"/>
  </r>
  <r>
    <s v="CUS00013"/>
    <d v="2026-03-09T00:00:00"/>
    <x v="0"/>
    <n v="43"/>
    <x v="1"/>
    <x v="5"/>
    <x v="203"/>
    <s v="Female"/>
    <s v="Mogadishu"/>
    <x v="5"/>
    <x v="1"/>
  </r>
  <r>
    <s v="CUS00108"/>
    <d v="2026-03-12T00:00:00"/>
    <x v="0"/>
    <n v="52"/>
    <x v="1"/>
    <x v="7"/>
    <x v="204"/>
    <s v="Female"/>
    <s v="Mogadishu"/>
    <x v="7"/>
    <x v="1"/>
  </r>
  <r>
    <s v="CUS00162"/>
    <d v="2026-03-13T00:00:00"/>
    <x v="0"/>
    <n v="29"/>
    <x v="3"/>
    <x v="5"/>
    <x v="205"/>
    <s v="Female"/>
    <s v="Bosaso"/>
    <x v="5"/>
    <x v="1"/>
  </r>
  <r>
    <s v="CUS00104"/>
    <d v="2026-03-13T00:00:00"/>
    <x v="1"/>
    <n v="43"/>
    <x v="1"/>
    <x v="0"/>
    <x v="206"/>
    <s v="Male"/>
    <s v="Mogadishu"/>
    <x v="0"/>
    <x v="0"/>
  </r>
  <r>
    <s v="CUS00018"/>
    <d v="2026-03-13T00:00:00"/>
    <x v="0"/>
    <n v="44"/>
    <x v="1"/>
    <x v="6"/>
    <x v="207"/>
    <s v="Female"/>
    <s v="Mogadishu"/>
    <x v="6"/>
    <x v="0"/>
  </r>
  <r>
    <s v="CUS00068"/>
    <d v="2026-03-18T00:00:00"/>
    <x v="1"/>
    <n v="45"/>
    <x v="2"/>
    <x v="4"/>
    <x v="208"/>
    <s v="Male"/>
    <s v="Baidoa"/>
    <x v="4"/>
    <x v="1"/>
  </r>
  <r>
    <s v="CUS00064"/>
    <d v="2026-03-22T00:00:00"/>
    <x v="1"/>
    <n v="64"/>
    <x v="3"/>
    <x v="0"/>
    <x v="209"/>
    <s v="Male"/>
    <s v="Bosaso"/>
    <x v="0"/>
    <x v="1"/>
  </r>
  <r>
    <s v="CUS00278"/>
    <d v="2026-03-28T00:00:00"/>
    <x v="0"/>
    <n v="40"/>
    <x v="4"/>
    <x v="1"/>
    <x v="210"/>
    <s v="Female"/>
    <s v="Hargeisa"/>
    <x v="1"/>
    <x v="1"/>
  </r>
  <r>
    <s v="CUS00039"/>
    <d v="2026-03-28T00:00:00"/>
    <x v="0"/>
    <n v="63"/>
    <x v="3"/>
    <x v="0"/>
    <x v="211"/>
    <s v="Female"/>
    <s v="Bosaso"/>
    <x v="0"/>
    <x v="0"/>
  </r>
  <r>
    <s v="CUS00168"/>
    <d v="2026-04-04T00:00:00"/>
    <x v="0"/>
    <n v="40"/>
    <x v="0"/>
    <x v="6"/>
    <x v="212"/>
    <s v="Female"/>
    <s v="Missing"/>
    <x v="6"/>
    <x v="1"/>
  </r>
  <r>
    <s v="CUS00142"/>
    <d v="2026-04-12T00:00:00"/>
    <x v="1"/>
    <n v="24"/>
    <x v="1"/>
    <x v="2"/>
    <x v="213"/>
    <s v="Male"/>
    <s v="Mogadishu"/>
    <x v="2"/>
    <x v="0"/>
  </r>
  <r>
    <s v="CUS00015"/>
    <d v="2026-04-15T00:00:00"/>
    <x v="1"/>
    <n v="70"/>
    <x v="5"/>
    <x v="0"/>
    <x v="214"/>
    <s v="Male"/>
    <s v="Kismayo"/>
    <x v="0"/>
    <x v="0"/>
  </r>
  <r>
    <s v="CUS00024"/>
    <d v="2026-04-17T00:00:00"/>
    <x v="0"/>
    <n v="18"/>
    <x v="1"/>
    <x v="3"/>
    <x v="215"/>
    <s v="Female"/>
    <s v="Mogadishu"/>
    <x v="3"/>
    <x v="0"/>
  </r>
  <r>
    <s v="CUS00127"/>
    <d v="2026-04-21T00:00:00"/>
    <x v="0"/>
    <n v="46"/>
    <x v="4"/>
    <x v="4"/>
    <x v="216"/>
    <s v="Female"/>
    <s v="Hargeisa"/>
    <x v="4"/>
    <x v="1"/>
  </r>
  <r>
    <s v="CUS00145"/>
    <d v="2026-04-24T00:00:00"/>
    <x v="0"/>
    <n v="57"/>
    <x v="5"/>
    <x v="0"/>
    <x v="217"/>
    <s v="Female"/>
    <s v="Kismayo"/>
    <x v="0"/>
    <x v="1"/>
  </r>
  <r>
    <s v="CUS00243"/>
    <d v="2026-04-25T00:00:00"/>
    <x v="0"/>
    <n v="28"/>
    <x v="5"/>
    <x v="5"/>
    <x v="218"/>
    <s v="Female"/>
    <s v="Kismayo"/>
    <x v="5"/>
    <x v="1"/>
  </r>
  <r>
    <s v="CUS00032"/>
    <d v="2026-04-25T00:00:00"/>
    <x v="1"/>
    <n v="44"/>
    <x v="4"/>
    <x v="1"/>
    <x v="219"/>
    <s v="Male"/>
    <s v="Hargeisa"/>
    <x v="1"/>
    <x v="0"/>
  </r>
  <r>
    <s v="CUS00050"/>
    <d v="2026-05-04T00:00:00"/>
    <x v="0"/>
    <n v="18"/>
    <x v="1"/>
    <x v="0"/>
    <x v="220"/>
    <s v="Female"/>
    <s v="Mogadishu"/>
    <x v="0"/>
    <x v="1"/>
  </r>
  <r>
    <s v="CUS00267"/>
    <d v="2026-05-04T00:00:00"/>
    <x v="0"/>
    <n v="43"/>
    <x v="3"/>
    <x v="4"/>
    <x v="221"/>
    <s v="Female"/>
    <s v="Bosaso"/>
    <x v="4"/>
    <x v="1"/>
  </r>
  <r>
    <s v="CUS00066"/>
    <d v="2026-05-06T00:00:00"/>
    <x v="1"/>
    <n v="52"/>
    <x v="1"/>
    <x v="1"/>
    <x v="222"/>
    <s v="Male"/>
    <s v="Mogadishu"/>
    <x v="1"/>
    <x v="0"/>
  </r>
  <r>
    <s v="CUS00253"/>
    <d v="2026-05-08T00:00:00"/>
    <x v="1"/>
    <n v="67"/>
    <x v="1"/>
    <x v="3"/>
    <x v="223"/>
    <s v="Male"/>
    <s v="Mogadishu"/>
    <x v="3"/>
    <x v="0"/>
  </r>
  <r>
    <m/>
    <d v="2026-05-09T00:00:00"/>
    <x v="0"/>
    <n v="50"/>
    <x v="1"/>
    <x v="6"/>
    <x v="224"/>
    <s v="Female"/>
    <s v="Mogadishu"/>
    <x v="6"/>
    <x v="0"/>
  </r>
  <r>
    <s v="CUS00059"/>
    <d v="2026-05-15T00:00:00"/>
    <x v="1"/>
    <n v="42"/>
    <x v="3"/>
    <x v="0"/>
    <x v="8"/>
    <s v="Male"/>
    <s v="Bosaso"/>
    <x v="0"/>
    <x v="0"/>
  </r>
  <r>
    <s v="CUS00074"/>
    <d v="2026-05-15T00:00:00"/>
    <x v="0"/>
    <n v="44"/>
    <x v="4"/>
    <x v="0"/>
    <x v="225"/>
    <s v="Female"/>
    <s v="Hargeisa"/>
    <x v="0"/>
    <x v="1"/>
  </r>
  <r>
    <s v="CUS00037"/>
    <d v="2026-05-15T00:00:00"/>
    <x v="0"/>
    <n v="61"/>
    <x v="4"/>
    <x v="4"/>
    <x v="226"/>
    <s v="Female"/>
    <s v="Hargeisa"/>
    <x v="4"/>
    <x v="1"/>
  </r>
  <r>
    <s v="CUS00041"/>
    <d v="2026-05-15T00:00:00"/>
    <x v="2"/>
    <n v="65"/>
    <x v="2"/>
    <x v="0"/>
    <x v="227"/>
    <s v="Missing"/>
    <s v="Baidoa"/>
    <x v="0"/>
    <x v="0"/>
  </r>
  <r>
    <s v="CUS00082"/>
    <d v="2026-05-16T00:00:00"/>
    <x v="0"/>
    <n v="30"/>
    <x v="1"/>
    <x v="0"/>
    <x v="228"/>
    <s v="Female"/>
    <s v="Mogadishu"/>
    <x v="0"/>
    <x v="2"/>
  </r>
  <r>
    <s v="CUS00155"/>
    <d v="2026-05-17T00:00:00"/>
    <x v="0"/>
    <n v="27"/>
    <x v="4"/>
    <x v="7"/>
    <x v="229"/>
    <s v="Female"/>
    <s v="Hargeisa"/>
    <x v="7"/>
    <x v="1"/>
  </r>
  <r>
    <s v="CUS00233"/>
    <d v="2026-05-17T00:00:00"/>
    <x v="0"/>
    <n v="39"/>
    <x v="3"/>
    <x v="1"/>
    <x v="230"/>
    <s v="Female"/>
    <s v="Bosaso"/>
    <x v="1"/>
    <x v="0"/>
  </r>
  <r>
    <s v="CUS00061"/>
    <d v="2026-05-19T00:00:00"/>
    <x v="0"/>
    <n v="53"/>
    <x v="1"/>
    <x v="2"/>
    <x v="8"/>
    <s v="Female"/>
    <s v="Mogadishu"/>
    <x v="2"/>
    <x v="0"/>
  </r>
  <r>
    <s v="CUS00250"/>
    <d v="2026-05-21T00:00:00"/>
    <x v="0"/>
    <n v="29"/>
    <x v="1"/>
    <x v="6"/>
    <x v="231"/>
    <s v="Female"/>
    <s v="Mogadishu"/>
    <x v="6"/>
    <x v="0"/>
  </r>
  <r>
    <s v="CUS00092"/>
    <d v="2026-05-24T00:00:00"/>
    <x v="1"/>
    <n v="69"/>
    <x v="1"/>
    <x v="1"/>
    <x v="232"/>
    <s v="Male"/>
    <s v="Mogadishu"/>
    <x v="1"/>
    <x v="0"/>
  </r>
  <r>
    <s v="CUS00192"/>
    <d v="2026-05-26T00:00:00"/>
    <x v="1"/>
    <n v="44"/>
    <x v="4"/>
    <x v="4"/>
    <x v="233"/>
    <s v="Male"/>
    <s v="Hargeisa"/>
    <x v="4"/>
    <x v="1"/>
  </r>
  <r>
    <s v="CUS00290"/>
    <d v="2026-05-27T00:00:00"/>
    <x v="0"/>
    <n v="36"/>
    <x v="4"/>
    <x v="7"/>
    <x v="234"/>
    <s v="Female"/>
    <s v="Hargeisa"/>
    <x v="7"/>
    <x v="1"/>
  </r>
  <r>
    <s v="CUS00281"/>
    <d v="2026-05-31T00:00:00"/>
    <x v="0"/>
    <n v="34"/>
    <x v="4"/>
    <x v="2"/>
    <x v="235"/>
    <s v="Female"/>
    <s v="Hargeisa"/>
    <x v="2"/>
    <x v="0"/>
  </r>
  <r>
    <s v="CUS00176"/>
    <d v="2026-05-31T00:00:00"/>
    <x v="1"/>
    <n v="44"/>
    <x v="4"/>
    <x v="5"/>
    <x v="236"/>
    <s v="Male"/>
    <s v="Hargeisa"/>
    <x v="5"/>
    <x v="1"/>
  </r>
  <r>
    <s v="CUS00129"/>
    <d v="2026-05-31T00:00:00"/>
    <x v="2"/>
    <n v="49"/>
    <x v="5"/>
    <x v="6"/>
    <x v="237"/>
    <s v="Missing"/>
    <s v="Kismayo"/>
    <x v="6"/>
    <x v="0"/>
  </r>
  <r>
    <s v="CUS00199"/>
    <d v="2026-06-10T00:00:00"/>
    <x v="1"/>
    <n v="65"/>
    <x v="1"/>
    <x v="1"/>
    <x v="238"/>
    <s v="Male"/>
    <s v="Mogadishu"/>
    <x v="1"/>
    <x v="1"/>
  </r>
  <r>
    <s v="CUS00238"/>
    <d v="2026-06-11T00:00:00"/>
    <x v="1"/>
    <n v="62"/>
    <x v="6"/>
    <x v="3"/>
    <x v="239"/>
    <s v="Male"/>
    <s v="Garowe"/>
    <x v="3"/>
    <x v="1"/>
  </r>
  <r>
    <s v="CUS00280"/>
    <d v="2026-06-14T00:00:00"/>
    <x v="1"/>
    <n v="32"/>
    <x v="5"/>
    <x v="4"/>
    <x v="240"/>
    <s v="Male"/>
    <s v="Kismayo"/>
    <x v="4"/>
    <x v="1"/>
  </r>
  <r>
    <s v="CUS00212"/>
    <d v="2026-06-16T00:00:00"/>
    <x v="1"/>
    <n v="31"/>
    <x v="1"/>
    <x v="5"/>
    <x v="241"/>
    <s v="Male"/>
    <s v="Mogadishu"/>
    <x v="5"/>
    <x v="1"/>
  </r>
  <r>
    <s v="CUS00178"/>
    <d v="2026-06-17T00:00:00"/>
    <x v="1"/>
    <n v="32"/>
    <x v="6"/>
    <x v="0"/>
    <x v="242"/>
    <s v="Male"/>
    <s v="Garowe"/>
    <x v="0"/>
    <x v="2"/>
  </r>
  <r>
    <s v="CUS00075"/>
    <d v="2026-06-17T00:00:00"/>
    <x v="0"/>
    <n v="47"/>
    <x v="2"/>
    <x v="0"/>
    <x v="243"/>
    <s v="Female"/>
    <s v="Baidoa"/>
    <x v="0"/>
    <x v="2"/>
  </r>
  <r>
    <s v="CUS00070"/>
    <d v="2026-06-24T00:00:00"/>
    <x v="1"/>
    <n v="38"/>
    <x v="1"/>
    <x v="5"/>
    <x v="244"/>
    <s v="Male"/>
    <s v="Mogadishu"/>
    <x v="5"/>
    <x v="1"/>
  </r>
  <r>
    <s v="CUS00093"/>
    <d v="2026-07-02T00:00:00"/>
    <x v="1"/>
    <n v="59"/>
    <x v="2"/>
    <x v="4"/>
    <x v="245"/>
    <s v="Male"/>
    <s v="Baidoa"/>
    <x v="4"/>
    <x v="1"/>
  </r>
  <r>
    <s v="CUS00193"/>
    <d v="2026-07-07T00:00:00"/>
    <x v="1"/>
    <n v="61"/>
    <x v="1"/>
    <x v="3"/>
    <x v="246"/>
    <s v="Male"/>
    <s v="Mogadishu"/>
    <x v="3"/>
    <x v="0"/>
  </r>
  <r>
    <m/>
    <d v="2026-07-08T00:00:00"/>
    <x v="0"/>
    <n v="61"/>
    <x v="4"/>
    <x v="4"/>
    <x v="247"/>
    <s v="Female"/>
    <s v="Hargeisa"/>
    <x v="4"/>
    <x v="1"/>
  </r>
  <r>
    <s v="CUS00036"/>
    <d v="2026-07-09T00:00:00"/>
    <x v="0"/>
    <n v="45"/>
    <x v="3"/>
    <x v="6"/>
    <x v="248"/>
    <s v="Female"/>
    <s v="Bosaso"/>
    <x v="6"/>
    <x v="1"/>
  </r>
  <r>
    <m/>
    <d v="2026-07-19T00:00:00"/>
    <x v="1"/>
    <n v="22"/>
    <x v="1"/>
    <x v="5"/>
    <x v="249"/>
    <s v="Male"/>
    <s v="Mogadishu"/>
    <x v="5"/>
    <x v="1"/>
  </r>
  <r>
    <s v="CUS00163"/>
    <d v="2026-07-22T00:00:00"/>
    <x v="1"/>
    <n v="53"/>
    <x v="4"/>
    <x v="0"/>
    <x v="250"/>
    <s v="Male"/>
    <s v="Hargeisa"/>
    <x v="0"/>
    <x v="0"/>
  </r>
  <r>
    <s v="CUS00291"/>
    <d v="2026-07-23T00:00:00"/>
    <x v="1"/>
    <n v="19"/>
    <x v="1"/>
    <x v="2"/>
    <x v="251"/>
    <s v="Male"/>
    <s v="Mogadishu"/>
    <x v="2"/>
    <x v="0"/>
  </r>
  <r>
    <s v="CUS00084"/>
    <d v="2026-07-25T00:00:00"/>
    <x v="1"/>
    <n v="62"/>
    <x v="4"/>
    <x v="2"/>
    <x v="252"/>
    <s v="Male"/>
    <s v="Hargeisa"/>
    <x v="2"/>
    <x v="1"/>
  </r>
  <r>
    <s v="CUS00011"/>
    <d v="2026-07-27T00:00:00"/>
    <x v="2"/>
    <n v="70"/>
    <x v="1"/>
    <x v="1"/>
    <x v="253"/>
    <s v="Missing"/>
    <s v="Mogadishu"/>
    <x v="1"/>
    <x v="0"/>
  </r>
  <r>
    <s v="CUS00158"/>
    <s v="Missing"/>
    <x v="1"/>
    <n v="24"/>
    <x v="3"/>
    <x v="2"/>
    <x v="254"/>
    <s v="Male"/>
    <s v="Bosaso"/>
    <x v="2"/>
    <x v="1"/>
  </r>
  <r>
    <s v="CUS00031"/>
    <s v="Missing"/>
    <x v="0"/>
    <n v="28"/>
    <x v="2"/>
    <x v="3"/>
    <x v="255"/>
    <s v="Female"/>
    <s v="Baidoa"/>
    <x v="3"/>
    <x v="1"/>
  </r>
  <r>
    <s v="CUS00215"/>
    <s v="Missing"/>
    <x v="1"/>
    <n v="31"/>
    <x v="1"/>
    <x v="0"/>
    <x v="256"/>
    <s v="Male"/>
    <s v="Mogadishu"/>
    <x v="0"/>
    <x v="2"/>
  </r>
  <r>
    <s v="CUS00265"/>
    <s v="Missing"/>
    <x v="0"/>
    <n v="33"/>
    <x v="1"/>
    <x v="8"/>
    <x v="257"/>
    <s v="Female"/>
    <s v="Mogadishu"/>
    <x v="3"/>
    <x v="0"/>
  </r>
  <r>
    <s v="CUS00090"/>
    <s v="Missing"/>
    <x v="1"/>
    <n v="33"/>
    <x v="5"/>
    <x v="6"/>
    <x v="258"/>
    <s v="Male"/>
    <s v="Kismayo"/>
    <x v="6"/>
    <x v="1"/>
  </r>
  <r>
    <s v="CUS00034"/>
    <s v="Missing"/>
    <x v="1"/>
    <n v="39"/>
    <x v="2"/>
    <x v="5"/>
    <x v="259"/>
    <s v="Male"/>
    <s v="Baidoa"/>
    <x v="5"/>
    <x v="0"/>
  </r>
  <r>
    <s v="CUS00205"/>
    <s v="Missing"/>
    <x v="0"/>
    <n v="40"/>
    <x v="1"/>
    <x v="6"/>
    <x v="260"/>
    <s v="Female"/>
    <s v="Mogadishu"/>
    <x v="6"/>
    <x v="1"/>
  </r>
  <r>
    <s v="CUS00049"/>
    <s v="Missing"/>
    <x v="0"/>
    <n v="44"/>
    <x v="6"/>
    <x v="3"/>
    <x v="48"/>
    <s v="Female"/>
    <s v="Garowe"/>
    <x v="3"/>
    <x v="1"/>
  </r>
  <r>
    <s v="CUS00055"/>
    <s v="Missing"/>
    <x v="0"/>
    <n v="45"/>
    <x v="6"/>
    <x v="1"/>
    <x v="261"/>
    <s v="Female"/>
    <s v="Garowe"/>
    <x v="1"/>
    <x v="0"/>
  </r>
  <r>
    <s v="CUS00057"/>
    <s v="Missing"/>
    <x v="1"/>
    <n v="46"/>
    <x v="5"/>
    <x v="5"/>
    <x v="262"/>
    <s v="Male"/>
    <s v="Kismayo"/>
    <x v="5"/>
    <x v="1"/>
  </r>
  <r>
    <s v="CUS00071"/>
    <s v="Missing"/>
    <x v="0"/>
    <n v="48"/>
    <x v="6"/>
    <x v="3"/>
    <x v="263"/>
    <s v="Female"/>
    <s v="Garowe"/>
    <x v="3"/>
    <x v="1"/>
  </r>
  <r>
    <m/>
    <s v="Missing"/>
    <x v="1"/>
    <n v="50"/>
    <x v="4"/>
    <x v="0"/>
    <x v="264"/>
    <s v="Male"/>
    <s v="Hargeisa"/>
    <x v="0"/>
    <x v="2"/>
  </r>
  <r>
    <s v="CUS00020"/>
    <s v="Missing"/>
    <x v="0"/>
    <n v="53"/>
    <x v="3"/>
    <x v="2"/>
    <x v="265"/>
    <s v="Female"/>
    <s v="Bosaso"/>
    <x v="2"/>
    <x v="1"/>
  </r>
  <r>
    <s v="CUS00130"/>
    <s v="Missing"/>
    <x v="0"/>
    <n v="55"/>
    <x v="5"/>
    <x v="2"/>
    <x v="266"/>
    <s v="Female"/>
    <s v="Kismayo"/>
    <x v="2"/>
    <x v="2"/>
  </r>
  <r>
    <s v="CUS00022"/>
    <s v="Missing"/>
    <x v="0"/>
    <n v="55"/>
    <x v="1"/>
    <x v="3"/>
    <x v="267"/>
    <s v="Female"/>
    <s v="Mogadishu"/>
    <x v="3"/>
    <x v="1"/>
  </r>
  <r>
    <s v="CUS00174"/>
    <s v="Missing"/>
    <x v="1"/>
    <n v="55"/>
    <x v="6"/>
    <x v="5"/>
    <x v="268"/>
    <s v="Male"/>
    <s v="Garowe"/>
    <x v="5"/>
    <x v="1"/>
  </r>
  <r>
    <s v="CUS00177"/>
    <s v="Missing"/>
    <x v="1"/>
    <n v="57"/>
    <x v="1"/>
    <x v="1"/>
    <x v="269"/>
    <s v="Male"/>
    <s v="Mogadishu"/>
    <x v="1"/>
    <x v="1"/>
  </r>
  <r>
    <m/>
    <s v="Missing"/>
    <x v="1"/>
    <n v="63"/>
    <x v="4"/>
    <x v="4"/>
    <x v="270"/>
    <s v="Male"/>
    <s v="Hargeisa"/>
    <x v="4"/>
    <x v="1"/>
  </r>
  <r>
    <s v="CUS00099"/>
    <s v="Missing"/>
    <x v="1"/>
    <n v="70"/>
    <x v="3"/>
    <x v="0"/>
    <x v="271"/>
    <s v="Male"/>
    <s v="Bosaso"/>
    <x v="0"/>
    <x v="0"/>
  </r>
  <r>
    <s v="CUS00170"/>
    <s v="Missing"/>
    <x v="1"/>
    <n v="107"/>
    <x v="6"/>
    <x v="2"/>
    <x v="272"/>
    <s v="Male"/>
    <s v="Garowe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K33:M37" firstHeaderRow="0" firstDataRow="1" firstDataCol="1" rowPageCount="1" colPageCount="1"/>
  <pivotFields count="11">
    <pivotField dataField="1" showAll="0"/>
    <pivotField showAll="0"/>
    <pivotField showAll="0"/>
    <pivotField showAll="0"/>
    <pivotField axis="axisPage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Customer_ID" fld="0" subtotal="count" baseField="0" baseItem="0"/>
    <dataField name="Average of Monthly_Income" fld="6" subtotal="average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27:B36" firstHeaderRow="1" firstDataRow="1" firstDataCol="1"/>
  <pivotFields count="11">
    <pivotField showAll="0"/>
    <pivotField showAll="0"/>
    <pivotField showAll="0"/>
    <pivotField showAll="0"/>
    <pivotField showAll="0"/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/>
    <pivotField showAll="0"/>
    <pivotField showAll="0"/>
    <pivotField axis="axisRow" showAll="0">
      <items count="9">
        <item x="0"/>
        <item x="3"/>
        <item x="2"/>
        <item x="1"/>
        <item x="7"/>
        <item x="6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Monthly_Income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K6:O15" firstHeaderRow="1" firstDataRow="2" firstDataCol="1"/>
  <pivotFields count="11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Customer_ID" fld="0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58" activePane="bottomLeft" state="frozen"/>
      <selection pane="bottomLeft" activeCell="B267" sqref="B267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2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ellIs" dxfId="4" priority="1" operator="equal">
      <formula>"Medium"</formula>
    </cfRule>
    <cfRule type="cellIs" dxfId="3" priority="3" operator="equal">
      <formula>"High"</formula>
    </cfRule>
    <cfRule type="cellIs" dxfId="2" priority="4" operator="equal">
      <formula>"Low"</formula>
    </cfRule>
    <cfRule type="cellIs" dxfId="1" priority="5" operator="equal">
      <formula>"Low"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iconSet" priority="12">
      <iconSet iconSet="3Arrows">
        <cfvo type="percent" val="0"/>
        <cfvo type="percent" val="33"/>
        <cfvo type="percent" val="67"/>
      </iconSet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ellIs" dxfId="0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opLeftCell="A22" workbookViewId="0">
      <selection activeCell="A51" sqref="A51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46250</v>
      </c>
      <c r="C33" s="6" t="s">
        <v>352</v>
      </c>
    </row>
    <row r="34" spans="1:3">
      <c r="A34" s="6" t="s">
        <v>353</v>
      </c>
      <c r="B34" s="15">
        <f ca="1">NOW()</f>
        <v>46250.705280555558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O37"/>
  <sheetViews>
    <sheetView tabSelected="1" zoomScale="85" zoomScaleNormal="85" workbookViewId="0">
      <selection activeCell="R37" sqref="R37"/>
    </sheetView>
  </sheetViews>
  <sheetFormatPr defaultRowHeight="15"/>
  <cols>
    <col min="1" max="1" width="15.28515625" customWidth="1"/>
    <col min="2" max="2" width="23.140625" customWidth="1"/>
    <col min="3" max="3" width="4.5703125" customWidth="1"/>
    <col min="4" max="4" width="8.5703125" customWidth="1"/>
    <col min="5" max="5" width="11.28515625" customWidth="1"/>
    <col min="6" max="10" width="7.5703125" customWidth="1"/>
    <col min="11" max="11" width="13.140625" customWidth="1"/>
    <col min="12" max="12" width="20.7109375" customWidth="1"/>
    <col min="13" max="13" width="26.7109375" customWidth="1"/>
    <col min="14" max="14" width="7.85546875" customWidth="1"/>
    <col min="15" max="15" width="11.28515625" customWidth="1"/>
    <col min="16" max="186" width="7.5703125" customWidth="1"/>
    <col min="273" max="274" width="10.140625" bestFit="1" customWidth="1"/>
    <col min="275" max="275" width="11.28515625" bestFit="1" customWidth="1"/>
  </cols>
  <sheetData>
    <row r="5" spans="1:15">
      <c r="A5" s="19" t="s">
        <v>365</v>
      </c>
      <c r="B5" t="s">
        <v>368</v>
      </c>
    </row>
    <row r="6" spans="1:15">
      <c r="A6" s="6" t="s">
        <v>12</v>
      </c>
      <c r="B6" s="20">
        <v>19068.93</v>
      </c>
      <c r="K6" s="19" t="s">
        <v>372</v>
      </c>
      <c r="L6" s="19" t="s">
        <v>367</v>
      </c>
    </row>
    <row r="7" spans="1:15">
      <c r="A7" s="6" t="s">
        <v>20</v>
      </c>
      <c r="B7" s="20">
        <v>39854.100000000006</v>
      </c>
      <c r="K7" s="19" t="s">
        <v>365</v>
      </c>
      <c r="L7" t="s">
        <v>17</v>
      </c>
      <c r="M7" t="s">
        <v>8</v>
      </c>
      <c r="N7" t="s">
        <v>312</v>
      </c>
      <c r="O7" t="s">
        <v>366</v>
      </c>
    </row>
    <row r="8" spans="1:15">
      <c r="A8" s="6" t="s">
        <v>74</v>
      </c>
      <c r="B8" s="20">
        <v>17991.009999999998</v>
      </c>
      <c r="K8" s="6" t="s">
        <v>12</v>
      </c>
      <c r="L8" s="20">
        <v>12</v>
      </c>
      <c r="M8" s="20">
        <v>9</v>
      </c>
      <c r="N8" s="20">
        <v>3</v>
      </c>
      <c r="O8" s="20">
        <v>24</v>
      </c>
    </row>
    <row r="9" spans="1:15">
      <c r="A9" s="6" t="s">
        <v>15</v>
      </c>
      <c r="B9" s="20">
        <v>38385.03</v>
      </c>
      <c r="K9" s="6" t="s">
        <v>20</v>
      </c>
      <c r="L9" s="20">
        <v>16</v>
      </c>
      <c r="M9" s="20">
        <v>16</v>
      </c>
      <c r="N9" s="20">
        <v>3</v>
      </c>
      <c r="O9" s="20">
        <v>35</v>
      </c>
    </row>
    <row r="10" spans="1:15">
      <c r="A10" s="6" t="s">
        <v>39</v>
      </c>
      <c r="B10" s="20">
        <v>30250.91</v>
      </c>
      <c r="K10" s="6" t="s">
        <v>74</v>
      </c>
      <c r="L10" s="20">
        <v>10</v>
      </c>
      <c r="M10" s="20">
        <v>10</v>
      </c>
      <c r="N10" s="20">
        <v>1</v>
      </c>
      <c r="O10" s="20">
        <v>21</v>
      </c>
    </row>
    <row r="11" spans="1:15">
      <c r="A11" s="6" t="s">
        <v>312</v>
      </c>
      <c r="B11" s="20">
        <v>13639.55</v>
      </c>
      <c r="K11" s="6" t="s">
        <v>15</v>
      </c>
      <c r="L11" s="20">
        <v>23</v>
      </c>
      <c r="M11" s="20">
        <v>19</v>
      </c>
      <c r="N11" s="20">
        <v>1</v>
      </c>
      <c r="O11" s="20">
        <v>43</v>
      </c>
    </row>
    <row r="12" spans="1:15">
      <c r="A12" s="6" t="s">
        <v>9</v>
      </c>
      <c r="B12" s="20">
        <v>111503.65999999997</v>
      </c>
      <c r="K12" s="6" t="s">
        <v>39</v>
      </c>
      <c r="L12" s="20">
        <v>14</v>
      </c>
      <c r="M12" s="20">
        <v>19</v>
      </c>
      <c r="N12" s="20">
        <v>2</v>
      </c>
      <c r="O12" s="20">
        <v>35</v>
      </c>
    </row>
    <row r="13" spans="1:15">
      <c r="A13" s="6" t="s">
        <v>366</v>
      </c>
      <c r="B13" s="20">
        <v>270693.18999999994</v>
      </c>
      <c r="K13" s="6" t="s">
        <v>312</v>
      </c>
      <c r="L13" s="20">
        <v>10</v>
      </c>
      <c r="M13" s="20">
        <v>6</v>
      </c>
      <c r="N13" s="20"/>
      <c r="O13" s="20">
        <v>16</v>
      </c>
    </row>
    <row r="14" spans="1:15">
      <c r="K14" s="6" t="s">
        <v>9</v>
      </c>
      <c r="L14" s="20">
        <v>53</v>
      </c>
      <c r="M14" s="20">
        <v>45</v>
      </c>
      <c r="N14" s="20">
        <v>7</v>
      </c>
      <c r="O14" s="20">
        <v>105</v>
      </c>
    </row>
    <row r="15" spans="1:15">
      <c r="K15" s="6" t="s">
        <v>366</v>
      </c>
      <c r="L15" s="20">
        <v>138</v>
      </c>
      <c r="M15" s="20">
        <v>124</v>
      </c>
      <c r="N15" s="20">
        <v>17</v>
      </c>
      <c r="O15" s="20">
        <v>279</v>
      </c>
    </row>
    <row r="27" spans="1:12">
      <c r="A27" s="19" t="s">
        <v>365</v>
      </c>
      <c r="B27" t="s">
        <v>368</v>
      </c>
    </row>
    <row r="28" spans="1:12">
      <c r="A28" s="6" t="s">
        <v>30</v>
      </c>
      <c r="B28" s="20">
        <v>63062.01</v>
      </c>
    </row>
    <row r="29" spans="1:12">
      <c r="A29" s="6" t="s">
        <v>23</v>
      </c>
      <c r="B29" s="20">
        <v>30275.03000000001</v>
      </c>
    </row>
    <row r="30" spans="1:12">
      <c r="A30" s="6" t="s">
        <v>44</v>
      </c>
      <c r="B30" s="20">
        <v>43298.039999999994</v>
      </c>
    </row>
    <row r="31" spans="1:12">
      <c r="A31" s="6" t="s">
        <v>10</v>
      </c>
      <c r="B31" s="20">
        <v>41695.880000000005</v>
      </c>
      <c r="K31" s="19" t="s">
        <v>4</v>
      </c>
      <c r="L31" t="s">
        <v>373</v>
      </c>
    </row>
    <row r="32" spans="1:12">
      <c r="A32" s="6" t="s">
        <v>312</v>
      </c>
      <c r="B32" s="20">
        <v>9200.06</v>
      </c>
    </row>
    <row r="33" spans="1:13">
      <c r="A33" s="6" t="s">
        <v>21</v>
      </c>
      <c r="B33" s="20">
        <v>42372.009999999995</v>
      </c>
      <c r="K33" s="19" t="s">
        <v>365</v>
      </c>
      <c r="L33" t="s">
        <v>372</v>
      </c>
      <c r="M33" t="s">
        <v>374</v>
      </c>
    </row>
    <row r="34" spans="1:13">
      <c r="A34" s="6" t="s">
        <v>18</v>
      </c>
      <c r="B34" s="20">
        <v>11241.05</v>
      </c>
      <c r="K34" s="6" t="s">
        <v>369</v>
      </c>
      <c r="L34" s="20">
        <v>20</v>
      </c>
      <c r="M34" s="20">
        <v>2563.3863636363635</v>
      </c>
    </row>
    <row r="35" spans="1:13">
      <c r="A35" s="6" t="s">
        <v>13</v>
      </c>
      <c r="B35" s="20">
        <v>29549.109999999993</v>
      </c>
      <c r="K35" s="6" t="s">
        <v>370</v>
      </c>
      <c r="L35" s="20">
        <v>128</v>
      </c>
      <c r="M35" s="20">
        <v>518.12446969696919</v>
      </c>
    </row>
    <row r="36" spans="1:13">
      <c r="A36" s="6" t="s">
        <v>366</v>
      </c>
      <c r="B36" s="20">
        <v>270693.19</v>
      </c>
      <c r="K36" s="6" t="s">
        <v>371</v>
      </c>
      <c r="L36" s="20">
        <v>131</v>
      </c>
      <c r="M36" s="20">
        <v>1049.6853237410066</v>
      </c>
    </row>
    <row r="37" spans="1:13">
      <c r="K37" s="6" t="s">
        <v>366</v>
      </c>
      <c r="L37" s="20">
        <v>279</v>
      </c>
      <c r="M37" s="20">
        <v>923.86754266211562</v>
      </c>
    </row>
  </sheetData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2026-08-16T13:59:10Z</dcterms:modified>
</cp:coreProperties>
</file>