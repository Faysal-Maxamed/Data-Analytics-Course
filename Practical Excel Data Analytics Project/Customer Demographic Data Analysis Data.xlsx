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Deero DS Course\Practical Excel Data Analytics Project\"/>
    </mc:Choice>
  </mc:AlternateContent>
  <bookViews>
    <workbookView xWindow="0" yWindow="0" windowWidth="28800" windowHeight="12210" activeTab="1"/>
  </bookViews>
  <sheets>
    <sheet name="Raw_Data" sheetId="1" r:id="rId1"/>
    <sheet name="Clean_Data " sheetId="2" r:id="rId2"/>
    <sheet name="Analysis" sheetId="3" r:id="rId3"/>
    <sheet name="PivotTables" sheetId="4" r:id="rId4"/>
    <sheet name="Dashboard" sheetId="5" r:id="rId5"/>
    <sheet name="Findings" sheetId="6" r:id="rId6"/>
  </sheets>
  <externalReferences>
    <externalReference r:id="rId7"/>
  </externalReferences>
  <definedNames>
    <definedName name="_xlnm._FilterDatabase" localSheetId="1" hidden="1">'Clean_Data '!$F$1:$F$294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B28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B27" i="3"/>
  <c r="B19" i="3"/>
  <c r="B21" i="3"/>
  <c r="B10" i="3"/>
  <c r="B9" i="3"/>
  <c r="B8" i="3"/>
  <c r="B7" i="3"/>
  <c r="B6" i="3"/>
  <c r="B5" i="3"/>
  <c r="B4" i="3"/>
  <c r="B3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</calcChain>
</file>

<file path=xl/sharedStrings.xml><?xml version="1.0" encoding="utf-8"?>
<sst xmlns="http://schemas.openxmlformats.org/spreadsheetml/2006/main" count="2382" uniqueCount="350">
  <si>
    <t>Customer_ID</t>
  </si>
  <si>
    <t>Registration_Date</t>
  </si>
  <si>
    <t>Gender</t>
  </si>
  <si>
    <t>Age</t>
  </si>
  <si>
    <t>City</t>
  </si>
  <si>
    <t>Occupation</t>
  </si>
  <si>
    <t>Monthly_Income</t>
  </si>
  <si>
    <t>CUS00005</t>
  </si>
  <si>
    <t>Male</t>
  </si>
  <si>
    <t>Mogadishu</t>
  </si>
  <si>
    <t>Healthcare</t>
  </si>
  <si>
    <t>CUS00034</t>
  </si>
  <si>
    <t>Baidoa</t>
  </si>
  <si>
    <t>Teacher</t>
  </si>
  <si>
    <t>CUS00176</t>
  </si>
  <si>
    <t>Hargeisa</t>
  </si>
  <si>
    <t>CUS00026</t>
  </si>
  <si>
    <t>Female</t>
  </si>
  <si>
    <t>Student</t>
  </si>
  <si>
    <t>CUS00195</t>
  </si>
  <si>
    <t>Bosaso</t>
  </si>
  <si>
    <t>Self-Employed</t>
  </si>
  <si>
    <t>CUS00191</t>
  </si>
  <si>
    <t>Civil Servant</t>
  </si>
  <si>
    <t>CUS00060</t>
  </si>
  <si>
    <t>CUS00229</t>
  </si>
  <si>
    <t>CUS00172</t>
  </si>
  <si>
    <t>CUS00233</t>
  </si>
  <si>
    <t>CUS00245</t>
  </si>
  <si>
    <t>CUS00224</t>
  </si>
  <si>
    <t>Business Owner</t>
  </si>
  <si>
    <t>CUS00124</t>
  </si>
  <si>
    <t>CUS00075</t>
  </si>
  <si>
    <t>CUS00155</t>
  </si>
  <si>
    <t>CUS00070</t>
  </si>
  <si>
    <t>CUS00227</t>
  </si>
  <si>
    <t>CUS00077</t>
  </si>
  <si>
    <t>CUS00252</t>
  </si>
  <si>
    <t>CUS00260</t>
  </si>
  <si>
    <t>Kismayo</t>
  </si>
  <si>
    <t>CUS00231</t>
  </si>
  <si>
    <t>Unknown</t>
  </si>
  <si>
    <t>CUS00243</t>
  </si>
  <si>
    <t>CUS00146</t>
  </si>
  <si>
    <t>Engineer</t>
  </si>
  <si>
    <t>CUS00137</t>
  </si>
  <si>
    <t>CUS00058</t>
  </si>
  <si>
    <t>CUS00023</t>
  </si>
  <si>
    <t>CUS00040</t>
  </si>
  <si>
    <t>CUS00205</t>
  </si>
  <si>
    <t>CUS00061</t>
  </si>
  <si>
    <t>CUS00268</t>
  </si>
  <si>
    <t>CUS00241</t>
  </si>
  <si>
    <t>CUS00102</t>
  </si>
  <si>
    <t>NULL</t>
  </si>
  <si>
    <t>CUS00287</t>
  </si>
  <si>
    <t>CUS00283</t>
  </si>
  <si>
    <t>CUS00181</t>
  </si>
  <si>
    <t>CUS00018</t>
  </si>
  <si>
    <t>CUS00082</t>
  </si>
  <si>
    <t>CUS00114</t>
  </si>
  <si>
    <t>CUS00278</t>
  </si>
  <si>
    <t>CUS00141</t>
  </si>
  <si>
    <t>CUS00150</t>
  </si>
  <si>
    <t>CUS00236</t>
  </si>
  <si>
    <t>CUS00273</t>
  </si>
  <si>
    <t>CUS00225</t>
  </si>
  <si>
    <t>CUS00073</t>
  </si>
  <si>
    <t>CUS00093</t>
  </si>
  <si>
    <t>CUS00068</t>
  </si>
  <si>
    <t>CUS00218</t>
  </si>
  <si>
    <t>CUS00028</t>
  </si>
  <si>
    <t>CUS00064</t>
  </si>
  <si>
    <t>CUS00174</t>
  </si>
  <si>
    <t>Garowe</t>
  </si>
  <si>
    <t>CUS00223</t>
  </si>
  <si>
    <t>CUS00277</t>
  </si>
  <si>
    <t>CUS00255</t>
  </si>
  <si>
    <t>CUS00083</t>
  </si>
  <si>
    <t>CUS00025</t>
  </si>
  <si>
    <t>CUS00126</t>
  </si>
  <si>
    <t>CUS00053</t>
  </si>
  <si>
    <t>CUS00226</t>
  </si>
  <si>
    <t>CUS00186</t>
  </si>
  <si>
    <t>CUS00138</t>
  </si>
  <si>
    <t>CUS00127</t>
  </si>
  <si>
    <t>CUS00103</t>
  </si>
  <si>
    <t>CUS00112</t>
  </si>
  <si>
    <t>CUS00098</t>
  </si>
  <si>
    <t>CUS00100</t>
  </si>
  <si>
    <t>CUS00099</t>
  </si>
  <si>
    <t>CUS00069</t>
  </si>
  <si>
    <t>CUS00289</t>
  </si>
  <si>
    <t>CUS00108</t>
  </si>
  <si>
    <t>CUS00121</t>
  </si>
  <si>
    <t>CUS00242</t>
  </si>
  <si>
    <t>CUS00048</t>
  </si>
  <si>
    <t>CUS00238</t>
  </si>
  <si>
    <t>CUS00063</t>
  </si>
  <si>
    <t>CUS00091</t>
  </si>
  <si>
    <t>CUS00094</t>
  </si>
  <si>
    <t>CUS00274</t>
  </si>
  <si>
    <t>CUS00055</t>
  </si>
  <si>
    <t>CUS00057</t>
  </si>
  <si>
    <t>CUS00076</t>
  </si>
  <si>
    <t>CUS00039</t>
  </si>
  <si>
    <t>CUS00280</t>
  </si>
  <si>
    <t>CUS00022</t>
  </si>
  <si>
    <t>CUS00071</t>
  </si>
  <si>
    <t>CUS00232</t>
  </si>
  <si>
    <t>CUS00261</t>
  </si>
  <si>
    <t>CUS00257</t>
  </si>
  <si>
    <t>CUS00105</t>
  </si>
  <si>
    <t>CUS00049</t>
  </si>
  <si>
    <t>N/A</t>
  </si>
  <si>
    <t>CUS00131</t>
  </si>
  <si>
    <t>CUS00007</t>
  </si>
  <si>
    <t>CUS00084</t>
  </si>
  <si>
    <t>CUS00173</t>
  </si>
  <si>
    <t>CUS00088</t>
  </si>
  <si>
    <t>CUS00258</t>
  </si>
  <si>
    <t>CUS00104</t>
  </si>
  <si>
    <t>CUS00256</t>
  </si>
  <si>
    <t>CUS00142</t>
  </si>
  <si>
    <t>CUS00134</t>
  </si>
  <si>
    <t>CUS00201</t>
  </si>
  <si>
    <t>CUS00081</t>
  </si>
  <si>
    <t>CUS00267</t>
  </si>
  <si>
    <t>CUS00119</t>
  </si>
  <si>
    <t>CUS00246</t>
  </si>
  <si>
    <t>CUS00004</t>
  </si>
  <si>
    <t>CUS00183</t>
  </si>
  <si>
    <t>CUS00240</t>
  </si>
  <si>
    <t>CUS00086</t>
  </si>
  <si>
    <t>CUS00235</t>
  </si>
  <si>
    <t>CUS00122</t>
  </si>
  <si>
    <t>CUS00128</t>
  </si>
  <si>
    <t>CUS00037</t>
  </si>
  <si>
    <t>CUS00152</t>
  </si>
  <si>
    <t>CUS00222</t>
  </si>
  <si>
    <t>CUS00090</t>
  </si>
  <si>
    <t>CUS00014</t>
  </si>
  <si>
    <t>CUS00203</t>
  </si>
  <si>
    <t>CIVIL SERVANT</t>
  </si>
  <si>
    <t>CUS00219</t>
  </si>
  <si>
    <t>CUS00110</t>
  </si>
  <si>
    <t>CUS00200</t>
  </si>
  <si>
    <t>CUS00148</t>
  </si>
  <si>
    <t>CUS00079</t>
  </si>
  <si>
    <t>CUS00118</t>
  </si>
  <si>
    <t>-</t>
  </si>
  <si>
    <t>CUS00292</t>
  </si>
  <si>
    <t>CUS00202</t>
  </si>
  <si>
    <t>CUS00132</t>
  </si>
  <si>
    <t>CUS00087</t>
  </si>
  <si>
    <t>CUS00021</t>
  </si>
  <si>
    <t>CUS00228</t>
  </si>
  <si>
    <t>CUS00269</t>
  </si>
  <si>
    <t>CUS00248</t>
  </si>
  <si>
    <t>CUS00153</t>
  </si>
  <si>
    <t>CUS00215</t>
  </si>
  <si>
    <t>CUS00281</t>
  </si>
  <si>
    <t>CUS00169</t>
  </si>
  <si>
    <t>CUS00264</t>
  </si>
  <si>
    <t>CUS00154</t>
  </si>
  <si>
    <t>CUS00116</t>
  </si>
  <si>
    <t>CUS00288</t>
  </si>
  <si>
    <t>CUS00125</t>
  </si>
  <si>
    <t>CUS00047</t>
  </si>
  <si>
    <t>CUS00270</t>
  </si>
  <si>
    <t>CUS00085</t>
  </si>
  <si>
    <t>CUS00030</t>
  </si>
  <si>
    <t>CUS00237</t>
  </si>
  <si>
    <t>CUS00041</t>
  </si>
  <si>
    <t>CUS00095</t>
  </si>
  <si>
    <t>CUS00011</t>
  </si>
  <si>
    <t>CUS00042</t>
  </si>
  <si>
    <t>CUS00210</t>
  </si>
  <si>
    <t>CUS00147</t>
  </si>
  <si>
    <t>CUS00066</t>
  </si>
  <si>
    <t>CUS00187</t>
  </si>
  <si>
    <t>CUS00160</t>
  </si>
  <si>
    <t>CUS00162</t>
  </si>
  <si>
    <t>CUS00175</t>
  </si>
  <si>
    <t>CUS00208</t>
  </si>
  <si>
    <t>CUS00045</t>
  </si>
  <si>
    <t>CUS00271</t>
  </si>
  <si>
    <t>CUS00135</t>
  </si>
  <si>
    <t>CUS00140</t>
  </si>
  <si>
    <t>CUS00212</t>
  </si>
  <si>
    <t>CUS00230</t>
  </si>
  <si>
    <t>CUS00254</t>
  </si>
  <si>
    <t>male</t>
  </si>
  <si>
    <t>CUS00143</t>
  </si>
  <si>
    <t>CUS00265</t>
  </si>
  <si>
    <t>CS</t>
  </si>
  <si>
    <t>CUS00092</t>
  </si>
  <si>
    <t>CUS00050</t>
  </si>
  <si>
    <t>CUS00198</t>
  </si>
  <si>
    <t>CUS00123</t>
  </si>
  <si>
    <t>CUS00012</t>
  </si>
  <si>
    <t>CUS00056</t>
  </si>
  <si>
    <t>CUS00156</t>
  </si>
  <si>
    <t>CUS00262</t>
  </si>
  <si>
    <t>CUS00266</t>
  </si>
  <si>
    <t>CUS00214</t>
  </si>
  <si>
    <t>CUS00166</t>
  </si>
  <si>
    <t>CUS00006</t>
  </si>
  <si>
    <t>CUS00046</t>
  </si>
  <si>
    <t>CUS00167</t>
  </si>
  <si>
    <t>CUS00188</t>
  </si>
  <si>
    <t>CUS00010</t>
  </si>
  <si>
    <t>CUS00136</t>
  </si>
  <si>
    <t>CUS00199</t>
  </si>
  <si>
    <t>CUS00008</t>
  </si>
  <si>
    <t>CUS00001</t>
  </si>
  <si>
    <t>CUS00157</t>
  </si>
  <si>
    <t>CUS00206</t>
  </si>
  <si>
    <t>CUS00286</t>
  </si>
  <si>
    <t>CUS00189</t>
  </si>
  <si>
    <t>CUS00027</t>
  </si>
  <si>
    <t>CUS00033</t>
  </si>
  <si>
    <t>CUS00096</t>
  </si>
  <si>
    <t>CUS00130</t>
  </si>
  <si>
    <t>CUS00107</t>
  </si>
  <si>
    <t>CUS00197</t>
  </si>
  <si>
    <t>female</t>
  </si>
  <si>
    <t>CUS00177</t>
  </si>
  <si>
    <t>CUS00249</t>
  </si>
  <si>
    <t>CUS00164</t>
  </si>
  <si>
    <t>CUS00051</t>
  </si>
  <si>
    <t>CUS00003</t>
  </si>
  <si>
    <t>CUS00272</t>
  </si>
  <si>
    <t>CUS00216</t>
  </si>
  <si>
    <t>CUS00052</t>
  </si>
  <si>
    <t>CUS00017</t>
  </si>
  <si>
    <t>CUS00285</t>
  </si>
  <si>
    <t>CUS00106</t>
  </si>
  <si>
    <t>CUS00178</t>
  </si>
  <si>
    <t>CUS00163</t>
  </si>
  <si>
    <t>CUS00171</t>
  </si>
  <si>
    <t>CUS00275</t>
  </si>
  <si>
    <t>CUS00013</t>
  </si>
  <si>
    <t>CUS00209</t>
  </si>
  <si>
    <t>CUS00065</t>
  </si>
  <si>
    <t>CUS00002</t>
  </si>
  <si>
    <t>CUS00149</t>
  </si>
  <si>
    <t>CUS00168</t>
  </si>
  <si>
    <t>CUS00054</t>
  </si>
  <si>
    <t>TEACHER</t>
  </si>
  <si>
    <t>CUS00194</t>
  </si>
  <si>
    <t>CUS00059</t>
  </si>
  <si>
    <t>CUS00290</t>
  </si>
  <si>
    <t>CUS00109</t>
  </si>
  <si>
    <t>CUS00234</t>
  </si>
  <si>
    <t>CUS00067</t>
  </si>
  <si>
    <t>student</t>
  </si>
  <si>
    <t>CUS00276</t>
  </si>
  <si>
    <t>CUS00291</t>
  </si>
  <si>
    <t>CUS00015</t>
  </si>
  <si>
    <t>CUS00158</t>
  </si>
  <si>
    <t>CUS00115</t>
  </si>
  <si>
    <t>CUS00213</t>
  </si>
  <si>
    <t>CUS00036</t>
  </si>
  <si>
    <t>CUS00043</t>
  </si>
  <si>
    <t>CUS00089</t>
  </si>
  <si>
    <t>CUS00019</t>
  </si>
  <si>
    <t>CUS00239</t>
  </si>
  <si>
    <t>CUS00259</t>
  </si>
  <si>
    <t>CUS00182</t>
  </si>
  <si>
    <t>CUS00193</t>
  </si>
  <si>
    <t>CUS00250</t>
  </si>
  <si>
    <t>CUS00062</t>
  </si>
  <si>
    <t>CUS00247</t>
  </si>
  <si>
    <t>CUS00184</t>
  </si>
  <si>
    <t>CUS00072</t>
  </si>
  <si>
    <t>CUS00031</t>
  </si>
  <si>
    <t>CUS00165</t>
  </si>
  <si>
    <t>CUS00279</t>
  </si>
  <si>
    <t>CUS00180</t>
  </si>
  <si>
    <t>CUS00221</t>
  </si>
  <si>
    <t>CUS00217</t>
  </si>
  <si>
    <t>CUS00207</t>
  </si>
  <si>
    <t>CUS00129</t>
  </si>
  <si>
    <t>CUS00074</t>
  </si>
  <si>
    <t>CUS00192</t>
  </si>
  <si>
    <t>CUS00144</t>
  </si>
  <si>
    <t>CUS00020</t>
  </si>
  <si>
    <t>CUS00284</t>
  </si>
  <si>
    <t>CUS00196</t>
  </si>
  <si>
    <t>CUS00220</t>
  </si>
  <si>
    <t>CUS00016</t>
  </si>
  <si>
    <t>CUS00029</t>
  </si>
  <si>
    <t>CUS00170</t>
  </si>
  <si>
    <t>CUS00185</t>
  </si>
  <si>
    <t>CUS00078</t>
  </si>
  <si>
    <t>mogadishu</t>
  </si>
  <si>
    <t>CUS00032</t>
  </si>
  <si>
    <t>CUS00211</t>
  </si>
  <si>
    <t>CUS00161</t>
  </si>
  <si>
    <t>CUS00139</t>
  </si>
  <si>
    <t>CUS00111</t>
  </si>
  <si>
    <t>CUS00133</t>
  </si>
  <si>
    <t>CUS00024</t>
  </si>
  <si>
    <t>CUS00282</t>
  </si>
  <si>
    <t>CUS00253</t>
  </si>
  <si>
    <t>CUS00080</t>
  </si>
  <si>
    <t>self-employed</t>
  </si>
  <si>
    <t>CUS00145</t>
  </si>
  <si>
    <t>CUS00035</t>
  </si>
  <si>
    <t>CUS00097</t>
  </si>
  <si>
    <t>CUS00190</t>
  </si>
  <si>
    <t>Missing</t>
  </si>
  <si>
    <t xml:space="preserve">Missing </t>
  </si>
  <si>
    <t>Gender_Clean</t>
  </si>
  <si>
    <t>City_Clean</t>
  </si>
  <si>
    <t>Occupation_Clean</t>
  </si>
  <si>
    <t>Basic calculations</t>
  </si>
  <si>
    <t>Total Income</t>
  </si>
  <si>
    <t>Average Income</t>
  </si>
  <si>
    <t>Result</t>
  </si>
  <si>
    <t>Meaning</t>
  </si>
  <si>
    <t xml:space="preserve"> Average monthly income</t>
  </si>
  <si>
    <t>Sum of all monthly income</t>
  </si>
  <si>
    <t>Average Age</t>
  </si>
  <si>
    <t>Average customer age</t>
  </si>
  <si>
    <t>Number of Customers</t>
  </si>
  <si>
    <t>Total records</t>
  </si>
  <si>
    <t>Minimum age</t>
  </si>
  <si>
    <t>Oldest Age</t>
  </si>
  <si>
    <t>Maximum age</t>
  </si>
  <si>
    <t>Lowest Income</t>
  </si>
  <si>
    <t>Minimum income</t>
  </si>
  <si>
    <t xml:space="preserve"> Highest Income</t>
  </si>
  <si>
    <t>Maximum income</t>
  </si>
  <si>
    <t>Youngest Age</t>
  </si>
  <si>
    <t>CONDITIONAL FUNCTIONS</t>
  </si>
  <si>
    <t>Metric</t>
  </si>
  <si>
    <t>Customers in Mogadishu</t>
  </si>
  <si>
    <t>Sum income for Female</t>
  </si>
  <si>
    <t>Count customers by city</t>
  </si>
  <si>
    <t>Total Income - Female</t>
  </si>
  <si>
    <t>Avg Income - Teacher</t>
  </si>
  <si>
    <t>Average income for Teachers</t>
  </si>
  <si>
    <t xml:space="preserve">Nested IF </t>
  </si>
  <si>
    <t>Logical Functions</t>
  </si>
  <si>
    <t>Income level for customer row 2</t>
  </si>
  <si>
    <t>Income_Level</t>
  </si>
  <si>
    <t>IF + AND</t>
  </si>
  <si>
    <t>Female and income &gt;=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</si>
</sst>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\$#,##0.00"/>
  </numFmts>
  <fonts count="8">
    <font>
      <sz val="11"/>
      <color theme="1"/>
      <name val="Calibri"/>
      <family val="2"/>
      <scheme val="minor"/>
    </font>
    <font>
      <b/>
      <sz val="11"/>
      <name val="Carlito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onsolas"/>
      <family val="3"/>
    </font>
    <font>
      <sz val="11"/>
      <color theme="1"/>
      <name val="Calibri "/>
    </font>
    <font>
      <sz val="12"/>
      <name val="Calibri 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2" fillId="3" borderId="0" xfId="1" applyFont="1" applyAlignment="1">
      <alignment horizontal="left" vertical="center"/>
    </xf>
    <xf numFmtId="0" fontId="2" fillId="3" borderId="0" xfId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3" fillId="4" borderId="0" xfId="2"/>
    <xf numFmtId="0" fontId="3" fillId="3" borderId="0" xfId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/>
    <xf numFmtId="0" fontId="7" fillId="3" borderId="0" xfId="1" applyFont="1"/>
  </cellXfs>
  <cellStyles count="3">
    <cellStyle name="60% - Accent5" xfId="2" builtinId="48"/>
    <cellStyle name="Accent5" xfId="1" builtinId="45"/>
    <cellStyle name="Normal" xfId="0" builtinId="0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  <sheetName val="Clean_Data "/>
      <sheetName val="Analysis"/>
      <sheetName val="PivotTables"/>
      <sheetName val="Dashboard"/>
      <sheetName val="Findings"/>
      <sheetName val="Clean_Data"/>
    </sheetNames>
    <sheetDataSet>
      <sheetData sheetId="0"/>
      <sheetData sheetId="1">
        <row r="1">
          <cell r="A1" t="str">
            <v>Customer_ID</v>
          </cell>
          <cell r="D1" t="str">
            <v>Age</v>
          </cell>
          <cell r="F1" t="str">
            <v>Occupation</v>
          </cell>
          <cell r="G1" t="str">
            <v>Monthly_Income</v>
          </cell>
        </row>
        <row r="2">
          <cell r="A2" t="str">
            <v>CUS00005</v>
          </cell>
          <cell r="C2" t="str">
            <v>Male</v>
          </cell>
          <cell r="D2">
            <v>49</v>
          </cell>
          <cell r="F2" t="str">
            <v>Healthcare</v>
          </cell>
          <cell r="G2">
            <v>1024.44</v>
          </cell>
        </row>
        <row r="3">
          <cell r="A3" t="str">
            <v>CUS00034</v>
          </cell>
          <cell r="D3">
            <v>39</v>
          </cell>
          <cell r="F3" t="str">
            <v>Teacher</v>
          </cell>
          <cell r="G3">
            <v>827.25</v>
          </cell>
        </row>
        <row r="4">
          <cell r="A4" t="str">
            <v>CUS00176</v>
          </cell>
          <cell r="D4">
            <v>44</v>
          </cell>
          <cell r="F4" t="str">
            <v>Teacher</v>
          </cell>
          <cell r="G4">
            <v>661.3</v>
          </cell>
        </row>
        <row r="5">
          <cell r="A5" t="str">
            <v>CUS00026</v>
          </cell>
          <cell r="D5">
            <v>20</v>
          </cell>
          <cell r="F5" t="str">
            <v>Student</v>
          </cell>
          <cell r="G5">
            <v>295.45</v>
          </cell>
        </row>
        <row r="6">
          <cell r="A6" t="str">
            <v>CUS00195</v>
          </cell>
          <cell r="D6">
            <v>31</v>
          </cell>
          <cell r="F6" t="str">
            <v>Self-Employed</v>
          </cell>
          <cell r="G6">
            <v>481.99</v>
          </cell>
        </row>
        <row r="7">
          <cell r="A7" t="str">
            <v>CUS00191</v>
          </cell>
          <cell r="D7">
            <v>65</v>
          </cell>
          <cell r="F7" t="str">
            <v>Civil Servant</v>
          </cell>
          <cell r="G7">
            <v>1067.9000000000001</v>
          </cell>
        </row>
        <row r="8">
          <cell r="A8" t="str">
            <v>CUS00060</v>
          </cell>
          <cell r="D8">
            <v>47</v>
          </cell>
          <cell r="F8" t="str">
            <v>Self-Employed</v>
          </cell>
          <cell r="G8">
            <v>444.76</v>
          </cell>
        </row>
        <row r="9">
          <cell r="A9" t="str">
            <v>CUS00229</v>
          </cell>
          <cell r="D9">
            <v>46</v>
          </cell>
          <cell r="F9" t="str">
            <v xml:space="preserve">Missing </v>
          </cell>
          <cell r="G9">
            <v>911.36</v>
          </cell>
        </row>
        <row r="10">
          <cell r="A10" t="str">
            <v>CUS00172</v>
          </cell>
          <cell r="D10">
            <v>70</v>
          </cell>
          <cell r="F10" t="str">
            <v>Teacher</v>
          </cell>
          <cell r="G10">
            <v>415.78</v>
          </cell>
        </row>
        <row r="11">
          <cell r="A11" t="str">
            <v>CUS00233</v>
          </cell>
          <cell r="D11">
            <v>39</v>
          </cell>
          <cell r="F11" t="str">
            <v>Healthcare</v>
          </cell>
          <cell r="G11">
            <v>1315.07</v>
          </cell>
        </row>
        <row r="12">
          <cell r="A12" t="str">
            <v>CUS00245</v>
          </cell>
          <cell r="D12">
            <v>32</v>
          </cell>
          <cell r="F12" t="str">
            <v xml:space="preserve">Missing </v>
          </cell>
          <cell r="G12">
            <v>176.95</v>
          </cell>
        </row>
        <row r="13">
          <cell r="A13" t="str">
            <v>CUS00224</v>
          </cell>
          <cell r="D13">
            <v>48</v>
          </cell>
          <cell r="F13" t="str">
            <v>Business Owner</v>
          </cell>
          <cell r="G13">
            <v>1075.0899999999999</v>
          </cell>
        </row>
        <row r="14">
          <cell r="A14" t="str">
            <v>CUS00124</v>
          </cell>
          <cell r="D14">
            <v>27</v>
          </cell>
          <cell r="F14" t="str">
            <v xml:space="preserve">Missing </v>
          </cell>
          <cell r="G14">
            <v>863.68</v>
          </cell>
        </row>
        <row r="15">
          <cell r="A15" t="str">
            <v>CUS00075</v>
          </cell>
          <cell r="D15">
            <v>47</v>
          </cell>
          <cell r="F15" t="str">
            <v>Business Owner</v>
          </cell>
          <cell r="G15">
            <v>2156</v>
          </cell>
        </row>
        <row r="16">
          <cell r="A16" t="str">
            <v>CUS00155</v>
          </cell>
          <cell r="D16">
            <v>27</v>
          </cell>
          <cell r="F16" t="str">
            <v xml:space="preserve">Missing </v>
          </cell>
          <cell r="G16">
            <v>255.08</v>
          </cell>
        </row>
        <row r="17">
          <cell r="A17" t="str">
            <v>CUS00070</v>
          </cell>
          <cell r="D17">
            <v>38</v>
          </cell>
          <cell r="F17" t="str">
            <v>Teacher</v>
          </cell>
          <cell r="G17">
            <v>719.42</v>
          </cell>
        </row>
        <row r="18">
          <cell r="A18" t="str">
            <v>CUS00227</v>
          </cell>
          <cell r="D18">
            <v>37</v>
          </cell>
          <cell r="F18" t="str">
            <v>Civil Servant</v>
          </cell>
          <cell r="G18">
            <v>1041.8399999999999</v>
          </cell>
        </row>
        <row r="19">
          <cell r="A19" t="str">
            <v>CUS00077</v>
          </cell>
          <cell r="D19">
            <v>44</v>
          </cell>
          <cell r="F19" t="str">
            <v>Student</v>
          </cell>
          <cell r="G19">
            <v>265.52</v>
          </cell>
        </row>
        <row r="20">
          <cell r="A20" t="str">
            <v>CUS00252</v>
          </cell>
          <cell r="D20">
            <v>70</v>
          </cell>
          <cell r="F20" t="str">
            <v>Business Owner</v>
          </cell>
          <cell r="G20">
            <v>2040.09</v>
          </cell>
        </row>
        <row r="21">
          <cell r="A21" t="str">
            <v>CUS00260</v>
          </cell>
          <cell r="D21">
            <v>40</v>
          </cell>
          <cell r="F21" t="str">
            <v>Business Owner</v>
          </cell>
          <cell r="G21">
            <v>1210.32</v>
          </cell>
        </row>
        <row r="22">
          <cell r="A22" t="str">
            <v>CUS00231</v>
          </cell>
          <cell r="D22">
            <v>54</v>
          </cell>
          <cell r="F22" t="str">
            <v>Business Owner</v>
          </cell>
          <cell r="G22">
            <v>923.87</v>
          </cell>
        </row>
        <row r="23">
          <cell r="A23" t="str">
            <v>CUS00243</v>
          </cell>
          <cell r="D23">
            <v>28</v>
          </cell>
          <cell r="F23" t="str">
            <v>Teacher</v>
          </cell>
          <cell r="G23">
            <v>732.86</v>
          </cell>
        </row>
        <row r="24">
          <cell r="A24" t="str">
            <v>CUS00146</v>
          </cell>
          <cell r="D24">
            <v>61</v>
          </cell>
          <cell r="F24" t="str">
            <v>Engineer</v>
          </cell>
          <cell r="G24">
            <v>998.38</v>
          </cell>
        </row>
        <row r="25">
          <cell r="A25" t="str">
            <v>CUS00137</v>
          </cell>
          <cell r="D25">
            <v>42</v>
          </cell>
          <cell r="F25" t="str">
            <v>Healthcare</v>
          </cell>
          <cell r="G25">
            <v>1023.35</v>
          </cell>
        </row>
        <row r="26">
          <cell r="A26" t="str">
            <v>CUS00190</v>
          </cell>
          <cell r="D26">
            <v>58</v>
          </cell>
          <cell r="F26" t="str">
            <v>Engineer</v>
          </cell>
          <cell r="G26">
            <v>1170.92</v>
          </cell>
        </row>
        <row r="27">
          <cell r="A27" t="str">
            <v>CUS00058</v>
          </cell>
          <cell r="D27">
            <v>20</v>
          </cell>
          <cell r="F27" t="str">
            <v>Teacher</v>
          </cell>
          <cell r="G27">
            <v>526.37</v>
          </cell>
        </row>
        <row r="28">
          <cell r="A28" t="str">
            <v>CUS00023</v>
          </cell>
          <cell r="D28">
            <v>32</v>
          </cell>
          <cell r="F28" t="str">
            <v>Civil Servant</v>
          </cell>
          <cell r="G28">
            <v>558.07000000000005</v>
          </cell>
        </row>
        <row r="29">
          <cell r="A29" t="str">
            <v>CUS00040</v>
          </cell>
          <cell r="D29">
            <v>66</v>
          </cell>
          <cell r="F29" t="str">
            <v>Civil Servant</v>
          </cell>
          <cell r="G29">
            <v>656.1</v>
          </cell>
        </row>
        <row r="30">
          <cell r="A30" t="str">
            <v>CUS00205</v>
          </cell>
          <cell r="D30">
            <v>40</v>
          </cell>
          <cell r="F30" t="str">
            <v>Self-Employed</v>
          </cell>
          <cell r="G30">
            <v>442.74</v>
          </cell>
        </row>
        <row r="31">
          <cell r="A31" t="str">
            <v>CUS00061</v>
          </cell>
          <cell r="D31">
            <v>53</v>
          </cell>
          <cell r="F31" t="str">
            <v>Engineer</v>
          </cell>
          <cell r="G31">
            <v>923.87</v>
          </cell>
        </row>
        <row r="32">
          <cell r="A32" t="str">
            <v>CUS00268</v>
          </cell>
          <cell r="D32">
            <v>49</v>
          </cell>
          <cell r="F32" t="str">
            <v>Engineer</v>
          </cell>
          <cell r="G32">
            <v>1610.81</v>
          </cell>
        </row>
        <row r="33">
          <cell r="A33" t="str">
            <v>CUS00241</v>
          </cell>
          <cell r="D33">
            <v>24</v>
          </cell>
          <cell r="F33" t="str">
            <v>Engineer</v>
          </cell>
          <cell r="G33">
            <v>706.35</v>
          </cell>
        </row>
        <row r="34">
          <cell r="A34" t="str">
            <v>CUS00102</v>
          </cell>
          <cell r="D34">
            <v>36</v>
          </cell>
          <cell r="F34" t="str">
            <v>Student</v>
          </cell>
          <cell r="G34">
            <v>183.1</v>
          </cell>
        </row>
        <row r="35">
          <cell r="D35">
            <v>44</v>
          </cell>
          <cell r="F35" t="str">
            <v>Self-Employed</v>
          </cell>
          <cell r="G35">
            <v>923.87</v>
          </cell>
        </row>
        <row r="36">
          <cell r="A36" t="str">
            <v>CUS00287</v>
          </cell>
          <cell r="D36">
            <v>19</v>
          </cell>
          <cell r="F36" t="str">
            <v>Student</v>
          </cell>
          <cell r="G36">
            <v>923.87</v>
          </cell>
        </row>
        <row r="37">
          <cell r="A37" t="str">
            <v>CUS00283</v>
          </cell>
          <cell r="D37">
            <v>55</v>
          </cell>
          <cell r="F37" t="str">
            <v>Engineer</v>
          </cell>
          <cell r="G37">
            <v>923.87</v>
          </cell>
        </row>
        <row r="38">
          <cell r="A38" t="str">
            <v>CUS00181</v>
          </cell>
          <cell r="D38">
            <v>26</v>
          </cell>
          <cell r="F38" t="str">
            <v>Engineer</v>
          </cell>
          <cell r="G38">
            <v>1086.56</v>
          </cell>
        </row>
        <row r="39">
          <cell r="A39" t="str">
            <v>CUS00018</v>
          </cell>
          <cell r="D39">
            <v>44</v>
          </cell>
          <cell r="F39" t="str">
            <v>Self-Employed</v>
          </cell>
          <cell r="G39">
            <v>1321.69</v>
          </cell>
        </row>
        <row r="40">
          <cell r="A40" t="str">
            <v>CUS00082</v>
          </cell>
          <cell r="D40">
            <v>30</v>
          </cell>
          <cell r="F40" t="str">
            <v>Business Owner</v>
          </cell>
          <cell r="G40">
            <v>2015.04</v>
          </cell>
        </row>
        <row r="41">
          <cell r="D41">
            <v>30</v>
          </cell>
          <cell r="F41" t="str">
            <v>Healthcare</v>
          </cell>
          <cell r="G41">
            <v>1396.84</v>
          </cell>
        </row>
        <row r="42">
          <cell r="A42" t="str">
            <v>CUS00114</v>
          </cell>
          <cell r="D42">
            <v>63</v>
          </cell>
          <cell r="F42" t="str">
            <v>Student</v>
          </cell>
          <cell r="G42">
            <v>265.83999999999997</v>
          </cell>
        </row>
        <row r="43">
          <cell r="A43" t="str">
            <v>CUS00278</v>
          </cell>
          <cell r="D43">
            <v>40</v>
          </cell>
          <cell r="F43" t="str">
            <v>Healthcare</v>
          </cell>
          <cell r="G43">
            <v>644.95000000000005</v>
          </cell>
        </row>
        <row r="44">
          <cell r="A44" t="str">
            <v>CUS00141</v>
          </cell>
          <cell r="D44">
            <v>57</v>
          </cell>
          <cell r="F44" t="str">
            <v>Student</v>
          </cell>
          <cell r="G44">
            <v>128.41999999999999</v>
          </cell>
        </row>
        <row r="45">
          <cell r="A45" t="str">
            <v>CUS00150</v>
          </cell>
          <cell r="D45">
            <v>62</v>
          </cell>
          <cell r="F45" t="str">
            <v>Self-Employed</v>
          </cell>
          <cell r="G45">
            <v>1032.69</v>
          </cell>
        </row>
        <row r="46">
          <cell r="A46" t="str">
            <v>CUS00236</v>
          </cell>
          <cell r="D46">
            <v>22</v>
          </cell>
          <cell r="F46" t="str">
            <v>Civil Servant</v>
          </cell>
          <cell r="G46">
            <v>1164.05</v>
          </cell>
        </row>
        <row r="47">
          <cell r="A47" t="str">
            <v>CUS00273</v>
          </cell>
          <cell r="D47">
            <v>23</v>
          </cell>
          <cell r="F47" t="str">
            <v>Self-Employed</v>
          </cell>
          <cell r="G47">
            <v>453.51</v>
          </cell>
        </row>
        <row r="48">
          <cell r="A48" t="str">
            <v>CUS00225</v>
          </cell>
          <cell r="D48">
            <v>70</v>
          </cell>
          <cell r="F48" t="str">
            <v>Civil Servant</v>
          </cell>
          <cell r="G48">
            <v>395.84</v>
          </cell>
        </row>
        <row r="49">
          <cell r="A49" t="str">
            <v>CUS00073</v>
          </cell>
          <cell r="D49">
            <v>46</v>
          </cell>
          <cell r="F49" t="str">
            <v>Student</v>
          </cell>
          <cell r="G49">
            <v>253.15</v>
          </cell>
        </row>
        <row r="50">
          <cell r="A50" t="str">
            <v>CUS00093</v>
          </cell>
          <cell r="D50">
            <v>59</v>
          </cell>
          <cell r="F50" t="str">
            <v>Student</v>
          </cell>
          <cell r="G50">
            <v>239.25</v>
          </cell>
        </row>
        <row r="51">
          <cell r="A51" t="str">
            <v>CUS00068</v>
          </cell>
          <cell r="D51">
            <v>45</v>
          </cell>
          <cell r="F51" t="str">
            <v>Student</v>
          </cell>
          <cell r="G51">
            <v>200.87</v>
          </cell>
        </row>
        <row r="52">
          <cell r="A52" t="str">
            <v>CUS00218</v>
          </cell>
          <cell r="D52">
            <v>44</v>
          </cell>
          <cell r="F52" t="str">
            <v>Engineer</v>
          </cell>
          <cell r="G52">
            <v>963.66</v>
          </cell>
        </row>
        <row r="53">
          <cell r="A53" t="str">
            <v>CUS00028</v>
          </cell>
          <cell r="D53">
            <v>53</v>
          </cell>
          <cell r="F53" t="str">
            <v>Student</v>
          </cell>
          <cell r="G53">
            <v>247.93</v>
          </cell>
        </row>
        <row r="54">
          <cell r="A54" t="str">
            <v>CUS00064</v>
          </cell>
          <cell r="D54">
            <v>64</v>
          </cell>
          <cell r="F54" t="str">
            <v>Business Owner</v>
          </cell>
          <cell r="G54">
            <v>727.81</v>
          </cell>
        </row>
        <row r="55">
          <cell r="D55">
            <v>68</v>
          </cell>
          <cell r="F55" t="str">
            <v>Healthcare</v>
          </cell>
          <cell r="G55">
            <v>947.64</v>
          </cell>
        </row>
        <row r="56">
          <cell r="A56" t="str">
            <v>CUS00174</v>
          </cell>
          <cell r="D56">
            <v>55</v>
          </cell>
          <cell r="F56" t="str">
            <v>Teacher</v>
          </cell>
          <cell r="G56">
            <v>325.43</v>
          </cell>
        </row>
        <row r="57">
          <cell r="A57" t="str">
            <v>CUS00223</v>
          </cell>
          <cell r="D57">
            <v>34</v>
          </cell>
          <cell r="F57" t="str">
            <v>Self-Employed</v>
          </cell>
          <cell r="G57">
            <v>835.61</v>
          </cell>
        </row>
        <row r="58">
          <cell r="D58">
            <v>22</v>
          </cell>
          <cell r="F58" t="str">
            <v>Teacher</v>
          </cell>
          <cell r="G58">
            <v>586.78</v>
          </cell>
        </row>
        <row r="59">
          <cell r="A59" t="str">
            <v>CUS00277</v>
          </cell>
          <cell r="D59">
            <v>39</v>
          </cell>
          <cell r="F59" t="str">
            <v>Self-Employed</v>
          </cell>
          <cell r="G59">
            <v>10013</v>
          </cell>
        </row>
        <row r="60">
          <cell r="A60" t="str">
            <v>CUS00255</v>
          </cell>
          <cell r="D60">
            <v>21</v>
          </cell>
          <cell r="F60" t="str">
            <v>Engineer</v>
          </cell>
          <cell r="G60">
            <v>1429.26</v>
          </cell>
        </row>
        <row r="61">
          <cell r="A61" t="str">
            <v>CUS00083</v>
          </cell>
          <cell r="D61">
            <v>68</v>
          </cell>
          <cell r="F61" t="str">
            <v>Teacher</v>
          </cell>
          <cell r="G61">
            <v>870.42</v>
          </cell>
        </row>
        <row r="62">
          <cell r="A62" t="str">
            <v>CUS00025</v>
          </cell>
          <cell r="D62">
            <v>52</v>
          </cell>
          <cell r="F62" t="str">
            <v>Self-Employed</v>
          </cell>
          <cell r="G62">
            <v>1214.6199999999999</v>
          </cell>
        </row>
        <row r="63">
          <cell r="A63" t="str">
            <v>CUS00126</v>
          </cell>
          <cell r="D63">
            <v>26</v>
          </cell>
          <cell r="F63" t="str">
            <v>Engineer</v>
          </cell>
          <cell r="G63">
            <v>1045.8599999999999</v>
          </cell>
        </row>
        <row r="64">
          <cell r="A64" t="str">
            <v>CUS00053</v>
          </cell>
          <cell r="D64">
            <v>25</v>
          </cell>
          <cell r="F64" t="str">
            <v>Teacher</v>
          </cell>
          <cell r="G64">
            <v>665.8</v>
          </cell>
        </row>
        <row r="65">
          <cell r="A65" t="str">
            <v>CUS00226</v>
          </cell>
          <cell r="D65">
            <v>25</v>
          </cell>
          <cell r="F65" t="str">
            <v>Business Owner</v>
          </cell>
          <cell r="G65">
            <v>930.93</v>
          </cell>
        </row>
        <row r="66">
          <cell r="A66" t="str">
            <v>CUS00186</v>
          </cell>
          <cell r="D66">
            <v>53</v>
          </cell>
          <cell r="F66" t="str">
            <v>Engineer</v>
          </cell>
          <cell r="G66">
            <v>926.65</v>
          </cell>
        </row>
        <row r="67">
          <cell r="A67" t="str">
            <v>CUS00138</v>
          </cell>
          <cell r="D67">
            <v>22</v>
          </cell>
          <cell r="F67" t="str">
            <v>Business Owner</v>
          </cell>
          <cell r="G67">
            <v>1984.53</v>
          </cell>
        </row>
        <row r="68">
          <cell r="A68" t="str">
            <v>CUS00127</v>
          </cell>
          <cell r="D68">
            <v>46</v>
          </cell>
          <cell r="F68" t="str">
            <v>Student</v>
          </cell>
          <cell r="G68">
            <v>116.1</v>
          </cell>
        </row>
        <row r="69">
          <cell r="A69" t="str">
            <v>CUS00103</v>
          </cell>
          <cell r="D69">
            <v>66</v>
          </cell>
          <cell r="F69" t="str">
            <v>Business Owner</v>
          </cell>
          <cell r="G69">
            <v>1964.48</v>
          </cell>
        </row>
        <row r="70">
          <cell r="A70" t="str">
            <v>CUS00112</v>
          </cell>
          <cell r="D70">
            <v>40</v>
          </cell>
          <cell r="F70" t="str">
            <v>Business Owner</v>
          </cell>
          <cell r="G70">
            <v>677.55</v>
          </cell>
        </row>
        <row r="71">
          <cell r="D71">
            <v>23</v>
          </cell>
          <cell r="F71" t="str">
            <v>Civil Servant</v>
          </cell>
          <cell r="G71">
            <v>528.86</v>
          </cell>
        </row>
        <row r="72">
          <cell r="A72" t="str">
            <v>CUS00098</v>
          </cell>
          <cell r="D72">
            <v>47</v>
          </cell>
          <cell r="F72" t="str">
            <v>Self-Employed</v>
          </cell>
          <cell r="G72">
            <v>728.06</v>
          </cell>
        </row>
        <row r="73">
          <cell r="A73" t="str">
            <v>CUS00100</v>
          </cell>
          <cell r="D73">
            <v>64</v>
          </cell>
          <cell r="F73" t="str">
            <v>Engineer</v>
          </cell>
          <cell r="G73">
            <v>1421.07</v>
          </cell>
        </row>
        <row r="74">
          <cell r="A74" t="str">
            <v>CUS00099</v>
          </cell>
          <cell r="D74">
            <v>70</v>
          </cell>
          <cell r="F74" t="str">
            <v>Business Owner</v>
          </cell>
          <cell r="G74">
            <v>1249.32</v>
          </cell>
        </row>
        <row r="75">
          <cell r="A75" t="str">
            <v>CUS00069</v>
          </cell>
          <cell r="D75">
            <v>24</v>
          </cell>
          <cell r="F75" t="str">
            <v>Engineer</v>
          </cell>
          <cell r="G75">
            <v>1155.95</v>
          </cell>
        </row>
        <row r="76">
          <cell r="A76" t="str">
            <v>CUS00289</v>
          </cell>
          <cell r="D76">
            <v>41</v>
          </cell>
          <cell r="F76" t="str">
            <v>Teacher</v>
          </cell>
          <cell r="G76">
            <v>374.63</v>
          </cell>
        </row>
        <row r="77">
          <cell r="A77" t="str">
            <v>CUS00108</v>
          </cell>
          <cell r="D77">
            <v>52</v>
          </cell>
          <cell r="F77" t="str">
            <v xml:space="preserve">Missing </v>
          </cell>
          <cell r="G77">
            <v>216.93</v>
          </cell>
        </row>
        <row r="78">
          <cell r="A78" t="str">
            <v>CUS00121</v>
          </cell>
          <cell r="D78">
            <v>38</v>
          </cell>
          <cell r="F78" t="str">
            <v>Teacher</v>
          </cell>
          <cell r="G78">
            <v>680.77</v>
          </cell>
        </row>
        <row r="79">
          <cell r="A79" t="str">
            <v>CUS00242</v>
          </cell>
          <cell r="D79">
            <v>20</v>
          </cell>
          <cell r="F79" t="str">
            <v>Self-Employed</v>
          </cell>
          <cell r="G79">
            <v>1234.8800000000001</v>
          </cell>
        </row>
        <row r="80">
          <cell r="A80" t="str">
            <v>CUS00048</v>
          </cell>
          <cell r="D80">
            <v>36</v>
          </cell>
          <cell r="F80" t="str">
            <v>Student</v>
          </cell>
          <cell r="G80">
            <v>256.8</v>
          </cell>
        </row>
        <row r="81">
          <cell r="A81" t="str">
            <v>CUS00238</v>
          </cell>
          <cell r="D81">
            <v>62</v>
          </cell>
          <cell r="F81" t="str">
            <v>Civil Servant</v>
          </cell>
          <cell r="G81">
            <v>595.70000000000005</v>
          </cell>
        </row>
        <row r="82">
          <cell r="A82" t="str">
            <v>CUS00063</v>
          </cell>
          <cell r="D82">
            <v>62</v>
          </cell>
          <cell r="F82" t="str">
            <v>Self-Employed</v>
          </cell>
          <cell r="G82">
            <v>1156.93</v>
          </cell>
        </row>
        <row r="83">
          <cell r="A83" t="str">
            <v>CUS00091</v>
          </cell>
          <cell r="D83">
            <v>20</v>
          </cell>
          <cell r="F83" t="str">
            <v>Self-Employed</v>
          </cell>
          <cell r="G83">
            <v>895.53</v>
          </cell>
        </row>
        <row r="84">
          <cell r="A84" t="str">
            <v>CUS00094</v>
          </cell>
          <cell r="D84">
            <v>55</v>
          </cell>
          <cell r="F84" t="str">
            <v>Engineer</v>
          </cell>
          <cell r="G84">
            <v>1229.76</v>
          </cell>
        </row>
        <row r="85">
          <cell r="A85" t="str">
            <v>CUS00274</v>
          </cell>
          <cell r="D85">
            <v>32</v>
          </cell>
          <cell r="F85" t="str">
            <v>Business Owner</v>
          </cell>
          <cell r="G85">
            <v>1651.76</v>
          </cell>
        </row>
        <row r="86">
          <cell r="A86" t="str">
            <v>CUS00055</v>
          </cell>
          <cell r="D86">
            <v>45</v>
          </cell>
          <cell r="F86" t="str">
            <v>Healthcare</v>
          </cell>
          <cell r="G86">
            <v>978.74</v>
          </cell>
        </row>
        <row r="87">
          <cell r="A87" t="str">
            <v>CUS00057</v>
          </cell>
          <cell r="D87">
            <v>46</v>
          </cell>
          <cell r="F87" t="str">
            <v>Teacher</v>
          </cell>
          <cell r="G87">
            <v>645.54999999999995</v>
          </cell>
        </row>
        <row r="88">
          <cell r="A88" t="str">
            <v>CUS00076</v>
          </cell>
          <cell r="D88">
            <v>62</v>
          </cell>
          <cell r="F88" t="str">
            <v>Engineer</v>
          </cell>
          <cell r="G88">
            <v>881.22</v>
          </cell>
        </row>
        <row r="89">
          <cell r="A89" t="str">
            <v>CUS00039</v>
          </cell>
          <cell r="D89">
            <v>63</v>
          </cell>
          <cell r="F89" t="str">
            <v>Business Owner</v>
          </cell>
          <cell r="G89">
            <v>1127.6500000000001</v>
          </cell>
        </row>
        <row r="90">
          <cell r="A90" t="str">
            <v>CUS00280</v>
          </cell>
          <cell r="D90">
            <v>32</v>
          </cell>
          <cell r="F90" t="str">
            <v>Student</v>
          </cell>
          <cell r="G90">
            <v>201.16</v>
          </cell>
        </row>
        <row r="91">
          <cell r="A91" t="str">
            <v>CUS00022</v>
          </cell>
          <cell r="D91">
            <v>55</v>
          </cell>
          <cell r="F91" t="str">
            <v>Civil Servant</v>
          </cell>
          <cell r="G91">
            <v>618.42999999999995</v>
          </cell>
        </row>
        <row r="92">
          <cell r="A92" t="str">
            <v>CUS00071</v>
          </cell>
          <cell r="D92">
            <v>48</v>
          </cell>
          <cell r="F92" t="str">
            <v>Civil Servant</v>
          </cell>
          <cell r="G92">
            <v>759.9</v>
          </cell>
        </row>
        <row r="93">
          <cell r="A93" t="str">
            <v>CUS00232</v>
          </cell>
          <cell r="D93">
            <v>61</v>
          </cell>
          <cell r="F93" t="str">
            <v xml:space="preserve">Missing </v>
          </cell>
          <cell r="G93">
            <v>667.7</v>
          </cell>
        </row>
        <row r="94">
          <cell r="A94" t="str">
            <v>CUS00261</v>
          </cell>
          <cell r="D94">
            <v>38</v>
          </cell>
          <cell r="F94" t="str">
            <v>Teacher</v>
          </cell>
          <cell r="G94">
            <v>752.98</v>
          </cell>
        </row>
        <row r="95">
          <cell r="A95" t="str">
            <v>CUS00257</v>
          </cell>
          <cell r="D95">
            <v>43</v>
          </cell>
          <cell r="F95" t="str">
            <v>Student</v>
          </cell>
          <cell r="G95">
            <v>127.29</v>
          </cell>
        </row>
        <row r="96">
          <cell r="A96" t="str">
            <v>CUS00105</v>
          </cell>
          <cell r="D96">
            <v>32</v>
          </cell>
          <cell r="F96" t="str">
            <v>Self-Employed</v>
          </cell>
          <cell r="G96">
            <v>790.7</v>
          </cell>
        </row>
        <row r="97">
          <cell r="A97" t="str">
            <v>CUS00049</v>
          </cell>
          <cell r="D97">
            <v>44</v>
          </cell>
          <cell r="F97" t="str">
            <v>Civil Servant</v>
          </cell>
          <cell r="G97">
            <v>661.71</v>
          </cell>
        </row>
        <row r="98">
          <cell r="A98" t="str">
            <v>CUS00131</v>
          </cell>
          <cell r="D98">
            <v>29</v>
          </cell>
          <cell r="F98" t="str">
            <v>Student</v>
          </cell>
          <cell r="G98">
            <v>923.87</v>
          </cell>
        </row>
        <row r="99">
          <cell r="A99" t="str">
            <v>CUS00007</v>
          </cell>
          <cell r="D99">
            <v>45</v>
          </cell>
          <cell r="F99" t="str">
            <v>Civil Servant</v>
          </cell>
          <cell r="G99">
            <v>839.71</v>
          </cell>
        </row>
        <row r="100">
          <cell r="A100" t="str">
            <v>CUS00084</v>
          </cell>
          <cell r="D100">
            <v>62</v>
          </cell>
          <cell r="F100" t="str">
            <v>Engineer</v>
          </cell>
          <cell r="G100">
            <v>632.38</v>
          </cell>
        </row>
        <row r="101">
          <cell r="A101" t="str">
            <v>CUS00173</v>
          </cell>
          <cell r="D101">
            <v>59</v>
          </cell>
          <cell r="F101" t="str">
            <v>Self-Employed</v>
          </cell>
          <cell r="G101">
            <v>952.9</v>
          </cell>
        </row>
        <row r="102">
          <cell r="A102" t="str">
            <v>CUS00088</v>
          </cell>
          <cell r="D102">
            <v>26</v>
          </cell>
          <cell r="F102" t="str">
            <v>Teacher</v>
          </cell>
          <cell r="G102">
            <v>896.23</v>
          </cell>
        </row>
        <row r="103">
          <cell r="A103" t="str">
            <v>CUS00258</v>
          </cell>
          <cell r="D103">
            <v>37</v>
          </cell>
          <cell r="F103" t="str">
            <v>Business Owner</v>
          </cell>
          <cell r="G103">
            <v>1470.86</v>
          </cell>
        </row>
        <row r="104">
          <cell r="A104" t="str">
            <v>CUS00104</v>
          </cell>
          <cell r="D104">
            <v>43</v>
          </cell>
          <cell r="F104" t="str">
            <v>Business Owner</v>
          </cell>
          <cell r="G104">
            <v>1377.65</v>
          </cell>
        </row>
        <row r="105">
          <cell r="A105" t="str">
            <v>CUS00256</v>
          </cell>
          <cell r="D105">
            <v>21</v>
          </cell>
          <cell r="F105" t="str">
            <v>Business Owner</v>
          </cell>
          <cell r="G105">
            <v>1996.92</v>
          </cell>
        </row>
        <row r="106">
          <cell r="A106" t="str">
            <v>CUS00142</v>
          </cell>
          <cell r="D106">
            <v>24</v>
          </cell>
          <cell r="F106" t="str">
            <v>Engineer</v>
          </cell>
          <cell r="G106">
            <v>1411.64</v>
          </cell>
        </row>
        <row r="107">
          <cell r="A107" t="str">
            <v>CUS00134</v>
          </cell>
          <cell r="D107">
            <v>38</v>
          </cell>
          <cell r="F107" t="str">
            <v>Engineer</v>
          </cell>
          <cell r="G107">
            <v>836.33</v>
          </cell>
        </row>
        <row r="108">
          <cell r="A108" t="str">
            <v>CUS00201</v>
          </cell>
          <cell r="D108">
            <v>55</v>
          </cell>
          <cell r="F108" t="str">
            <v>Civil Servant</v>
          </cell>
          <cell r="G108">
            <v>1021.22</v>
          </cell>
        </row>
        <row r="109">
          <cell r="A109" t="str">
            <v>CUS00081</v>
          </cell>
          <cell r="D109">
            <v>61</v>
          </cell>
          <cell r="F109" t="str">
            <v>Student</v>
          </cell>
          <cell r="G109">
            <v>265.87</v>
          </cell>
        </row>
        <row r="110">
          <cell r="A110" t="str">
            <v>CUS00267</v>
          </cell>
          <cell r="D110">
            <v>43</v>
          </cell>
          <cell r="F110" t="str">
            <v>Student</v>
          </cell>
          <cell r="G110">
            <v>169.21</v>
          </cell>
        </row>
        <row r="111">
          <cell r="A111" t="str">
            <v>CUS00119</v>
          </cell>
          <cell r="D111">
            <v>65</v>
          </cell>
          <cell r="F111" t="str">
            <v>Teacher</v>
          </cell>
          <cell r="G111">
            <v>799.53</v>
          </cell>
        </row>
        <row r="112">
          <cell r="A112" t="str">
            <v>CUS00246</v>
          </cell>
          <cell r="D112">
            <v>41</v>
          </cell>
          <cell r="F112" t="str">
            <v>Healthcare</v>
          </cell>
          <cell r="G112">
            <v>1081.02</v>
          </cell>
        </row>
        <row r="113">
          <cell r="D113">
            <v>32</v>
          </cell>
          <cell r="F113" t="str">
            <v>Business Owner</v>
          </cell>
          <cell r="G113">
            <v>1614.28</v>
          </cell>
        </row>
        <row r="114">
          <cell r="A114" t="str">
            <v>CUS00004</v>
          </cell>
          <cell r="D114">
            <v>42</v>
          </cell>
          <cell r="F114" t="str">
            <v>Teacher</v>
          </cell>
          <cell r="G114">
            <v>648.44000000000005</v>
          </cell>
        </row>
        <row r="115">
          <cell r="A115" t="str">
            <v>CUS00183</v>
          </cell>
          <cell r="D115">
            <v>18</v>
          </cell>
          <cell r="F115" t="str">
            <v>Student</v>
          </cell>
          <cell r="G115">
            <v>275.93</v>
          </cell>
        </row>
        <row r="116">
          <cell r="A116" t="str">
            <v>CUS00240</v>
          </cell>
          <cell r="D116">
            <v>22</v>
          </cell>
          <cell r="F116" t="str">
            <v>Self-Employed</v>
          </cell>
          <cell r="G116">
            <v>1281</v>
          </cell>
        </row>
        <row r="117">
          <cell r="A117" t="str">
            <v>CUS00086</v>
          </cell>
          <cell r="D117">
            <v>123</v>
          </cell>
          <cell r="F117" t="str">
            <v>Engineer</v>
          </cell>
          <cell r="G117">
            <v>796.52</v>
          </cell>
        </row>
        <row r="118">
          <cell r="A118" t="str">
            <v>CUS00235</v>
          </cell>
          <cell r="D118">
            <v>19</v>
          </cell>
          <cell r="F118" t="str">
            <v>Teacher</v>
          </cell>
          <cell r="G118">
            <v>579.54999999999995</v>
          </cell>
        </row>
        <row r="119">
          <cell r="A119" t="str">
            <v>CUS00122</v>
          </cell>
          <cell r="D119">
            <v>60</v>
          </cell>
          <cell r="F119" t="str">
            <v>Self-Employed</v>
          </cell>
          <cell r="G119">
            <v>712.55</v>
          </cell>
        </row>
        <row r="120">
          <cell r="D120">
            <v>50</v>
          </cell>
          <cell r="F120" t="str">
            <v>Self-Employed</v>
          </cell>
          <cell r="G120">
            <v>917.25</v>
          </cell>
        </row>
        <row r="121">
          <cell r="A121" t="str">
            <v>CUS00128</v>
          </cell>
          <cell r="D121">
            <v>21</v>
          </cell>
          <cell r="F121" t="str">
            <v>Engineer</v>
          </cell>
          <cell r="G121">
            <v>890.48</v>
          </cell>
        </row>
        <row r="122">
          <cell r="A122" t="str">
            <v>CUS00037</v>
          </cell>
          <cell r="D122">
            <v>61</v>
          </cell>
          <cell r="F122" t="str">
            <v>Student</v>
          </cell>
          <cell r="G122">
            <v>294.94</v>
          </cell>
        </row>
        <row r="123">
          <cell r="A123" t="str">
            <v>CUS00152</v>
          </cell>
          <cell r="D123">
            <v>44</v>
          </cell>
          <cell r="F123" t="str">
            <v>Self-Employed</v>
          </cell>
          <cell r="G123">
            <v>756.75</v>
          </cell>
        </row>
        <row r="124">
          <cell r="A124" t="str">
            <v>CUS00222</v>
          </cell>
          <cell r="D124">
            <v>58</v>
          </cell>
          <cell r="F124" t="str">
            <v>Business Owner</v>
          </cell>
          <cell r="G124">
            <v>1316.09</v>
          </cell>
        </row>
        <row r="125">
          <cell r="A125" t="str">
            <v>CUS00090</v>
          </cell>
          <cell r="D125">
            <v>33</v>
          </cell>
          <cell r="F125" t="str">
            <v>Self-Employed</v>
          </cell>
          <cell r="G125">
            <v>753.73</v>
          </cell>
        </row>
        <row r="126">
          <cell r="A126" t="str">
            <v>CUS00014</v>
          </cell>
          <cell r="D126">
            <v>49</v>
          </cell>
          <cell r="F126" t="str">
            <v>Self-Employed</v>
          </cell>
          <cell r="G126">
            <v>527.12</v>
          </cell>
        </row>
        <row r="127">
          <cell r="A127" t="str">
            <v>CUS00203</v>
          </cell>
          <cell r="D127">
            <v>35</v>
          </cell>
          <cell r="F127" t="str">
            <v>CIVIL SERVANT</v>
          </cell>
          <cell r="G127">
            <v>646.07000000000005</v>
          </cell>
        </row>
        <row r="128">
          <cell r="A128" t="str">
            <v>CUS00219</v>
          </cell>
          <cell r="D128">
            <v>42</v>
          </cell>
          <cell r="F128" t="str">
            <v>Healthcare</v>
          </cell>
          <cell r="G128">
            <v>1155.3399999999999</v>
          </cell>
        </row>
        <row r="129">
          <cell r="A129" t="str">
            <v>CUS00110</v>
          </cell>
          <cell r="D129">
            <v>50</v>
          </cell>
          <cell r="F129" t="str">
            <v>Business Owner</v>
          </cell>
          <cell r="G129">
            <v>923.87</v>
          </cell>
        </row>
        <row r="130">
          <cell r="A130" t="str">
            <v>CUS00200</v>
          </cell>
          <cell r="D130">
            <v>21</v>
          </cell>
          <cell r="F130" t="str">
            <v>Healthcare</v>
          </cell>
          <cell r="G130">
            <v>845.86</v>
          </cell>
        </row>
        <row r="131">
          <cell r="A131" t="str">
            <v>CUS00148</v>
          </cell>
          <cell r="D131">
            <v>46</v>
          </cell>
          <cell r="F131" t="str">
            <v>Business Owner</v>
          </cell>
          <cell r="G131">
            <v>1455.22</v>
          </cell>
        </row>
        <row r="132">
          <cell r="A132" t="str">
            <v>CUS00079</v>
          </cell>
          <cell r="D132">
            <v>39</v>
          </cell>
          <cell r="F132" t="str">
            <v>Student</v>
          </cell>
          <cell r="G132">
            <v>120.06</v>
          </cell>
        </row>
        <row r="133">
          <cell r="A133" t="str">
            <v>CUS00118</v>
          </cell>
          <cell r="D133">
            <v>60</v>
          </cell>
          <cell r="F133" t="str">
            <v>Student</v>
          </cell>
          <cell r="G133">
            <v>923.87</v>
          </cell>
        </row>
        <row r="134">
          <cell r="A134" t="str">
            <v>CUS00292</v>
          </cell>
          <cell r="D134">
            <v>46</v>
          </cell>
          <cell r="F134" t="str">
            <v>Teacher</v>
          </cell>
          <cell r="G134">
            <v>675.77</v>
          </cell>
        </row>
        <row r="135">
          <cell r="A135" t="str">
            <v>CUS00202</v>
          </cell>
          <cell r="D135">
            <v>44</v>
          </cell>
          <cell r="F135" t="str">
            <v>Teacher</v>
          </cell>
          <cell r="G135">
            <v>409.49</v>
          </cell>
        </row>
        <row r="136">
          <cell r="A136" t="str">
            <v>CUS00132</v>
          </cell>
          <cell r="D136">
            <v>41</v>
          </cell>
          <cell r="F136" t="str">
            <v>Healthcare</v>
          </cell>
          <cell r="G136">
            <v>10006</v>
          </cell>
        </row>
        <row r="137">
          <cell r="A137" t="str">
            <v>CUS00087</v>
          </cell>
          <cell r="D137">
            <v>70</v>
          </cell>
          <cell r="F137" t="str">
            <v>Business Owner</v>
          </cell>
          <cell r="G137">
            <v>1956.52</v>
          </cell>
        </row>
        <row r="138">
          <cell r="A138" t="str">
            <v>CUS00021</v>
          </cell>
          <cell r="D138">
            <v>19</v>
          </cell>
          <cell r="F138" t="str">
            <v>Civil Servant</v>
          </cell>
          <cell r="G138">
            <v>923.87</v>
          </cell>
        </row>
        <row r="139">
          <cell r="A139" t="str">
            <v>CUS00228</v>
          </cell>
          <cell r="D139">
            <v>59</v>
          </cell>
          <cell r="F139" t="str">
            <v>Teacher</v>
          </cell>
          <cell r="G139">
            <v>923.87</v>
          </cell>
        </row>
        <row r="140">
          <cell r="A140" t="str">
            <v>CUS00269</v>
          </cell>
          <cell r="D140">
            <v>65</v>
          </cell>
          <cell r="F140" t="str">
            <v>Self-Employed</v>
          </cell>
          <cell r="G140">
            <v>810.64</v>
          </cell>
        </row>
        <row r="141">
          <cell r="A141" t="str">
            <v>CUS00248</v>
          </cell>
          <cell r="D141">
            <v>30</v>
          </cell>
          <cell r="F141" t="str">
            <v>Teacher</v>
          </cell>
          <cell r="G141">
            <v>855.02</v>
          </cell>
        </row>
        <row r="142">
          <cell r="A142" t="str">
            <v>CUS00153</v>
          </cell>
          <cell r="D142">
            <v>52</v>
          </cell>
          <cell r="F142" t="str">
            <v>Student</v>
          </cell>
          <cell r="G142">
            <v>316.74</v>
          </cell>
        </row>
        <row r="143">
          <cell r="A143" t="str">
            <v>CUS00215</v>
          </cell>
          <cell r="D143">
            <v>31</v>
          </cell>
          <cell r="F143" t="str">
            <v>Business Owner</v>
          </cell>
          <cell r="G143">
            <v>1961.76</v>
          </cell>
        </row>
        <row r="144">
          <cell r="A144" t="str">
            <v>CUS00281</v>
          </cell>
          <cell r="D144">
            <v>34</v>
          </cell>
          <cell r="F144" t="str">
            <v>Engineer</v>
          </cell>
          <cell r="G144">
            <v>1390.38</v>
          </cell>
        </row>
        <row r="145">
          <cell r="A145" t="str">
            <v>CUS00169</v>
          </cell>
          <cell r="D145">
            <v>44</v>
          </cell>
          <cell r="F145" t="str">
            <v>Business Owner</v>
          </cell>
          <cell r="G145">
            <v>1852.82</v>
          </cell>
        </row>
        <row r="146">
          <cell r="A146" t="str">
            <v>CUS00264</v>
          </cell>
          <cell r="D146">
            <v>68</v>
          </cell>
          <cell r="F146" t="str">
            <v xml:space="preserve">Missing </v>
          </cell>
          <cell r="G146">
            <v>843.99</v>
          </cell>
        </row>
        <row r="147">
          <cell r="D147">
            <v>50</v>
          </cell>
          <cell r="F147" t="str">
            <v>Business Owner</v>
          </cell>
          <cell r="G147">
            <v>1828.2</v>
          </cell>
        </row>
        <row r="148">
          <cell r="A148" t="str">
            <v>CUS00154</v>
          </cell>
          <cell r="D148">
            <v>60</v>
          </cell>
          <cell r="F148" t="str">
            <v>Business Owner</v>
          </cell>
          <cell r="G148">
            <v>785.37</v>
          </cell>
        </row>
        <row r="149">
          <cell r="A149" t="str">
            <v>CUS00116</v>
          </cell>
          <cell r="D149">
            <v>70</v>
          </cell>
          <cell r="F149" t="str">
            <v>Business Owner</v>
          </cell>
          <cell r="G149">
            <v>924.95</v>
          </cell>
        </row>
        <row r="150">
          <cell r="A150" t="str">
            <v>CUS00288</v>
          </cell>
          <cell r="D150">
            <v>44</v>
          </cell>
          <cell r="F150" t="str">
            <v>Teacher</v>
          </cell>
          <cell r="G150">
            <v>758.44</v>
          </cell>
        </row>
        <row r="151">
          <cell r="A151" t="str">
            <v>CUS00125</v>
          </cell>
          <cell r="D151">
            <v>35</v>
          </cell>
          <cell r="F151" t="str">
            <v>Business Owner</v>
          </cell>
          <cell r="G151">
            <v>1086.6400000000001</v>
          </cell>
        </row>
        <row r="152">
          <cell r="A152" t="str">
            <v>CUS00047</v>
          </cell>
          <cell r="D152">
            <v>43</v>
          </cell>
          <cell r="F152" t="str">
            <v>Engineer</v>
          </cell>
          <cell r="G152">
            <v>624.91999999999996</v>
          </cell>
        </row>
        <row r="153">
          <cell r="A153" t="str">
            <v>CUS00270</v>
          </cell>
          <cell r="D153">
            <v>44</v>
          </cell>
          <cell r="F153" t="str">
            <v>Business Owner</v>
          </cell>
          <cell r="G153">
            <v>1015.92</v>
          </cell>
        </row>
        <row r="154">
          <cell r="A154" t="str">
            <v>CUS00085</v>
          </cell>
          <cell r="D154">
            <v>62</v>
          </cell>
          <cell r="F154" t="str">
            <v>Engineer</v>
          </cell>
          <cell r="G154">
            <v>1371.98</v>
          </cell>
        </row>
        <row r="155">
          <cell r="A155" t="str">
            <v>CUS00030</v>
          </cell>
          <cell r="D155">
            <v>28</v>
          </cell>
          <cell r="F155" t="str">
            <v>Healthcare</v>
          </cell>
          <cell r="G155">
            <v>836.87</v>
          </cell>
        </row>
        <row r="156">
          <cell r="A156" t="str">
            <v>CUS00237</v>
          </cell>
          <cell r="D156">
            <v>44</v>
          </cell>
          <cell r="F156" t="str">
            <v>Business Owner</v>
          </cell>
          <cell r="G156">
            <v>895.93</v>
          </cell>
        </row>
        <row r="157">
          <cell r="A157" t="str">
            <v>CUS00041</v>
          </cell>
          <cell r="D157">
            <v>65</v>
          </cell>
          <cell r="F157" t="str">
            <v>Business Owner</v>
          </cell>
          <cell r="G157">
            <v>1137.32</v>
          </cell>
        </row>
        <row r="158">
          <cell r="A158" t="str">
            <v>CUS00011</v>
          </cell>
          <cell r="D158">
            <v>70</v>
          </cell>
          <cell r="F158" t="str">
            <v>Healthcare</v>
          </cell>
          <cell r="G158">
            <v>1087.08</v>
          </cell>
        </row>
        <row r="159">
          <cell r="A159" t="str">
            <v>CUS00042</v>
          </cell>
          <cell r="D159">
            <v>44</v>
          </cell>
          <cell r="F159" t="str">
            <v>Teacher</v>
          </cell>
          <cell r="G159">
            <v>648.57000000000005</v>
          </cell>
        </row>
        <row r="160">
          <cell r="A160" t="str">
            <v>CUS00210</v>
          </cell>
          <cell r="D160">
            <v>52</v>
          </cell>
          <cell r="F160" t="str">
            <v>Healthcare</v>
          </cell>
          <cell r="G160">
            <v>1064.4100000000001</v>
          </cell>
        </row>
        <row r="161">
          <cell r="D161">
            <v>53</v>
          </cell>
          <cell r="F161" t="str">
            <v>Self-Employed</v>
          </cell>
          <cell r="G161">
            <v>944.96</v>
          </cell>
        </row>
        <row r="162">
          <cell r="A162" t="str">
            <v>CUS00147</v>
          </cell>
          <cell r="D162">
            <v>36</v>
          </cell>
          <cell r="F162" t="str">
            <v>Healthcare</v>
          </cell>
          <cell r="G162">
            <v>508.34</v>
          </cell>
        </row>
        <row r="163">
          <cell r="A163" t="str">
            <v>CUS00066</v>
          </cell>
          <cell r="D163">
            <v>52</v>
          </cell>
          <cell r="F163" t="str">
            <v>Healthcare</v>
          </cell>
          <cell r="G163">
            <v>934.22</v>
          </cell>
        </row>
        <row r="164">
          <cell r="A164" t="str">
            <v>CUS00187</v>
          </cell>
          <cell r="D164">
            <v>26</v>
          </cell>
          <cell r="F164" t="str">
            <v>Student</v>
          </cell>
          <cell r="G164">
            <v>267.12</v>
          </cell>
        </row>
        <row r="165">
          <cell r="A165" t="str">
            <v>CUS00160</v>
          </cell>
          <cell r="D165">
            <v>42</v>
          </cell>
          <cell r="F165" t="str">
            <v>Business Owner</v>
          </cell>
          <cell r="G165">
            <v>1672.71</v>
          </cell>
        </row>
        <row r="166">
          <cell r="A166" t="str">
            <v>CUS00162</v>
          </cell>
          <cell r="D166">
            <v>29</v>
          </cell>
          <cell r="F166" t="str">
            <v>Teacher</v>
          </cell>
          <cell r="G166">
            <v>794.1</v>
          </cell>
        </row>
        <row r="167">
          <cell r="A167" t="str">
            <v>CUS00175</v>
          </cell>
          <cell r="D167">
            <v>59</v>
          </cell>
          <cell r="F167" t="str">
            <v>Teacher</v>
          </cell>
          <cell r="G167">
            <v>856.56</v>
          </cell>
        </row>
        <row r="168">
          <cell r="A168" t="str">
            <v>CUS00208</v>
          </cell>
          <cell r="D168">
            <v>66</v>
          </cell>
          <cell r="F168" t="str">
            <v>Self-Employed</v>
          </cell>
          <cell r="G168">
            <v>457.6</v>
          </cell>
        </row>
        <row r="169">
          <cell r="A169" t="str">
            <v>CUS00045</v>
          </cell>
          <cell r="D169">
            <v>60</v>
          </cell>
          <cell r="F169" t="str">
            <v>Student</v>
          </cell>
          <cell r="G169">
            <v>175.19</v>
          </cell>
        </row>
        <row r="170">
          <cell r="A170" t="str">
            <v>CUS00271</v>
          </cell>
          <cell r="D170">
            <v>48</v>
          </cell>
          <cell r="F170" t="str">
            <v>Civil Servant</v>
          </cell>
          <cell r="G170">
            <v>746.26</v>
          </cell>
        </row>
        <row r="171">
          <cell r="A171" t="str">
            <v>CUS00135</v>
          </cell>
          <cell r="D171">
            <v>55</v>
          </cell>
          <cell r="F171" t="str">
            <v>Business Owner</v>
          </cell>
          <cell r="G171">
            <v>1137.1600000000001</v>
          </cell>
        </row>
        <row r="172">
          <cell r="A172" t="str">
            <v>CUS00140</v>
          </cell>
          <cell r="D172">
            <v>30</v>
          </cell>
          <cell r="F172" t="str">
            <v>Student</v>
          </cell>
          <cell r="G172">
            <v>167.65</v>
          </cell>
        </row>
        <row r="173">
          <cell r="A173" t="str">
            <v>CUS00212</v>
          </cell>
          <cell r="D173">
            <v>31</v>
          </cell>
          <cell r="F173" t="str">
            <v>Teacher</v>
          </cell>
          <cell r="G173">
            <v>638.6</v>
          </cell>
        </row>
        <row r="174">
          <cell r="A174" t="str">
            <v>CUS00230</v>
          </cell>
          <cell r="D174">
            <v>62</v>
          </cell>
          <cell r="F174" t="str">
            <v>Student</v>
          </cell>
          <cell r="G174">
            <v>210.96</v>
          </cell>
        </row>
        <row r="175">
          <cell r="A175" t="str">
            <v>CUS00254</v>
          </cell>
          <cell r="D175">
            <v>28</v>
          </cell>
          <cell r="F175" t="str">
            <v>Student</v>
          </cell>
          <cell r="G175">
            <v>152.91999999999999</v>
          </cell>
        </row>
        <row r="176">
          <cell r="A176" t="str">
            <v>CUS00143</v>
          </cell>
          <cell r="D176">
            <v>26</v>
          </cell>
          <cell r="F176" t="str">
            <v>Engineer</v>
          </cell>
          <cell r="G176">
            <v>1481.76</v>
          </cell>
        </row>
        <row r="177">
          <cell r="A177" t="str">
            <v>CUS00265</v>
          </cell>
          <cell r="D177">
            <v>33</v>
          </cell>
          <cell r="F177" t="str">
            <v>CS</v>
          </cell>
          <cell r="G177">
            <v>964.35</v>
          </cell>
        </row>
        <row r="178">
          <cell r="A178" t="str">
            <v>CUS00092</v>
          </cell>
          <cell r="D178">
            <v>69</v>
          </cell>
          <cell r="F178" t="str">
            <v>Healthcare</v>
          </cell>
          <cell r="G178">
            <v>1244.97</v>
          </cell>
        </row>
        <row r="179">
          <cell r="A179" t="str">
            <v>CUS00050</v>
          </cell>
          <cell r="D179">
            <v>18</v>
          </cell>
          <cell r="F179" t="str">
            <v>Business Owner</v>
          </cell>
          <cell r="G179">
            <v>721.99</v>
          </cell>
        </row>
        <row r="180">
          <cell r="A180" t="str">
            <v>CUS00198</v>
          </cell>
          <cell r="D180">
            <v>33</v>
          </cell>
          <cell r="F180" t="str">
            <v>Healthcare</v>
          </cell>
          <cell r="G180">
            <v>1332.38</v>
          </cell>
        </row>
        <row r="181">
          <cell r="A181" t="str">
            <v>CUS00123</v>
          </cell>
          <cell r="D181">
            <v>66</v>
          </cell>
          <cell r="F181" t="str">
            <v>Business Owner</v>
          </cell>
          <cell r="G181">
            <v>969.34</v>
          </cell>
        </row>
        <row r="182">
          <cell r="A182" t="str">
            <v>CUS00012</v>
          </cell>
          <cell r="D182">
            <v>65</v>
          </cell>
          <cell r="F182" t="str">
            <v>Engineer</v>
          </cell>
          <cell r="G182">
            <v>790.75</v>
          </cell>
        </row>
        <row r="183">
          <cell r="A183" t="str">
            <v>CUS00056</v>
          </cell>
          <cell r="D183">
            <v>67</v>
          </cell>
          <cell r="F183" t="str">
            <v>Teacher</v>
          </cell>
          <cell r="G183">
            <v>828.77</v>
          </cell>
        </row>
        <row r="184">
          <cell r="A184" t="str">
            <v>CUS00156</v>
          </cell>
          <cell r="D184">
            <v>37</v>
          </cell>
          <cell r="F184" t="str">
            <v>Business Owner</v>
          </cell>
          <cell r="G184">
            <v>1800.86</v>
          </cell>
        </row>
        <row r="185">
          <cell r="D185">
            <v>41</v>
          </cell>
          <cell r="F185" t="str">
            <v>Healthcare</v>
          </cell>
          <cell r="G185">
            <v>1200.17</v>
          </cell>
        </row>
        <row r="186">
          <cell r="A186" t="str">
            <v>CUS00262</v>
          </cell>
          <cell r="D186">
            <v>67</v>
          </cell>
          <cell r="F186" t="str">
            <v>Civil Servant</v>
          </cell>
          <cell r="G186">
            <v>923.87</v>
          </cell>
        </row>
        <row r="187">
          <cell r="A187" t="str">
            <v>CUS00266</v>
          </cell>
          <cell r="D187">
            <v>44</v>
          </cell>
          <cell r="F187" t="str">
            <v>Healthcare</v>
          </cell>
          <cell r="G187">
            <v>853.76</v>
          </cell>
        </row>
        <row r="188">
          <cell r="D188">
            <v>21</v>
          </cell>
          <cell r="F188" t="str">
            <v>Healthcare</v>
          </cell>
          <cell r="G188">
            <v>1144.9100000000001</v>
          </cell>
        </row>
        <row r="189">
          <cell r="A189" t="str">
            <v>CUS00214</v>
          </cell>
          <cell r="D189">
            <v>56</v>
          </cell>
          <cell r="F189" t="str">
            <v>Business Owner</v>
          </cell>
          <cell r="G189">
            <v>660.22</v>
          </cell>
        </row>
        <row r="190">
          <cell r="A190" t="str">
            <v>CUS00166</v>
          </cell>
          <cell r="D190">
            <v>41</v>
          </cell>
          <cell r="F190" t="str">
            <v>Teacher</v>
          </cell>
          <cell r="G190">
            <v>868.55</v>
          </cell>
        </row>
        <row r="191">
          <cell r="A191" t="str">
            <v>CUS00006</v>
          </cell>
          <cell r="D191">
            <v>40</v>
          </cell>
          <cell r="F191" t="str">
            <v>Civil Servant</v>
          </cell>
          <cell r="G191">
            <v>789.1</v>
          </cell>
        </row>
        <row r="192">
          <cell r="A192" t="str">
            <v>CUS00046</v>
          </cell>
          <cell r="D192">
            <v>38</v>
          </cell>
          <cell r="F192" t="str">
            <v>Self-Employed</v>
          </cell>
          <cell r="G192">
            <v>748.35</v>
          </cell>
        </row>
        <row r="193">
          <cell r="A193" t="str">
            <v>CUS00167</v>
          </cell>
          <cell r="D193">
            <v>37</v>
          </cell>
          <cell r="F193" t="str">
            <v>Teacher</v>
          </cell>
          <cell r="G193">
            <v>853.86</v>
          </cell>
        </row>
        <row r="194">
          <cell r="A194" t="str">
            <v>CUS00188</v>
          </cell>
          <cell r="D194">
            <v>30</v>
          </cell>
          <cell r="F194" t="str">
            <v>Healthcare</v>
          </cell>
          <cell r="G194">
            <v>1315.27</v>
          </cell>
        </row>
        <row r="195">
          <cell r="A195" t="str">
            <v>CUS00010</v>
          </cell>
          <cell r="D195">
            <v>55</v>
          </cell>
          <cell r="F195" t="str">
            <v>Healthcare</v>
          </cell>
          <cell r="G195">
            <v>775.19</v>
          </cell>
        </row>
        <row r="196">
          <cell r="A196" t="str">
            <v>CUS00136</v>
          </cell>
          <cell r="D196">
            <v>32</v>
          </cell>
          <cell r="F196" t="str">
            <v>Civil Servant</v>
          </cell>
          <cell r="G196">
            <v>707.01</v>
          </cell>
        </row>
        <row r="197">
          <cell r="A197" t="str">
            <v>CUS00199</v>
          </cell>
          <cell r="D197">
            <v>65</v>
          </cell>
          <cell r="F197" t="str">
            <v>Healthcare</v>
          </cell>
          <cell r="G197">
            <v>742.69</v>
          </cell>
        </row>
        <row r="198">
          <cell r="A198" t="str">
            <v>CUS00008</v>
          </cell>
          <cell r="D198">
            <v>60</v>
          </cell>
          <cell r="F198" t="str">
            <v>Engineer</v>
          </cell>
          <cell r="G198">
            <v>599.34</v>
          </cell>
        </row>
        <row r="199">
          <cell r="A199" t="str">
            <v>CUS00001</v>
          </cell>
          <cell r="D199">
            <v>39</v>
          </cell>
          <cell r="F199" t="str">
            <v>Engineer</v>
          </cell>
          <cell r="G199">
            <v>797.52</v>
          </cell>
        </row>
        <row r="200">
          <cell r="A200" t="str">
            <v>CUS00157</v>
          </cell>
          <cell r="D200">
            <v>51</v>
          </cell>
          <cell r="F200" t="str">
            <v>Business Owner</v>
          </cell>
          <cell r="G200">
            <v>1547.72</v>
          </cell>
        </row>
        <row r="201">
          <cell r="A201" t="str">
            <v>CUS00206</v>
          </cell>
          <cell r="D201">
            <v>20</v>
          </cell>
          <cell r="F201" t="str">
            <v>Civil Servant</v>
          </cell>
          <cell r="G201">
            <v>923.87</v>
          </cell>
        </row>
        <row r="202">
          <cell r="A202" t="str">
            <v>CUS00286</v>
          </cell>
          <cell r="D202">
            <v>18</v>
          </cell>
          <cell r="F202" t="str">
            <v>Student</v>
          </cell>
          <cell r="G202">
            <v>108.23</v>
          </cell>
        </row>
        <row r="203">
          <cell r="A203" t="str">
            <v>CUS00189</v>
          </cell>
          <cell r="D203">
            <v>28</v>
          </cell>
          <cell r="F203" t="str">
            <v>Teacher</v>
          </cell>
          <cell r="G203">
            <v>919.61</v>
          </cell>
        </row>
        <row r="204">
          <cell r="A204" t="str">
            <v>CUS00027</v>
          </cell>
          <cell r="D204">
            <v>44</v>
          </cell>
          <cell r="F204" t="str">
            <v>Self-Employed</v>
          </cell>
          <cell r="G204">
            <v>923.87</v>
          </cell>
        </row>
        <row r="205">
          <cell r="A205" t="str">
            <v>CUS00033</v>
          </cell>
          <cell r="D205">
            <v>54</v>
          </cell>
          <cell r="F205" t="str">
            <v>Civil Servant</v>
          </cell>
          <cell r="G205">
            <v>1108.6199999999999</v>
          </cell>
        </row>
        <row r="206">
          <cell r="A206" t="str">
            <v>CUS00096</v>
          </cell>
          <cell r="D206">
            <v>33</v>
          </cell>
          <cell r="F206" t="str">
            <v>Civil Servant</v>
          </cell>
          <cell r="G206">
            <v>930.02</v>
          </cell>
        </row>
        <row r="207">
          <cell r="A207" t="str">
            <v>CUS00130</v>
          </cell>
          <cell r="D207">
            <v>55</v>
          </cell>
          <cell r="F207" t="str">
            <v>Engineer</v>
          </cell>
          <cell r="G207">
            <v>1603.75</v>
          </cell>
        </row>
        <row r="208">
          <cell r="A208" t="str">
            <v>CUS00107</v>
          </cell>
          <cell r="D208">
            <v>46</v>
          </cell>
          <cell r="F208" t="str">
            <v>Business Owner</v>
          </cell>
          <cell r="G208">
            <v>1509.47</v>
          </cell>
        </row>
        <row r="209">
          <cell r="A209" t="str">
            <v>CUS00197</v>
          </cell>
          <cell r="D209">
            <v>48</v>
          </cell>
          <cell r="F209" t="str">
            <v>Teacher</v>
          </cell>
          <cell r="G209">
            <v>921.62</v>
          </cell>
        </row>
        <row r="210">
          <cell r="A210" t="str">
            <v>CUS00177</v>
          </cell>
          <cell r="D210">
            <v>57</v>
          </cell>
          <cell r="F210" t="str">
            <v>Healthcare</v>
          </cell>
          <cell r="G210">
            <v>502.04</v>
          </cell>
        </row>
        <row r="211">
          <cell r="A211" t="str">
            <v>CUS00249</v>
          </cell>
          <cell r="D211">
            <v>42</v>
          </cell>
          <cell r="F211" t="str">
            <v>Business Owner</v>
          </cell>
          <cell r="G211">
            <v>1091.0999999999999</v>
          </cell>
        </row>
        <row r="212">
          <cell r="A212" t="str">
            <v>CUS00164</v>
          </cell>
          <cell r="D212">
            <v>58</v>
          </cell>
          <cell r="F212" t="str">
            <v>Business Owner</v>
          </cell>
          <cell r="G212">
            <v>1013.28</v>
          </cell>
        </row>
        <row r="213">
          <cell r="A213" t="str">
            <v>CUS00051</v>
          </cell>
          <cell r="D213">
            <v>30</v>
          </cell>
          <cell r="F213" t="str">
            <v>Self-Employed</v>
          </cell>
          <cell r="G213">
            <v>728.45</v>
          </cell>
        </row>
        <row r="214">
          <cell r="A214" t="str">
            <v>CUS00003</v>
          </cell>
          <cell r="D214">
            <v>67</v>
          </cell>
          <cell r="F214" t="str">
            <v>Engineer</v>
          </cell>
          <cell r="G214">
            <v>923.87</v>
          </cell>
        </row>
        <row r="215">
          <cell r="A215" t="str">
            <v>CUS00272</v>
          </cell>
          <cell r="D215">
            <v>39</v>
          </cell>
          <cell r="F215" t="str">
            <v xml:space="preserve">Missing </v>
          </cell>
          <cell r="G215">
            <v>838.84</v>
          </cell>
        </row>
        <row r="216">
          <cell r="A216" t="str">
            <v>CUS00216</v>
          </cell>
          <cell r="D216">
            <v>19</v>
          </cell>
          <cell r="F216" t="str">
            <v>Civil Servant</v>
          </cell>
          <cell r="G216">
            <v>916.62</v>
          </cell>
        </row>
        <row r="217">
          <cell r="A217" t="str">
            <v>CUS00052</v>
          </cell>
          <cell r="D217">
            <v>63</v>
          </cell>
          <cell r="F217" t="str">
            <v>Healthcare</v>
          </cell>
          <cell r="G217">
            <v>954.9</v>
          </cell>
        </row>
        <row r="218">
          <cell r="A218" t="str">
            <v>CUS00017</v>
          </cell>
          <cell r="D218">
            <v>33</v>
          </cell>
          <cell r="F218" t="str">
            <v xml:space="preserve">Missing </v>
          </cell>
          <cell r="G218">
            <v>519</v>
          </cell>
        </row>
        <row r="219">
          <cell r="A219" t="str">
            <v>CUS00285</v>
          </cell>
          <cell r="D219">
            <v>22</v>
          </cell>
          <cell r="F219" t="str">
            <v xml:space="preserve">Missing </v>
          </cell>
          <cell r="G219">
            <v>721.11</v>
          </cell>
        </row>
        <row r="220">
          <cell r="A220" t="str">
            <v>CUS00106</v>
          </cell>
          <cell r="D220">
            <v>48</v>
          </cell>
          <cell r="F220" t="str">
            <v>CS</v>
          </cell>
          <cell r="G220">
            <v>923.87</v>
          </cell>
        </row>
        <row r="221">
          <cell r="A221" t="str">
            <v>CUS00178</v>
          </cell>
          <cell r="D221">
            <v>32</v>
          </cell>
          <cell r="F221" t="str">
            <v>Business Owner</v>
          </cell>
          <cell r="G221">
            <v>2091.58</v>
          </cell>
        </row>
        <row r="222">
          <cell r="A222" t="str">
            <v>CUS00163</v>
          </cell>
          <cell r="D222">
            <v>53</v>
          </cell>
          <cell r="F222" t="str">
            <v>Business Owner</v>
          </cell>
          <cell r="G222">
            <v>901.36</v>
          </cell>
        </row>
        <row r="223">
          <cell r="A223" t="str">
            <v>CUS00171</v>
          </cell>
          <cell r="D223">
            <v>39</v>
          </cell>
          <cell r="F223" t="str">
            <v>Engineer</v>
          </cell>
          <cell r="G223">
            <v>1386</v>
          </cell>
        </row>
        <row r="224">
          <cell r="A224" t="str">
            <v>CUS00275</v>
          </cell>
          <cell r="D224">
            <v>59</v>
          </cell>
          <cell r="F224" t="str">
            <v>Teacher</v>
          </cell>
          <cell r="G224">
            <v>508.66</v>
          </cell>
        </row>
        <row r="225">
          <cell r="A225" t="str">
            <v>CUS00013</v>
          </cell>
          <cell r="D225">
            <v>43</v>
          </cell>
          <cell r="F225" t="str">
            <v>Teacher</v>
          </cell>
          <cell r="G225">
            <v>778.23</v>
          </cell>
        </row>
        <row r="226">
          <cell r="D226">
            <v>61</v>
          </cell>
          <cell r="F226" t="str">
            <v>Student</v>
          </cell>
          <cell r="G226">
            <v>176.82</v>
          </cell>
        </row>
        <row r="227">
          <cell r="A227" t="str">
            <v>CUS00209</v>
          </cell>
          <cell r="D227">
            <v>61</v>
          </cell>
          <cell r="F227" t="str">
            <v>Teacher</v>
          </cell>
          <cell r="G227">
            <v>923.87</v>
          </cell>
        </row>
        <row r="228">
          <cell r="A228" t="str">
            <v>CUS00065</v>
          </cell>
          <cell r="D228">
            <v>52</v>
          </cell>
          <cell r="F228" t="str">
            <v xml:space="preserve">Missing </v>
          </cell>
          <cell r="G228">
            <v>481.21</v>
          </cell>
        </row>
        <row r="229">
          <cell r="A229" t="str">
            <v>CUS00002</v>
          </cell>
          <cell r="D229">
            <v>47</v>
          </cell>
          <cell r="F229" t="str">
            <v>Student</v>
          </cell>
          <cell r="G229">
            <v>129.81</v>
          </cell>
        </row>
        <row r="230">
          <cell r="A230" t="str">
            <v>CUS00149</v>
          </cell>
          <cell r="D230">
            <v>55</v>
          </cell>
          <cell r="F230" t="str">
            <v>Engineer</v>
          </cell>
          <cell r="G230">
            <v>1436.28</v>
          </cell>
        </row>
        <row r="231">
          <cell r="D231">
            <v>38</v>
          </cell>
          <cell r="F231" t="str">
            <v>Teacher</v>
          </cell>
          <cell r="G231">
            <v>920.19</v>
          </cell>
        </row>
        <row r="232">
          <cell r="A232" t="str">
            <v>CUS00168</v>
          </cell>
          <cell r="D232">
            <v>40</v>
          </cell>
          <cell r="F232" t="str">
            <v>Self-Employed</v>
          </cell>
          <cell r="G232">
            <v>727.06</v>
          </cell>
        </row>
        <row r="233">
          <cell r="A233" t="str">
            <v>CUS00054</v>
          </cell>
          <cell r="D233">
            <v>63</v>
          </cell>
          <cell r="F233" t="str">
            <v>TEACHER</v>
          </cell>
          <cell r="G233">
            <v>306.45999999999998</v>
          </cell>
        </row>
        <row r="234">
          <cell r="A234" t="str">
            <v>CUS00194</v>
          </cell>
          <cell r="D234">
            <v>50</v>
          </cell>
          <cell r="F234" t="str">
            <v>Teacher</v>
          </cell>
          <cell r="G234">
            <v>818.19</v>
          </cell>
        </row>
        <row r="235">
          <cell r="A235" t="str">
            <v>CUS00059</v>
          </cell>
          <cell r="D235">
            <v>42</v>
          </cell>
          <cell r="F235" t="str">
            <v>Business Owner</v>
          </cell>
          <cell r="G235">
            <v>923.87</v>
          </cell>
        </row>
        <row r="236">
          <cell r="A236" t="str">
            <v>CUS00290</v>
          </cell>
          <cell r="D236">
            <v>36</v>
          </cell>
          <cell r="F236" t="str">
            <v xml:space="preserve">Missing </v>
          </cell>
          <cell r="G236">
            <v>216.82</v>
          </cell>
        </row>
        <row r="237">
          <cell r="D237">
            <v>63</v>
          </cell>
          <cell r="F237" t="str">
            <v>Student</v>
          </cell>
          <cell r="G237">
            <v>268.75</v>
          </cell>
        </row>
        <row r="238">
          <cell r="A238" t="str">
            <v>CUS00109</v>
          </cell>
          <cell r="D238">
            <v>43</v>
          </cell>
          <cell r="F238" t="str">
            <v>Engineer</v>
          </cell>
          <cell r="G238">
            <v>781.63</v>
          </cell>
        </row>
        <row r="239">
          <cell r="A239" t="str">
            <v>CUS00234</v>
          </cell>
          <cell r="D239">
            <v>40</v>
          </cell>
          <cell r="F239" t="str">
            <v>Civil Servant</v>
          </cell>
          <cell r="G239">
            <v>641.59</v>
          </cell>
        </row>
        <row r="240">
          <cell r="A240" t="str">
            <v>CUS00067</v>
          </cell>
          <cell r="D240">
            <v>19</v>
          </cell>
          <cell r="F240" t="str">
            <v>student</v>
          </cell>
          <cell r="G240">
            <v>278.61</v>
          </cell>
        </row>
        <row r="241">
          <cell r="A241" t="str">
            <v>CUS00276</v>
          </cell>
          <cell r="D241">
            <v>20</v>
          </cell>
          <cell r="F241" t="str">
            <v>Civil Servant</v>
          </cell>
          <cell r="G241">
            <v>389.22</v>
          </cell>
        </row>
        <row r="242">
          <cell r="A242" t="str">
            <v>CUS00291</v>
          </cell>
          <cell r="D242">
            <v>19</v>
          </cell>
          <cell r="F242" t="str">
            <v>Engineer</v>
          </cell>
          <cell r="G242">
            <v>1315.74</v>
          </cell>
        </row>
        <row r="243">
          <cell r="A243" t="str">
            <v>CUS00015</v>
          </cell>
          <cell r="D243">
            <v>70</v>
          </cell>
          <cell r="F243" t="str">
            <v>Business Owner</v>
          </cell>
          <cell r="G243">
            <v>891.18</v>
          </cell>
        </row>
        <row r="244">
          <cell r="A244" t="str">
            <v>CUS00158</v>
          </cell>
          <cell r="D244">
            <v>24</v>
          </cell>
          <cell r="F244" t="str">
            <v>Engineer</v>
          </cell>
          <cell r="G244">
            <v>608.08000000000004</v>
          </cell>
        </row>
        <row r="245">
          <cell r="A245" t="str">
            <v>CUS00115</v>
          </cell>
          <cell r="D245">
            <v>30</v>
          </cell>
          <cell r="F245" t="str">
            <v>Engineer</v>
          </cell>
          <cell r="G245">
            <v>602</v>
          </cell>
        </row>
        <row r="246">
          <cell r="A246" t="str">
            <v>CUS00213</v>
          </cell>
          <cell r="D246">
            <v>32</v>
          </cell>
          <cell r="F246" t="str">
            <v>Engineer</v>
          </cell>
          <cell r="G246">
            <v>1425.97</v>
          </cell>
        </row>
        <row r="247">
          <cell r="A247" t="str">
            <v>CUS00036</v>
          </cell>
          <cell r="D247">
            <v>45</v>
          </cell>
          <cell r="F247" t="str">
            <v>Self-Employed</v>
          </cell>
          <cell r="G247">
            <v>671.87</v>
          </cell>
        </row>
        <row r="248">
          <cell r="A248" t="str">
            <v>CUS00043</v>
          </cell>
          <cell r="D248">
            <v>43</v>
          </cell>
          <cell r="F248" t="str">
            <v>Civil Servant</v>
          </cell>
          <cell r="G248">
            <v>885.26</v>
          </cell>
        </row>
        <row r="249">
          <cell r="A249" t="str">
            <v>CUS00089</v>
          </cell>
          <cell r="D249">
            <v>40</v>
          </cell>
          <cell r="F249" t="str">
            <v>Self-Employed</v>
          </cell>
          <cell r="G249">
            <v>463.46</v>
          </cell>
        </row>
        <row r="250">
          <cell r="A250" t="str">
            <v>CUS00019</v>
          </cell>
          <cell r="D250">
            <v>54</v>
          </cell>
          <cell r="F250" t="str">
            <v>Teacher</v>
          </cell>
          <cell r="G250">
            <v>464.6</v>
          </cell>
        </row>
        <row r="251">
          <cell r="A251" t="str">
            <v>CUS00239</v>
          </cell>
          <cell r="D251">
            <v>38</v>
          </cell>
          <cell r="F251" t="str">
            <v>Teacher</v>
          </cell>
          <cell r="G251">
            <v>453.74</v>
          </cell>
        </row>
        <row r="252">
          <cell r="A252" t="str">
            <v>CUS00259</v>
          </cell>
          <cell r="D252">
            <v>21</v>
          </cell>
          <cell r="F252" t="str">
            <v xml:space="preserve">Missing </v>
          </cell>
          <cell r="G252">
            <v>1300.93</v>
          </cell>
        </row>
        <row r="253">
          <cell r="A253" t="str">
            <v>CUS00182</v>
          </cell>
          <cell r="D253">
            <v>43</v>
          </cell>
          <cell r="F253" t="str">
            <v>Healthcare</v>
          </cell>
          <cell r="G253">
            <v>1126.8900000000001</v>
          </cell>
        </row>
        <row r="254">
          <cell r="A254" t="str">
            <v>CUS00193</v>
          </cell>
          <cell r="D254">
            <v>61</v>
          </cell>
          <cell r="F254" t="str">
            <v>Civil Servant</v>
          </cell>
          <cell r="G254">
            <v>1071.8599999999999</v>
          </cell>
        </row>
        <row r="255">
          <cell r="A255" t="str">
            <v>CUS00250</v>
          </cell>
          <cell r="D255">
            <v>29</v>
          </cell>
          <cell r="F255" t="str">
            <v>Self-Employed</v>
          </cell>
          <cell r="G255">
            <v>1143.8399999999999</v>
          </cell>
        </row>
        <row r="256">
          <cell r="A256" t="str">
            <v>CUS00062</v>
          </cell>
          <cell r="D256">
            <v>47</v>
          </cell>
          <cell r="F256" t="str">
            <v>Engineer</v>
          </cell>
          <cell r="G256">
            <v>923.87</v>
          </cell>
        </row>
        <row r="257">
          <cell r="A257" t="str">
            <v>CUS00247</v>
          </cell>
          <cell r="D257">
            <v>39</v>
          </cell>
          <cell r="F257" t="str">
            <v>Civil Servant</v>
          </cell>
          <cell r="G257">
            <v>396.11</v>
          </cell>
        </row>
        <row r="258">
          <cell r="A258" t="str">
            <v>CUS00184</v>
          </cell>
          <cell r="D258">
            <v>64</v>
          </cell>
          <cell r="F258" t="str">
            <v>Self-Employed</v>
          </cell>
          <cell r="G258">
            <v>638.53</v>
          </cell>
        </row>
        <row r="259">
          <cell r="A259" t="str">
            <v>CUS00072</v>
          </cell>
          <cell r="D259">
            <v>29</v>
          </cell>
          <cell r="F259" t="str">
            <v>Engineer</v>
          </cell>
          <cell r="G259">
            <v>1516.2</v>
          </cell>
        </row>
        <row r="260">
          <cell r="A260" t="str">
            <v>CUS00031</v>
          </cell>
          <cell r="D260">
            <v>28</v>
          </cell>
          <cell r="F260" t="str">
            <v>Civil Servant</v>
          </cell>
          <cell r="G260">
            <v>647.6</v>
          </cell>
        </row>
        <row r="261">
          <cell r="A261" t="str">
            <v>CUS00165</v>
          </cell>
          <cell r="D261">
            <v>37</v>
          </cell>
          <cell r="F261" t="str">
            <v>Student</v>
          </cell>
          <cell r="G261">
            <v>923.87</v>
          </cell>
        </row>
        <row r="262">
          <cell r="A262" t="str">
            <v>CUS00279</v>
          </cell>
          <cell r="D262">
            <v>18</v>
          </cell>
          <cell r="F262" t="str">
            <v>Student</v>
          </cell>
          <cell r="G262">
            <v>312.77</v>
          </cell>
        </row>
        <row r="263">
          <cell r="A263" t="str">
            <v>CUS00180</v>
          </cell>
          <cell r="D263">
            <v>61</v>
          </cell>
          <cell r="F263" t="str">
            <v>Self-Employed</v>
          </cell>
          <cell r="G263">
            <v>961.13</v>
          </cell>
        </row>
        <row r="264">
          <cell r="A264" t="str">
            <v>CUS00221</v>
          </cell>
          <cell r="D264">
            <v>44</v>
          </cell>
          <cell r="F264" t="str">
            <v>Business Owner</v>
          </cell>
          <cell r="G264">
            <v>1300.01</v>
          </cell>
        </row>
        <row r="265">
          <cell r="A265" t="str">
            <v>CUS00217</v>
          </cell>
          <cell r="D265">
            <v>56</v>
          </cell>
          <cell r="F265" t="str">
            <v>Self-Employed</v>
          </cell>
          <cell r="G265">
            <v>1318.45</v>
          </cell>
        </row>
        <row r="266">
          <cell r="A266" t="str">
            <v>CUS00207</v>
          </cell>
          <cell r="D266">
            <v>52</v>
          </cell>
          <cell r="F266" t="str">
            <v xml:space="preserve">Missing </v>
          </cell>
          <cell r="G266">
            <v>494.83</v>
          </cell>
        </row>
        <row r="267">
          <cell r="A267" t="str">
            <v>CUS00129</v>
          </cell>
          <cell r="D267">
            <v>49</v>
          </cell>
          <cell r="F267" t="str">
            <v>Self-Employed</v>
          </cell>
          <cell r="G267">
            <v>1046.17</v>
          </cell>
        </row>
        <row r="268">
          <cell r="A268" t="str">
            <v>CUS00074</v>
          </cell>
          <cell r="D268">
            <v>44</v>
          </cell>
          <cell r="F268" t="str">
            <v>Business Owner</v>
          </cell>
          <cell r="G268">
            <v>746.07</v>
          </cell>
        </row>
        <row r="269">
          <cell r="A269" t="str">
            <v>CUS00192</v>
          </cell>
          <cell r="D269">
            <v>44</v>
          </cell>
          <cell r="F269" t="str">
            <v>Student</v>
          </cell>
          <cell r="G269">
            <v>149.24</v>
          </cell>
        </row>
        <row r="270">
          <cell r="A270" t="str">
            <v>CUS00144</v>
          </cell>
          <cell r="D270">
            <v>20</v>
          </cell>
          <cell r="F270" t="str">
            <v>Self-Employed</v>
          </cell>
          <cell r="G270">
            <v>438.08</v>
          </cell>
        </row>
        <row r="271">
          <cell r="A271" t="str">
            <v>CUS00020</v>
          </cell>
          <cell r="D271">
            <v>53</v>
          </cell>
          <cell r="F271" t="str">
            <v>Engineer</v>
          </cell>
          <cell r="G271">
            <v>776.84</v>
          </cell>
        </row>
        <row r="272">
          <cell r="A272" t="str">
            <v>CUS00284</v>
          </cell>
          <cell r="D272">
            <v>36</v>
          </cell>
          <cell r="F272" t="str">
            <v>Teacher</v>
          </cell>
          <cell r="G272">
            <v>922.87</v>
          </cell>
        </row>
        <row r="273">
          <cell r="A273" t="str">
            <v>CUS00196</v>
          </cell>
          <cell r="D273">
            <v>33</v>
          </cell>
          <cell r="F273" t="str">
            <v>Healthcare</v>
          </cell>
          <cell r="G273">
            <v>1250.21</v>
          </cell>
        </row>
        <row r="274">
          <cell r="A274" t="str">
            <v>CUS00220</v>
          </cell>
          <cell r="D274">
            <v>60</v>
          </cell>
          <cell r="F274" t="str">
            <v>Healthcare</v>
          </cell>
          <cell r="G274">
            <v>854.23</v>
          </cell>
        </row>
        <row r="275">
          <cell r="A275" t="str">
            <v>CUS00095</v>
          </cell>
          <cell r="D275">
            <v>28</v>
          </cell>
          <cell r="F275" t="str">
            <v>Self-Employed</v>
          </cell>
          <cell r="G275">
            <v>785.95</v>
          </cell>
        </row>
        <row r="276">
          <cell r="A276" t="str">
            <v>CUS00016</v>
          </cell>
          <cell r="D276">
            <v>33</v>
          </cell>
          <cell r="F276" t="str">
            <v>Teacher</v>
          </cell>
          <cell r="G276">
            <v>790.38</v>
          </cell>
        </row>
        <row r="277">
          <cell r="A277" t="str">
            <v>CUS00029</v>
          </cell>
          <cell r="D277">
            <v>50</v>
          </cell>
          <cell r="F277" t="str">
            <v>Engineer</v>
          </cell>
          <cell r="G277">
            <v>644.80999999999995</v>
          </cell>
        </row>
        <row r="278">
          <cell r="A278" t="str">
            <v>CUS00170</v>
          </cell>
          <cell r="D278">
            <v>107</v>
          </cell>
          <cell r="F278" t="str">
            <v>Engineer</v>
          </cell>
          <cell r="G278">
            <v>632.26</v>
          </cell>
        </row>
        <row r="279">
          <cell r="A279" t="str">
            <v>CUS00185</v>
          </cell>
          <cell r="D279">
            <v>43</v>
          </cell>
          <cell r="F279" t="str">
            <v>Healthcare</v>
          </cell>
          <cell r="G279">
            <v>1069.08</v>
          </cell>
        </row>
        <row r="280">
          <cell r="A280" t="str">
            <v>CUS00078</v>
          </cell>
          <cell r="D280">
            <v>69</v>
          </cell>
          <cell r="F280" t="str">
            <v xml:space="preserve">Missing </v>
          </cell>
          <cell r="G280">
            <v>691.63</v>
          </cell>
        </row>
        <row r="281">
          <cell r="A281" t="str">
            <v>CUS00032</v>
          </cell>
          <cell r="D281">
            <v>44</v>
          </cell>
          <cell r="F281" t="str">
            <v>Healthcare</v>
          </cell>
          <cell r="G281">
            <v>1263.1099999999999</v>
          </cell>
        </row>
        <row r="282">
          <cell r="A282" t="str">
            <v>CUS00211</v>
          </cell>
          <cell r="D282">
            <v>66</v>
          </cell>
          <cell r="F282" t="str">
            <v>Healthcare</v>
          </cell>
          <cell r="G282">
            <v>1215.9100000000001</v>
          </cell>
        </row>
        <row r="283">
          <cell r="A283" t="str">
            <v>CUS00161</v>
          </cell>
          <cell r="D283">
            <v>20</v>
          </cell>
          <cell r="F283" t="str">
            <v>Civil Servant</v>
          </cell>
          <cell r="G283">
            <v>872.34</v>
          </cell>
        </row>
        <row r="284">
          <cell r="A284" t="str">
            <v>CUS00139</v>
          </cell>
          <cell r="D284">
            <v>27</v>
          </cell>
          <cell r="F284" t="str">
            <v>Civil Servant</v>
          </cell>
          <cell r="G284">
            <v>897.29</v>
          </cell>
        </row>
        <row r="285">
          <cell r="A285" t="str">
            <v>CUS00111</v>
          </cell>
          <cell r="D285">
            <v>48</v>
          </cell>
          <cell r="F285" t="str">
            <v>Civil Servant</v>
          </cell>
          <cell r="G285">
            <v>523.37</v>
          </cell>
        </row>
        <row r="286">
          <cell r="A286" t="str">
            <v>CUS00133</v>
          </cell>
          <cell r="D286">
            <v>58</v>
          </cell>
          <cell r="F286" t="str">
            <v>Engineer</v>
          </cell>
          <cell r="G286">
            <v>622.54999999999995</v>
          </cell>
        </row>
        <row r="287">
          <cell r="A287" t="str">
            <v>CUS00024</v>
          </cell>
          <cell r="D287">
            <v>18</v>
          </cell>
          <cell r="F287" t="str">
            <v>Civil Servant</v>
          </cell>
          <cell r="G287">
            <v>1155.56</v>
          </cell>
        </row>
        <row r="288">
          <cell r="A288" t="str">
            <v>CUS00282</v>
          </cell>
          <cell r="D288">
            <v>34</v>
          </cell>
          <cell r="F288" t="str">
            <v>Civil Servant</v>
          </cell>
          <cell r="G288">
            <v>862.99</v>
          </cell>
        </row>
        <row r="289">
          <cell r="A289" t="str">
            <v>CUS00253</v>
          </cell>
          <cell r="D289">
            <v>67</v>
          </cell>
          <cell r="F289" t="str">
            <v>Civil Servant</v>
          </cell>
          <cell r="G289">
            <v>857.27</v>
          </cell>
        </row>
        <row r="290">
          <cell r="A290" t="str">
            <v>CUS00080</v>
          </cell>
          <cell r="D290">
            <v>32</v>
          </cell>
          <cell r="F290" t="str">
            <v>self-employed</v>
          </cell>
          <cell r="G290">
            <v>1235.8900000000001</v>
          </cell>
        </row>
        <row r="291">
          <cell r="A291" t="str">
            <v>CUS00145</v>
          </cell>
          <cell r="D291">
            <v>57</v>
          </cell>
          <cell r="F291" t="str">
            <v>Business Owner</v>
          </cell>
          <cell r="G291">
            <v>749.33</v>
          </cell>
        </row>
        <row r="292">
          <cell r="A292" t="str">
            <v>CUS00049</v>
          </cell>
          <cell r="D292">
            <v>33</v>
          </cell>
          <cell r="F292" t="str">
            <v>Civil Servant</v>
          </cell>
          <cell r="G292">
            <v>661.71</v>
          </cell>
        </row>
        <row r="293">
          <cell r="A293" t="str">
            <v>CUS00035</v>
          </cell>
          <cell r="D293">
            <v>41</v>
          </cell>
          <cell r="F293" t="str">
            <v>Self-Employed</v>
          </cell>
          <cell r="G293">
            <v>455.83</v>
          </cell>
        </row>
        <row r="294">
          <cell r="A294" t="str">
            <v>CUS00097</v>
          </cell>
          <cell r="D294">
            <v>49</v>
          </cell>
          <cell r="F294" t="str">
            <v>Student</v>
          </cell>
          <cell r="G294">
            <v>923.87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>
      <selection activeCell="E35" sqref="E35"/>
    </sheetView>
  </sheetViews>
  <sheetFormatPr defaultRowHeight="15"/>
  <cols>
    <col min="1" max="1" width="20.5703125" customWidth="1"/>
    <col min="2" max="4" width="24" customWidth="1"/>
    <col min="5" max="6" width="20.5703125" customWidth="1"/>
    <col min="7" max="7" width="22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45677</v>
      </c>
      <c r="C2" t="s">
        <v>8</v>
      </c>
      <c r="D2">
        <v>49</v>
      </c>
      <c r="E2" t="s">
        <v>9</v>
      </c>
      <c r="F2" t="s">
        <v>10</v>
      </c>
      <c r="G2" s="3">
        <v>1024.44</v>
      </c>
    </row>
    <row r="3" spans="1:7">
      <c r="A3" t="s">
        <v>11</v>
      </c>
      <c r="B3" s="2"/>
      <c r="C3" t="s">
        <v>8</v>
      </c>
      <c r="D3">
        <v>39</v>
      </c>
      <c r="E3" t="s">
        <v>12</v>
      </c>
      <c r="F3" t="s">
        <v>13</v>
      </c>
      <c r="G3" s="3">
        <v>827.25</v>
      </c>
    </row>
    <row r="4" spans="1:7">
      <c r="A4" t="s">
        <v>14</v>
      </c>
      <c r="B4" s="2">
        <v>46173</v>
      </c>
      <c r="C4" t="s">
        <v>8</v>
      </c>
      <c r="E4" t="s">
        <v>15</v>
      </c>
      <c r="F4" t="s">
        <v>13</v>
      </c>
      <c r="G4" s="3">
        <v>661.3</v>
      </c>
    </row>
    <row r="5" spans="1:7">
      <c r="A5" t="s">
        <v>16</v>
      </c>
      <c r="B5" s="2">
        <v>45954</v>
      </c>
      <c r="C5" t="s">
        <v>17</v>
      </c>
      <c r="D5">
        <v>20</v>
      </c>
      <c r="E5" t="s">
        <v>9</v>
      </c>
      <c r="F5" t="s">
        <v>18</v>
      </c>
      <c r="G5" s="3">
        <v>295.45</v>
      </c>
    </row>
    <row r="6" spans="1:7">
      <c r="A6" t="s">
        <v>19</v>
      </c>
      <c r="B6" s="2">
        <v>46006</v>
      </c>
      <c r="C6" t="s">
        <v>8</v>
      </c>
      <c r="D6">
        <v>31</v>
      </c>
      <c r="E6" t="s">
        <v>20</v>
      </c>
      <c r="F6" t="s">
        <v>21</v>
      </c>
      <c r="G6" s="3">
        <v>481.99</v>
      </c>
    </row>
    <row r="7" spans="1:7">
      <c r="A7" t="s">
        <v>22</v>
      </c>
      <c r="B7" s="2">
        <v>46059</v>
      </c>
      <c r="C7" t="s">
        <v>17</v>
      </c>
      <c r="D7">
        <v>65</v>
      </c>
      <c r="E7" t="s">
        <v>15</v>
      </c>
      <c r="F7" t="s">
        <v>23</v>
      </c>
      <c r="G7" s="3">
        <v>1067.9000000000001</v>
      </c>
    </row>
    <row r="8" spans="1:7">
      <c r="A8" t="s">
        <v>24</v>
      </c>
      <c r="B8" s="2">
        <v>45861</v>
      </c>
      <c r="C8" t="s">
        <v>17</v>
      </c>
      <c r="D8">
        <v>47</v>
      </c>
      <c r="E8" t="s">
        <v>9</v>
      </c>
      <c r="F8" t="s">
        <v>21</v>
      </c>
      <c r="G8" s="3">
        <v>444.76</v>
      </c>
    </row>
    <row r="9" spans="1:7">
      <c r="A9" t="s">
        <v>25</v>
      </c>
      <c r="B9" s="2">
        <v>45902</v>
      </c>
      <c r="C9" t="s">
        <v>17</v>
      </c>
      <c r="D9">
        <v>46</v>
      </c>
      <c r="E9" t="s">
        <v>9</v>
      </c>
      <c r="G9" s="3">
        <v>911.36</v>
      </c>
    </row>
    <row r="10" spans="1:7">
      <c r="A10" t="s">
        <v>26</v>
      </c>
      <c r="B10" s="2">
        <v>45970</v>
      </c>
      <c r="C10" t="s">
        <v>17</v>
      </c>
      <c r="D10">
        <v>70</v>
      </c>
      <c r="E10" t="s">
        <v>20</v>
      </c>
      <c r="F10" t="s">
        <v>13</v>
      </c>
      <c r="G10" s="3">
        <v>415.78</v>
      </c>
    </row>
    <row r="11" spans="1:7">
      <c r="A11" t="s">
        <v>27</v>
      </c>
      <c r="B11" s="2">
        <v>46159</v>
      </c>
      <c r="C11" t="s">
        <v>17</v>
      </c>
      <c r="D11">
        <v>39</v>
      </c>
      <c r="E11" t="s">
        <v>20</v>
      </c>
      <c r="F11" t="s">
        <v>10</v>
      </c>
      <c r="G11" s="3">
        <v>1315.07</v>
      </c>
    </row>
    <row r="12" spans="1:7">
      <c r="A12" t="s">
        <v>28</v>
      </c>
      <c r="B12" s="2">
        <v>45781</v>
      </c>
      <c r="C12" t="s">
        <v>8</v>
      </c>
      <c r="D12">
        <v>32</v>
      </c>
      <c r="E12" t="s">
        <v>9</v>
      </c>
      <c r="G12" s="3">
        <v>176.95</v>
      </c>
    </row>
    <row r="13" spans="1:7">
      <c r="A13" t="s">
        <v>29</v>
      </c>
      <c r="B13" s="2">
        <v>45807</v>
      </c>
      <c r="C13" t="s">
        <v>17</v>
      </c>
      <c r="D13">
        <v>48</v>
      </c>
      <c r="E13" t="s">
        <v>9</v>
      </c>
      <c r="F13" t="s">
        <v>30</v>
      </c>
      <c r="G13" s="3">
        <v>1075.0899999999999</v>
      </c>
    </row>
    <row r="14" spans="1:7">
      <c r="A14" t="s">
        <v>31</v>
      </c>
      <c r="B14" s="2">
        <v>45747</v>
      </c>
      <c r="C14" t="s">
        <v>17</v>
      </c>
      <c r="D14">
        <v>27</v>
      </c>
      <c r="E14" t="s">
        <v>9</v>
      </c>
      <c r="G14" s="3">
        <v>863.68</v>
      </c>
    </row>
    <row r="15" spans="1:7">
      <c r="A15" t="s">
        <v>32</v>
      </c>
      <c r="B15" s="2">
        <v>46190</v>
      </c>
      <c r="C15" t="s">
        <v>17</v>
      </c>
      <c r="D15">
        <v>47</v>
      </c>
      <c r="E15" t="s">
        <v>12</v>
      </c>
      <c r="F15" t="s">
        <v>30</v>
      </c>
      <c r="G15" s="3">
        <v>2156</v>
      </c>
    </row>
    <row r="16" spans="1:7">
      <c r="A16" t="s">
        <v>33</v>
      </c>
      <c r="B16" s="2">
        <v>46159</v>
      </c>
      <c r="C16" t="s">
        <v>17</v>
      </c>
      <c r="D16">
        <v>27</v>
      </c>
      <c r="E16" t="s">
        <v>15</v>
      </c>
      <c r="G16" s="3">
        <v>255.08</v>
      </c>
    </row>
    <row r="17" spans="1:7">
      <c r="A17" t="s">
        <v>34</v>
      </c>
      <c r="B17" s="2">
        <v>46197</v>
      </c>
      <c r="C17" t="s">
        <v>8</v>
      </c>
      <c r="D17">
        <v>38</v>
      </c>
      <c r="E17" t="s">
        <v>9</v>
      </c>
      <c r="F17" t="s">
        <v>13</v>
      </c>
      <c r="G17" s="3">
        <v>719.42</v>
      </c>
    </row>
    <row r="18" spans="1:7">
      <c r="A18" t="s">
        <v>35</v>
      </c>
      <c r="B18" s="2">
        <v>45780</v>
      </c>
      <c r="C18" t="s">
        <v>17</v>
      </c>
      <c r="D18">
        <v>37</v>
      </c>
      <c r="E18" t="s">
        <v>9</v>
      </c>
      <c r="F18" t="s">
        <v>23</v>
      </c>
      <c r="G18" s="3">
        <v>1041.8399999999999</v>
      </c>
    </row>
    <row r="19" spans="1:7">
      <c r="A19" t="s">
        <v>36</v>
      </c>
      <c r="B19" s="2">
        <v>45937</v>
      </c>
      <c r="C19" t="s">
        <v>17</v>
      </c>
      <c r="E19" t="s">
        <v>20</v>
      </c>
      <c r="F19" t="s">
        <v>18</v>
      </c>
      <c r="G19" s="3">
        <v>265.52</v>
      </c>
    </row>
    <row r="20" spans="1:7">
      <c r="A20" t="s">
        <v>37</v>
      </c>
      <c r="B20" s="2">
        <v>45679</v>
      </c>
      <c r="C20" t="s">
        <v>17</v>
      </c>
      <c r="D20">
        <v>70</v>
      </c>
      <c r="E20" t="s">
        <v>9</v>
      </c>
      <c r="F20" t="s">
        <v>30</v>
      </c>
      <c r="G20" s="3">
        <v>2040.09</v>
      </c>
    </row>
    <row r="21" spans="1:7">
      <c r="A21" t="s">
        <v>38</v>
      </c>
      <c r="B21" s="2">
        <v>45998</v>
      </c>
      <c r="C21" t="s">
        <v>17</v>
      </c>
      <c r="D21">
        <v>40</v>
      </c>
      <c r="E21" t="s">
        <v>39</v>
      </c>
      <c r="F21" t="s">
        <v>30</v>
      </c>
      <c r="G21" s="3">
        <v>1210.32</v>
      </c>
    </row>
    <row r="22" spans="1:7">
      <c r="A22" t="s">
        <v>40</v>
      </c>
      <c r="B22" s="2">
        <v>45715</v>
      </c>
      <c r="C22" t="s">
        <v>8</v>
      </c>
      <c r="D22">
        <v>54</v>
      </c>
      <c r="E22" t="s">
        <v>9</v>
      </c>
      <c r="F22" t="s">
        <v>30</v>
      </c>
      <c r="G22" s="3" t="s">
        <v>41</v>
      </c>
    </row>
    <row r="23" spans="1:7">
      <c r="A23" t="s">
        <v>42</v>
      </c>
      <c r="B23" s="2">
        <v>46137</v>
      </c>
      <c r="C23" t="s">
        <v>17</v>
      </c>
      <c r="D23">
        <v>28</v>
      </c>
      <c r="E23" t="s">
        <v>39</v>
      </c>
      <c r="F23" t="s">
        <v>13</v>
      </c>
      <c r="G23" s="3">
        <v>732.86</v>
      </c>
    </row>
    <row r="24" spans="1:7">
      <c r="A24" t="s">
        <v>43</v>
      </c>
      <c r="B24" s="2">
        <v>45773</v>
      </c>
      <c r="C24" t="s">
        <v>17</v>
      </c>
      <c r="D24">
        <v>61</v>
      </c>
      <c r="E24" t="s">
        <v>9</v>
      </c>
      <c r="F24" t="s">
        <v>44</v>
      </c>
      <c r="G24" s="3">
        <v>998.38</v>
      </c>
    </row>
    <row r="25" spans="1:7">
      <c r="A25" t="s">
        <v>45</v>
      </c>
      <c r="B25" s="2">
        <v>45731</v>
      </c>
      <c r="C25" t="s">
        <v>8</v>
      </c>
      <c r="D25">
        <v>42</v>
      </c>
      <c r="E25" t="s">
        <v>9</v>
      </c>
      <c r="F25" t="s">
        <v>10</v>
      </c>
      <c r="G25" s="3">
        <v>1023.35</v>
      </c>
    </row>
    <row r="26" spans="1:7">
      <c r="B26" s="2">
        <v>46068</v>
      </c>
      <c r="C26" t="s">
        <v>17</v>
      </c>
      <c r="D26">
        <v>58</v>
      </c>
      <c r="E26" t="s">
        <v>20</v>
      </c>
      <c r="F26" t="s">
        <v>44</v>
      </c>
      <c r="G26" s="3">
        <v>1170.92</v>
      </c>
    </row>
    <row r="27" spans="1:7">
      <c r="A27" t="s">
        <v>46</v>
      </c>
      <c r="B27" s="2">
        <v>45691</v>
      </c>
      <c r="C27" t="s">
        <v>8</v>
      </c>
      <c r="D27">
        <v>20</v>
      </c>
      <c r="F27" t="s">
        <v>13</v>
      </c>
      <c r="G27" s="3">
        <v>526.37</v>
      </c>
    </row>
    <row r="28" spans="1:7">
      <c r="A28" t="s">
        <v>47</v>
      </c>
      <c r="B28" s="2">
        <v>46082</v>
      </c>
      <c r="C28" t="s">
        <v>17</v>
      </c>
      <c r="D28">
        <v>32</v>
      </c>
      <c r="E28" t="s">
        <v>39</v>
      </c>
      <c r="F28" t="s">
        <v>23</v>
      </c>
      <c r="G28" s="3">
        <v>558.07000000000005</v>
      </c>
    </row>
    <row r="29" spans="1:7">
      <c r="A29" t="s">
        <v>48</v>
      </c>
      <c r="B29" s="2">
        <v>45925</v>
      </c>
      <c r="C29" t="s">
        <v>17</v>
      </c>
      <c r="D29">
        <v>66</v>
      </c>
      <c r="E29" t="s">
        <v>9</v>
      </c>
      <c r="F29" t="s">
        <v>23</v>
      </c>
      <c r="G29" s="3">
        <v>656.1</v>
      </c>
    </row>
    <row r="30" spans="1:7">
      <c r="A30" t="s">
        <v>49</v>
      </c>
      <c r="B30" s="2"/>
      <c r="C30" t="s">
        <v>17</v>
      </c>
      <c r="D30">
        <v>40</v>
      </c>
      <c r="E30" t="s">
        <v>9</v>
      </c>
      <c r="F30" t="s">
        <v>21</v>
      </c>
      <c r="G30" s="3">
        <v>442.74</v>
      </c>
    </row>
    <row r="31" spans="1:7">
      <c r="A31" t="s">
        <v>50</v>
      </c>
      <c r="B31" s="2">
        <v>46161</v>
      </c>
      <c r="C31" t="s">
        <v>17</v>
      </c>
      <c r="D31">
        <v>53</v>
      </c>
      <c r="E31" t="s">
        <v>9</v>
      </c>
      <c r="F31" t="s">
        <v>44</v>
      </c>
      <c r="G31" s="3"/>
    </row>
    <row r="32" spans="1:7">
      <c r="A32" t="s">
        <v>51</v>
      </c>
      <c r="B32" s="2">
        <v>45884</v>
      </c>
      <c r="C32" t="s">
        <v>17</v>
      </c>
      <c r="D32">
        <v>49</v>
      </c>
      <c r="E32" t="s">
        <v>39</v>
      </c>
      <c r="F32" t="s">
        <v>44</v>
      </c>
      <c r="G32" s="3">
        <v>1610.81</v>
      </c>
    </row>
    <row r="33" spans="1:7">
      <c r="A33" t="s">
        <v>52</v>
      </c>
      <c r="B33" s="2">
        <v>45809</v>
      </c>
      <c r="C33" t="s">
        <v>8</v>
      </c>
      <c r="D33">
        <v>24</v>
      </c>
      <c r="E33" t="s">
        <v>9</v>
      </c>
      <c r="F33" t="s">
        <v>44</v>
      </c>
      <c r="G33" s="3">
        <v>706.35</v>
      </c>
    </row>
    <row r="34" spans="1:7">
      <c r="A34" t="s">
        <v>53</v>
      </c>
      <c r="B34" s="2">
        <v>45881</v>
      </c>
      <c r="C34" t="s">
        <v>8</v>
      </c>
      <c r="D34">
        <v>36</v>
      </c>
      <c r="F34" t="s">
        <v>18</v>
      </c>
      <c r="G34" s="3">
        <v>183.1</v>
      </c>
    </row>
    <row r="35" spans="1:7">
      <c r="B35" s="2">
        <v>46038</v>
      </c>
      <c r="C35" t="s">
        <v>17</v>
      </c>
      <c r="D35">
        <v>44</v>
      </c>
      <c r="E35" t="s">
        <v>9</v>
      </c>
      <c r="F35" t="s">
        <v>21</v>
      </c>
      <c r="G35" s="3" t="s">
        <v>54</v>
      </c>
    </row>
    <row r="36" spans="1:7">
      <c r="A36" t="s">
        <v>55</v>
      </c>
      <c r="B36" s="2">
        <v>45671</v>
      </c>
      <c r="C36" t="s">
        <v>17</v>
      </c>
      <c r="D36">
        <v>19</v>
      </c>
      <c r="E36" t="s">
        <v>9</v>
      </c>
      <c r="F36" t="s">
        <v>18</v>
      </c>
      <c r="G36" s="3"/>
    </row>
    <row r="37" spans="1:7">
      <c r="A37" t="s">
        <v>56</v>
      </c>
      <c r="B37" s="2">
        <v>46054</v>
      </c>
      <c r="C37" t="s">
        <v>8</v>
      </c>
      <c r="D37">
        <v>55</v>
      </c>
      <c r="E37" t="s">
        <v>39</v>
      </c>
      <c r="F37" t="s">
        <v>44</v>
      </c>
      <c r="G37" s="3"/>
    </row>
    <row r="38" spans="1:7">
      <c r="A38" t="s">
        <v>57</v>
      </c>
      <c r="B38" s="2">
        <v>45691</v>
      </c>
      <c r="C38" t="s">
        <v>8</v>
      </c>
      <c r="D38">
        <v>26</v>
      </c>
      <c r="E38" t="s">
        <v>9</v>
      </c>
      <c r="F38" t="s">
        <v>44</v>
      </c>
      <c r="G38" s="3">
        <v>1086.56</v>
      </c>
    </row>
    <row r="39" spans="1:7">
      <c r="A39" t="s">
        <v>58</v>
      </c>
      <c r="B39" s="2">
        <v>46094</v>
      </c>
      <c r="C39" t="s">
        <v>17</v>
      </c>
      <c r="E39" t="s">
        <v>9</v>
      </c>
      <c r="F39" t="s">
        <v>21</v>
      </c>
      <c r="G39" s="3">
        <v>1321.69</v>
      </c>
    </row>
    <row r="40" spans="1:7">
      <c r="A40" t="s">
        <v>59</v>
      </c>
      <c r="B40" s="2">
        <v>46158</v>
      </c>
      <c r="C40" t="s">
        <v>17</v>
      </c>
      <c r="D40">
        <v>30</v>
      </c>
      <c r="E40" t="s">
        <v>9</v>
      </c>
      <c r="F40" t="s">
        <v>30</v>
      </c>
      <c r="G40" s="3">
        <v>2015.04</v>
      </c>
    </row>
    <row r="41" spans="1:7">
      <c r="B41" s="2">
        <v>45982</v>
      </c>
      <c r="C41" t="s">
        <v>8</v>
      </c>
      <c r="D41">
        <v>30</v>
      </c>
      <c r="E41" t="s">
        <v>12</v>
      </c>
      <c r="F41" t="s">
        <v>10</v>
      </c>
      <c r="G41" s="3">
        <v>1396.84</v>
      </c>
    </row>
    <row r="42" spans="1:7">
      <c r="A42" t="s">
        <v>60</v>
      </c>
      <c r="B42" s="2">
        <v>45958</v>
      </c>
      <c r="C42" t="s">
        <v>8</v>
      </c>
      <c r="D42">
        <v>63</v>
      </c>
      <c r="E42" t="s">
        <v>20</v>
      </c>
      <c r="F42" t="s">
        <v>18</v>
      </c>
      <c r="G42" s="3">
        <v>265.83999999999997</v>
      </c>
    </row>
    <row r="43" spans="1:7">
      <c r="A43" t="s">
        <v>61</v>
      </c>
      <c r="B43" s="2">
        <v>46109</v>
      </c>
      <c r="C43" t="s">
        <v>17</v>
      </c>
      <c r="D43">
        <v>40</v>
      </c>
      <c r="E43" t="s">
        <v>15</v>
      </c>
      <c r="F43" t="s">
        <v>10</v>
      </c>
      <c r="G43" s="3">
        <v>644.95000000000005</v>
      </c>
    </row>
    <row r="44" spans="1:7">
      <c r="A44" t="s">
        <v>62</v>
      </c>
      <c r="B44" s="2">
        <v>46031</v>
      </c>
      <c r="C44" t="s">
        <v>17</v>
      </c>
      <c r="D44">
        <v>57</v>
      </c>
      <c r="E44" t="s">
        <v>12</v>
      </c>
      <c r="F44" t="s">
        <v>18</v>
      </c>
      <c r="G44" s="3">
        <v>128.41999999999999</v>
      </c>
    </row>
    <row r="45" spans="1:7">
      <c r="A45" t="s">
        <v>63</v>
      </c>
      <c r="B45" s="2">
        <v>45846</v>
      </c>
      <c r="C45" t="s">
        <v>8</v>
      </c>
      <c r="D45">
        <v>62</v>
      </c>
      <c r="E45" t="s">
        <v>15</v>
      </c>
      <c r="F45" t="s">
        <v>21</v>
      </c>
      <c r="G45" s="3">
        <v>1032.69</v>
      </c>
    </row>
    <row r="46" spans="1:7">
      <c r="A46" t="s">
        <v>64</v>
      </c>
      <c r="B46" s="2">
        <v>46067</v>
      </c>
      <c r="C46" t="s">
        <v>17</v>
      </c>
      <c r="D46">
        <v>22</v>
      </c>
      <c r="E46" t="s">
        <v>15</v>
      </c>
      <c r="F46" t="s">
        <v>23</v>
      </c>
      <c r="G46" s="3">
        <v>1164.05</v>
      </c>
    </row>
    <row r="47" spans="1:7">
      <c r="A47" t="s">
        <v>65</v>
      </c>
      <c r="B47" s="2">
        <v>45824</v>
      </c>
      <c r="C47" t="s">
        <v>17</v>
      </c>
      <c r="D47">
        <v>23</v>
      </c>
      <c r="E47" t="s">
        <v>9</v>
      </c>
      <c r="F47" t="s">
        <v>21</v>
      </c>
      <c r="G47" s="3">
        <v>453.51</v>
      </c>
    </row>
    <row r="48" spans="1:7">
      <c r="A48" t="s">
        <v>66</v>
      </c>
      <c r="B48" s="2">
        <v>45975</v>
      </c>
      <c r="D48">
        <v>70</v>
      </c>
      <c r="E48" t="s">
        <v>9</v>
      </c>
      <c r="F48" t="s">
        <v>23</v>
      </c>
      <c r="G48" s="3">
        <v>395.84</v>
      </c>
    </row>
    <row r="49" spans="1:7">
      <c r="A49" t="s">
        <v>67</v>
      </c>
      <c r="B49" s="2">
        <v>46061</v>
      </c>
      <c r="C49" t="s">
        <v>17</v>
      </c>
      <c r="D49">
        <v>46</v>
      </c>
      <c r="E49" t="s">
        <v>9</v>
      </c>
      <c r="F49" t="s">
        <v>18</v>
      </c>
      <c r="G49" s="3">
        <v>253.15</v>
      </c>
    </row>
    <row r="50" spans="1:7">
      <c r="A50" t="s">
        <v>68</v>
      </c>
      <c r="B50" s="2">
        <v>46205</v>
      </c>
      <c r="C50" t="s">
        <v>8</v>
      </c>
      <c r="D50">
        <v>59</v>
      </c>
      <c r="E50" t="s">
        <v>12</v>
      </c>
      <c r="F50" t="s">
        <v>18</v>
      </c>
      <c r="G50" s="3">
        <v>239.25</v>
      </c>
    </row>
    <row r="51" spans="1:7">
      <c r="A51" t="s">
        <v>69</v>
      </c>
      <c r="B51" s="2">
        <v>46099</v>
      </c>
      <c r="C51" t="s">
        <v>8</v>
      </c>
      <c r="D51">
        <v>45</v>
      </c>
      <c r="E51" t="s">
        <v>12</v>
      </c>
      <c r="F51" t="s">
        <v>18</v>
      </c>
      <c r="G51" s="3">
        <v>200.87</v>
      </c>
    </row>
    <row r="52" spans="1:7">
      <c r="A52" t="s">
        <v>70</v>
      </c>
      <c r="B52" s="2">
        <v>45729</v>
      </c>
      <c r="C52" t="s">
        <v>17</v>
      </c>
      <c r="E52" t="s">
        <v>12</v>
      </c>
      <c r="F52" t="s">
        <v>44</v>
      </c>
      <c r="G52" s="3">
        <v>963.66</v>
      </c>
    </row>
    <row r="53" spans="1:7">
      <c r="A53" t="s">
        <v>71</v>
      </c>
      <c r="B53" s="2">
        <v>45976</v>
      </c>
      <c r="C53" t="s">
        <v>8</v>
      </c>
      <c r="D53">
        <v>53</v>
      </c>
      <c r="E53" t="s">
        <v>9</v>
      </c>
      <c r="F53" t="s">
        <v>18</v>
      </c>
      <c r="G53" s="3">
        <v>247.93</v>
      </c>
    </row>
    <row r="54" spans="1:7">
      <c r="A54" t="s">
        <v>72</v>
      </c>
      <c r="B54" s="2">
        <v>46103</v>
      </c>
      <c r="C54" t="s">
        <v>8</v>
      </c>
      <c r="D54">
        <v>64</v>
      </c>
      <c r="E54" t="s">
        <v>20</v>
      </c>
      <c r="F54" t="s">
        <v>30</v>
      </c>
      <c r="G54" s="3">
        <v>727.81</v>
      </c>
    </row>
    <row r="55" spans="1:7">
      <c r="B55" s="2">
        <v>45957</v>
      </c>
      <c r="C55" t="s">
        <v>8</v>
      </c>
      <c r="D55">
        <v>68</v>
      </c>
      <c r="E55" t="s">
        <v>15</v>
      </c>
      <c r="F55" t="s">
        <v>10</v>
      </c>
      <c r="G55" s="3">
        <v>947.64</v>
      </c>
    </row>
    <row r="56" spans="1:7">
      <c r="A56" t="s">
        <v>73</v>
      </c>
      <c r="B56" s="2"/>
      <c r="C56" t="s">
        <v>8</v>
      </c>
      <c r="D56">
        <v>55</v>
      </c>
      <c r="E56" t="s">
        <v>74</v>
      </c>
      <c r="F56" t="s">
        <v>13</v>
      </c>
      <c r="G56" s="3">
        <v>325.43</v>
      </c>
    </row>
    <row r="57" spans="1:7">
      <c r="A57" t="s">
        <v>75</v>
      </c>
      <c r="B57" s="2">
        <v>45715</v>
      </c>
      <c r="C57" t="s">
        <v>17</v>
      </c>
      <c r="D57">
        <v>34</v>
      </c>
      <c r="E57" t="s">
        <v>39</v>
      </c>
      <c r="F57" t="s">
        <v>21</v>
      </c>
      <c r="G57" s="3">
        <v>835.61</v>
      </c>
    </row>
    <row r="58" spans="1:7">
      <c r="B58" s="2">
        <v>46222</v>
      </c>
      <c r="C58" t="s">
        <v>8</v>
      </c>
      <c r="D58">
        <v>22</v>
      </c>
      <c r="E58" t="s">
        <v>9</v>
      </c>
      <c r="F58" t="s">
        <v>13</v>
      </c>
      <c r="G58" s="3">
        <v>586.78</v>
      </c>
    </row>
    <row r="59" spans="1:7">
      <c r="A59" t="s">
        <v>76</v>
      </c>
      <c r="B59" s="2">
        <v>45744</v>
      </c>
      <c r="C59" t="s">
        <v>8</v>
      </c>
      <c r="D59">
        <v>39</v>
      </c>
      <c r="E59" t="s">
        <v>9</v>
      </c>
      <c r="F59" t="s">
        <v>21</v>
      </c>
      <c r="G59" s="3">
        <v>10013</v>
      </c>
    </row>
    <row r="60" spans="1:7">
      <c r="A60" t="s">
        <v>77</v>
      </c>
      <c r="B60" s="2">
        <v>45884</v>
      </c>
      <c r="C60" t="s">
        <v>8</v>
      </c>
      <c r="D60">
        <v>21</v>
      </c>
      <c r="E60" t="s">
        <v>12</v>
      </c>
      <c r="F60" t="s">
        <v>44</v>
      </c>
      <c r="G60" s="3">
        <v>1429.26</v>
      </c>
    </row>
    <row r="61" spans="1:7">
      <c r="A61" t="s">
        <v>78</v>
      </c>
      <c r="B61" s="2">
        <v>45822</v>
      </c>
      <c r="C61" t="s">
        <v>8</v>
      </c>
      <c r="D61">
        <v>68</v>
      </c>
      <c r="E61" t="s">
        <v>9</v>
      </c>
      <c r="F61" t="s">
        <v>13</v>
      </c>
      <c r="G61" s="3">
        <v>870.42</v>
      </c>
    </row>
    <row r="62" spans="1:7">
      <c r="A62" t="s">
        <v>79</v>
      </c>
      <c r="B62" s="2">
        <v>45703</v>
      </c>
      <c r="C62" t="s">
        <v>8</v>
      </c>
      <c r="D62">
        <v>52</v>
      </c>
      <c r="E62" t="s">
        <v>15</v>
      </c>
      <c r="F62" t="s">
        <v>21</v>
      </c>
      <c r="G62" s="3">
        <v>1214.6199999999999</v>
      </c>
    </row>
    <row r="63" spans="1:7">
      <c r="A63" t="s">
        <v>80</v>
      </c>
      <c r="B63" s="2">
        <v>45978</v>
      </c>
      <c r="D63">
        <v>26</v>
      </c>
      <c r="E63" t="s">
        <v>12</v>
      </c>
      <c r="F63" t="s">
        <v>44</v>
      </c>
      <c r="G63" s="3">
        <v>1045.8599999999999</v>
      </c>
    </row>
    <row r="64" spans="1:7">
      <c r="A64" t="s">
        <v>81</v>
      </c>
      <c r="B64" s="2">
        <v>45881</v>
      </c>
      <c r="C64" t="s">
        <v>8</v>
      </c>
      <c r="D64">
        <v>25</v>
      </c>
      <c r="E64" t="s">
        <v>9</v>
      </c>
      <c r="F64" t="s">
        <v>13</v>
      </c>
      <c r="G64" s="3">
        <v>665.8</v>
      </c>
    </row>
    <row r="65" spans="1:7">
      <c r="A65" t="s">
        <v>82</v>
      </c>
      <c r="B65" s="2">
        <v>45772</v>
      </c>
      <c r="C65" t="s">
        <v>8</v>
      </c>
      <c r="D65">
        <v>25</v>
      </c>
      <c r="E65" t="s">
        <v>9</v>
      </c>
      <c r="F65" t="s">
        <v>30</v>
      </c>
      <c r="G65" s="3">
        <v>930.93</v>
      </c>
    </row>
    <row r="66" spans="1:7">
      <c r="A66" t="s">
        <v>83</v>
      </c>
      <c r="B66" s="2">
        <v>45678</v>
      </c>
      <c r="C66" t="s">
        <v>8</v>
      </c>
      <c r="D66">
        <v>53</v>
      </c>
      <c r="E66" t="s">
        <v>15</v>
      </c>
      <c r="F66" t="s">
        <v>44</v>
      </c>
      <c r="G66" s="3">
        <v>926.65</v>
      </c>
    </row>
    <row r="67" spans="1:7">
      <c r="A67" t="s">
        <v>84</v>
      </c>
      <c r="B67" s="2">
        <v>45742</v>
      </c>
      <c r="C67" t="s">
        <v>17</v>
      </c>
      <c r="D67">
        <v>22</v>
      </c>
      <c r="E67" t="s">
        <v>15</v>
      </c>
      <c r="F67" t="s">
        <v>30</v>
      </c>
      <c r="G67" s="3">
        <v>1984.53</v>
      </c>
    </row>
    <row r="68" spans="1:7">
      <c r="A68" t="s">
        <v>85</v>
      </c>
      <c r="B68" s="2">
        <v>46133</v>
      </c>
      <c r="C68" t="s">
        <v>17</v>
      </c>
      <c r="D68">
        <v>46</v>
      </c>
      <c r="E68" t="s">
        <v>15</v>
      </c>
      <c r="F68" t="s">
        <v>18</v>
      </c>
      <c r="G68" s="3">
        <v>116.1</v>
      </c>
    </row>
    <row r="69" spans="1:7">
      <c r="A69" t="s">
        <v>86</v>
      </c>
      <c r="B69" s="2">
        <v>45665</v>
      </c>
      <c r="C69" t="s">
        <v>8</v>
      </c>
      <c r="D69">
        <v>66</v>
      </c>
      <c r="E69" t="s">
        <v>15</v>
      </c>
      <c r="F69" t="s">
        <v>30</v>
      </c>
      <c r="G69" s="3">
        <v>1964.48</v>
      </c>
    </row>
    <row r="70" spans="1:7">
      <c r="A70" t="s">
        <v>87</v>
      </c>
      <c r="B70" s="2">
        <v>45918</v>
      </c>
      <c r="C70" t="s">
        <v>17</v>
      </c>
      <c r="D70">
        <v>40</v>
      </c>
      <c r="E70" t="s">
        <v>39</v>
      </c>
      <c r="F70" t="s">
        <v>30</v>
      </c>
      <c r="G70" s="3">
        <v>677.55</v>
      </c>
    </row>
    <row r="71" spans="1:7">
      <c r="B71" s="2">
        <v>46060</v>
      </c>
      <c r="C71" t="s">
        <v>8</v>
      </c>
      <c r="D71">
        <v>23</v>
      </c>
      <c r="E71" t="s">
        <v>39</v>
      </c>
      <c r="F71" t="s">
        <v>23</v>
      </c>
      <c r="G71" s="3">
        <v>528.86</v>
      </c>
    </row>
    <row r="72" spans="1:7">
      <c r="A72" t="s">
        <v>88</v>
      </c>
      <c r="B72" s="2">
        <v>46048</v>
      </c>
      <c r="C72" t="s">
        <v>17</v>
      </c>
      <c r="D72">
        <v>47</v>
      </c>
      <c r="F72" t="s">
        <v>21</v>
      </c>
      <c r="G72" s="3">
        <v>728.06</v>
      </c>
    </row>
    <row r="73" spans="1:7">
      <c r="A73" t="s">
        <v>89</v>
      </c>
      <c r="B73" s="2">
        <v>45858</v>
      </c>
      <c r="C73" t="s">
        <v>17</v>
      </c>
      <c r="D73">
        <v>64</v>
      </c>
      <c r="E73" t="s">
        <v>9</v>
      </c>
      <c r="F73" t="s">
        <v>44</v>
      </c>
      <c r="G73" s="3">
        <v>1421.07</v>
      </c>
    </row>
    <row r="74" spans="1:7">
      <c r="A74" t="s">
        <v>90</v>
      </c>
      <c r="B74" s="2" t="s">
        <v>54</v>
      </c>
      <c r="C74" t="s">
        <v>8</v>
      </c>
      <c r="D74">
        <v>70</v>
      </c>
      <c r="E74" t="s">
        <v>20</v>
      </c>
      <c r="F74" t="s">
        <v>30</v>
      </c>
      <c r="G74" s="3">
        <v>1249.32</v>
      </c>
    </row>
    <row r="75" spans="1:7">
      <c r="A75" t="s">
        <v>91</v>
      </c>
      <c r="B75" s="2">
        <v>45942</v>
      </c>
      <c r="D75">
        <v>24</v>
      </c>
      <c r="E75" t="s">
        <v>20</v>
      </c>
      <c r="F75" t="s">
        <v>44</v>
      </c>
      <c r="G75" s="3">
        <v>1155.95</v>
      </c>
    </row>
    <row r="76" spans="1:7">
      <c r="A76" t="s">
        <v>92</v>
      </c>
      <c r="B76" s="2">
        <v>45991</v>
      </c>
      <c r="C76" t="s">
        <v>8</v>
      </c>
      <c r="D76">
        <v>41</v>
      </c>
      <c r="E76" t="s">
        <v>9</v>
      </c>
      <c r="F76" t="s">
        <v>13</v>
      </c>
      <c r="G76" s="3">
        <v>374.63</v>
      </c>
    </row>
    <row r="77" spans="1:7">
      <c r="A77" t="s">
        <v>93</v>
      </c>
      <c r="B77" s="2">
        <v>46093</v>
      </c>
      <c r="C77" t="s">
        <v>17</v>
      </c>
      <c r="D77">
        <v>52</v>
      </c>
      <c r="E77" t="s">
        <v>9</v>
      </c>
      <c r="G77" s="3">
        <v>216.93</v>
      </c>
    </row>
    <row r="78" spans="1:7">
      <c r="A78" t="s">
        <v>94</v>
      </c>
      <c r="B78" s="2">
        <v>45771</v>
      </c>
      <c r="C78" t="s">
        <v>8</v>
      </c>
      <c r="D78">
        <v>38</v>
      </c>
      <c r="E78" t="s">
        <v>9</v>
      </c>
      <c r="F78" t="s">
        <v>13</v>
      </c>
      <c r="G78" s="3">
        <v>680.77</v>
      </c>
    </row>
    <row r="79" spans="1:7">
      <c r="A79" t="s">
        <v>95</v>
      </c>
      <c r="B79" s="2">
        <v>45966</v>
      </c>
      <c r="C79" t="s">
        <v>17</v>
      </c>
      <c r="D79">
        <v>20</v>
      </c>
      <c r="E79" t="s">
        <v>20</v>
      </c>
      <c r="F79" t="s">
        <v>21</v>
      </c>
      <c r="G79" s="3">
        <v>1234.8800000000001</v>
      </c>
    </row>
    <row r="80" spans="1:7">
      <c r="A80" t="s">
        <v>96</v>
      </c>
      <c r="B80" s="2">
        <v>45828</v>
      </c>
      <c r="C80" t="s">
        <v>8</v>
      </c>
      <c r="D80">
        <v>36</v>
      </c>
      <c r="E80" t="s">
        <v>9</v>
      </c>
      <c r="F80" t="s">
        <v>18</v>
      </c>
      <c r="G80" s="3">
        <v>256.8</v>
      </c>
    </row>
    <row r="81" spans="1:7">
      <c r="A81" t="s">
        <v>97</v>
      </c>
      <c r="B81" s="2">
        <v>46184</v>
      </c>
      <c r="C81" t="s">
        <v>8</v>
      </c>
      <c r="D81">
        <v>62</v>
      </c>
      <c r="E81" t="s">
        <v>74</v>
      </c>
      <c r="F81" t="s">
        <v>23</v>
      </c>
      <c r="G81" s="3">
        <v>595.70000000000005</v>
      </c>
    </row>
    <row r="82" spans="1:7">
      <c r="A82" t="s">
        <v>98</v>
      </c>
      <c r="B82" s="2">
        <v>45913</v>
      </c>
      <c r="C82" t="s">
        <v>17</v>
      </c>
      <c r="D82">
        <v>62</v>
      </c>
      <c r="E82" t="s">
        <v>9</v>
      </c>
      <c r="F82" t="s">
        <v>21</v>
      </c>
      <c r="G82" s="3">
        <v>1156.93</v>
      </c>
    </row>
    <row r="83" spans="1:7">
      <c r="A83" t="s">
        <v>99</v>
      </c>
      <c r="B83" s="2">
        <v>45791</v>
      </c>
      <c r="C83" t="s">
        <v>8</v>
      </c>
      <c r="D83">
        <v>20</v>
      </c>
      <c r="E83" t="s">
        <v>9</v>
      </c>
      <c r="F83" t="s">
        <v>21</v>
      </c>
      <c r="G83" s="3">
        <v>895.53</v>
      </c>
    </row>
    <row r="84" spans="1:7">
      <c r="A84" t="s">
        <v>100</v>
      </c>
      <c r="B84" s="2">
        <v>46001</v>
      </c>
      <c r="C84" t="s">
        <v>8</v>
      </c>
      <c r="D84">
        <v>55</v>
      </c>
      <c r="E84" t="s">
        <v>39</v>
      </c>
      <c r="F84" t="s">
        <v>44</v>
      </c>
      <c r="G84" s="3">
        <v>1229.76</v>
      </c>
    </row>
    <row r="85" spans="1:7">
      <c r="A85" t="s">
        <v>101</v>
      </c>
      <c r="B85" s="2">
        <v>45998</v>
      </c>
      <c r="C85" t="s">
        <v>17</v>
      </c>
      <c r="D85">
        <v>32</v>
      </c>
      <c r="E85" t="s">
        <v>9</v>
      </c>
      <c r="F85" t="s">
        <v>30</v>
      </c>
      <c r="G85" s="3">
        <v>1651.76</v>
      </c>
    </row>
    <row r="86" spans="1:7">
      <c r="A86" t="s">
        <v>102</v>
      </c>
      <c r="B86" s="2"/>
      <c r="C86" t="s">
        <v>17</v>
      </c>
      <c r="D86">
        <v>45</v>
      </c>
      <c r="E86" t="s">
        <v>74</v>
      </c>
      <c r="F86" t="s">
        <v>10</v>
      </c>
      <c r="G86" s="3">
        <v>978.74</v>
      </c>
    </row>
    <row r="87" spans="1:7">
      <c r="A87" t="s">
        <v>103</v>
      </c>
      <c r="B87" s="2"/>
      <c r="C87" t="s">
        <v>8</v>
      </c>
      <c r="D87">
        <v>46</v>
      </c>
      <c r="E87" t="s">
        <v>39</v>
      </c>
      <c r="F87" t="s">
        <v>13</v>
      </c>
      <c r="G87" s="3">
        <v>645.54999999999995</v>
      </c>
    </row>
    <row r="88" spans="1:7">
      <c r="A88" t="s">
        <v>16</v>
      </c>
      <c r="B88" s="2">
        <v>45954</v>
      </c>
      <c r="C88" t="s">
        <v>17</v>
      </c>
      <c r="D88">
        <v>20</v>
      </c>
      <c r="E88" t="s">
        <v>9</v>
      </c>
      <c r="F88" t="s">
        <v>18</v>
      </c>
      <c r="G88" s="3">
        <v>295.45</v>
      </c>
    </row>
    <row r="89" spans="1:7">
      <c r="A89" t="s">
        <v>104</v>
      </c>
      <c r="B89" s="2">
        <v>45667</v>
      </c>
      <c r="C89" t="s">
        <v>8</v>
      </c>
      <c r="D89">
        <v>62</v>
      </c>
      <c r="E89" t="s">
        <v>9</v>
      </c>
      <c r="F89" t="s">
        <v>44</v>
      </c>
      <c r="G89" s="3">
        <v>881.22</v>
      </c>
    </row>
    <row r="90" spans="1:7">
      <c r="A90" t="s">
        <v>105</v>
      </c>
      <c r="B90" s="2">
        <v>46109</v>
      </c>
      <c r="C90" t="s">
        <v>17</v>
      </c>
      <c r="D90">
        <v>63</v>
      </c>
      <c r="E90" t="s">
        <v>20</v>
      </c>
      <c r="F90" t="s">
        <v>30</v>
      </c>
      <c r="G90" s="3">
        <v>1127.6500000000001</v>
      </c>
    </row>
    <row r="91" spans="1:7">
      <c r="A91" t="s">
        <v>106</v>
      </c>
      <c r="B91" s="2">
        <v>46187</v>
      </c>
      <c r="C91" t="s">
        <v>8</v>
      </c>
      <c r="D91">
        <v>32</v>
      </c>
      <c r="E91" t="s">
        <v>39</v>
      </c>
      <c r="F91" t="s">
        <v>18</v>
      </c>
      <c r="G91" s="3">
        <v>201.16</v>
      </c>
    </row>
    <row r="92" spans="1:7">
      <c r="A92" t="s">
        <v>107</v>
      </c>
      <c r="B92" s="2"/>
      <c r="C92" t="s">
        <v>17</v>
      </c>
      <c r="D92">
        <v>55</v>
      </c>
      <c r="E92" t="s">
        <v>9</v>
      </c>
      <c r="F92" t="s">
        <v>23</v>
      </c>
      <c r="G92" s="3">
        <v>618.42999999999995</v>
      </c>
    </row>
    <row r="93" spans="1:7">
      <c r="A93" t="s">
        <v>108</v>
      </c>
      <c r="B93" s="2"/>
      <c r="C93" t="s">
        <v>17</v>
      </c>
      <c r="D93">
        <v>48</v>
      </c>
      <c r="E93" t="s">
        <v>74</v>
      </c>
      <c r="F93" t="s">
        <v>23</v>
      </c>
      <c r="G93" s="3">
        <v>759.9</v>
      </c>
    </row>
    <row r="94" spans="1:7">
      <c r="A94" t="s">
        <v>109</v>
      </c>
      <c r="B94" s="2">
        <v>45928</v>
      </c>
      <c r="C94" t="s">
        <v>17</v>
      </c>
      <c r="D94">
        <v>61</v>
      </c>
      <c r="E94" t="s">
        <v>15</v>
      </c>
      <c r="G94" s="3">
        <v>667.7</v>
      </c>
    </row>
    <row r="95" spans="1:7">
      <c r="A95" t="s">
        <v>110</v>
      </c>
      <c r="B95" s="2">
        <v>45778</v>
      </c>
      <c r="C95" t="s">
        <v>17</v>
      </c>
      <c r="D95">
        <v>38</v>
      </c>
      <c r="F95" t="s">
        <v>13</v>
      </c>
      <c r="G95" s="3">
        <v>752.98</v>
      </c>
    </row>
    <row r="96" spans="1:7">
      <c r="A96" t="s">
        <v>111</v>
      </c>
      <c r="B96" s="2">
        <v>45673</v>
      </c>
      <c r="C96" t="s">
        <v>8</v>
      </c>
      <c r="D96">
        <v>43</v>
      </c>
      <c r="E96" t="s">
        <v>15</v>
      </c>
      <c r="F96" t="s">
        <v>18</v>
      </c>
      <c r="G96" s="3">
        <v>127.29</v>
      </c>
    </row>
    <row r="97" spans="1:7">
      <c r="A97" t="s">
        <v>112</v>
      </c>
      <c r="B97" s="2">
        <v>45968</v>
      </c>
      <c r="C97" t="s">
        <v>17</v>
      </c>
      <c r="D97">
        <v>32</v>
      </c>
      <c r="E97" t="s">
        <v>9</v>
      </c>
      <c r="F97" t="s">
        <v>21</v>
      </c>
      <c r="G97" s="3">
        <v>790.7</v>
      </c>
    </row>
    <row r="98" spans="1:7">
      <c r="A98" t="s">
        <v>113</v>
      </c>
      <c r="B98" s="2" t="s">
        <v>114</v>
      </c>
      <c r="C98" t="s">
        <v>17</v>
      </c>
      <c r="E98" t="s">
        <v>74</v>
      </c>
      <c r="F98" t="s">
        <v>23</v>
      </c>
      <c r="G98" s="3">
        <v>661.71</v>
      </c>
    </row>
    <row r="99" spans="1:7">
      <c r="A99" t="s">
        <v>115</v>
      </c>
      <c r="B99" s="2">
        <v>45877</v>
      </c>
      <c r="C99" t="s">
        <v>17</v>
      </c>
      <c r="D99">
        <v>29</v>
      </c>
      <c r="E99" t="s">
        <v>9</v>
      </c>
      <c r="F99" t="s">
        <v>18</v>
      </c>
      <c r="G99" s="3"/>
    </row>
    <row r="100" spans="1:7">
      <c r="A100" t="s">
        <v>116</v>
      </c>
      <c r="B100" s="2">
        <v>45874</v>
      </c>
      <c r="C100" t="s">
        <v>8</v>
      </c>
      <c r="D100">
        <v>45</v>
      </c>
      <c r="E100" t="s">
        <v>9</v>
      </c>
      <c r="F100" t="s">
        <v>23</v>
      </c>
      <c r="G100" s="3">
        <v>839.71</v>
      </c>
    </row>
    <row r="101" spans="1:7">
      <c r="A101" t="s">
        <v>117</v>
      </c>
      <c r="B101" s="2">
        <v>46228</v>
      </c>
      <c r="C101" t="s">
        <v>8</v>
      </c>
      <c r="D101">
        <v>62</v>
      </c>
      <c r="E101" t="s">
        <v>15</v>
      </c>
      <c r="F101" t="s">
        <v>44</v>
      </c>
      <c r="G101" s="3">
        <v>632.38</v>
      </c>
    </row>
    <row r="102" spans="1:7">
      <c r="A102" t="s">
        <v>118</v>
      </c>
      <c r="B102" s="2">
        <v>45723</v>
      </c>
      <c r="D102">
        <v>59</v>
      </c>
      <c r="E102" t="s">
        <v>15</v>
      </c>
      <c r="F102" t="s">
        <v>21</v>
      </c>
      <c r="G102" s="3">
        <v>952.9</v>
      </c>
    </row>
    <row r="103" spans="1:7">
      <c r="A103" t="s">
        <v>119</v>
      </c>
      <c r="B103" s="2">
        <v>45951</v>
      </c>
      <c r="C103" t="s">
        <v>17</v>
      </c>
      <c r="D103">
        <v>26</v>
      </c>
      <c r="E103" t="s">
        <v>9</v>
      </c>
      <c r="F103" t="s">
        <v>13</v>
      </c>
      <c r="G103" s="3">
        <v>896.23</v>
      </c>
    </row>
    <row r="104" spans="1:7">
      <c r="A104" t="s">
        <v>120</v>
      </c>
      <c r="B104" s="2">
        <v>45767</v>
      </c>
      <c r="C104" t="s">
        <v>8</v>
      </c>
      <c r="D104">
        <v>37</v>
      </c>
      <c r="E104" t="s">
        <v>74</v>
      </c>
      <c r="F104" t="s">
        <v>30</v>
      </c>
      <c r="G104" s="3">
        <v>1470.86</v>
      </c>
    </row>
    <row r="105" spans="1:7">
      <c r="A105" t="s">
        <v>121</v>
      </c>
      <c r="B105" s="2">
        <v>46094</v>
      </c>
      <c r="C105" t="s">
        <v>8</v>
      </c>
      <c r="D105">
        <v>43</v>
      </c>
      <c r="E105" t="s">
        <v>9</v>
      </c>
      <c r="F105" t="s">
        <v>30</v>
      </c>
      <c r="G105" s="3">
        <v>1377.65</v>
      </c>
    </row>
    <row r="106" spans="1:7">
      <c r="A106" t="s">
        <v>122</v>
      </c>
      <c r="B106" s="2">
        <v>45950</v>
      </c>
      <c r="C106" t="s">
        <v>114</v>
      </c>
      <c r="D106">
        <v>21</v>
      </c>
      <c r="E106" t="s">
        <v>9</v>
      </c>
      <c r="F106" t="s">
        <v>30</v>
      </c>
      <c r="G106" s="3">
        <v>1996.92</v>
      </c>
    </row>
    <row r="107" spans="1:7">
      <c r="A107" t="s">
        <v>123</v>
      </c>
      <c r="B107" s="2">
        <v>46124</v>
      </c>
      <c r="C107" t="s">
        <v>8</v>
      </c>
      <c r="D107">
        <v>24</v>
      </c>
      <c r="E107" t="s">
        <v>9</v>
      </c>
      <c r="F107" t="s">
        <v>44</v>
      </c>
      <c r="G107" s="3">
        <v>1411.64</v>
      </c>
    </row>
    <row r="108" spans="1:7">
      <c r="A108" t="s">
        <v>124</v>
      </c>
      <c r="B108" s="2">
        <v>45802</v>
      </c>
      <c r="C108" t="s">
        <v>17</v>
      </c>
      <c r="D108">
        <v>38</v>
      </c>
      <c r="E108" t="s">
        <v>9</v>
      </c>
      <c r="F108" t="s">
        <v>44</v>
      </c>
      <c r="G108" s="3">
        <v>836.33</v>
      </c>
    </row>
    <row r="109" spans="1:7">
      <c r="A109" t="s">
        <v>125</v>
      </c>
      <c r="B109" s="2">
        <v>46070</v>
      </c>
      <c r="C109" t="s">
        <v>17</v>
      </c>
      <c r="D109">
        <v>55</v>
      </c>
      <c r="E109" t="s">
        <v>15</v>
      </c>
      <c r="F109" t="s">
        <v>23</v>
      </c>
      <c r="G109" s="3">
        <v>1021.22</v>
      </c>
    </row>
    <row r="110" spans="1:7">
      <c r="A110" t="s">
        <v>126</v>
      </c>
      <c r="B110" s="2">
        <v>45735</v>
      </c>
      <c r="C110" t="s">
        <v>17</v>
      </c>
      <c r="D110">
        <v>61</v>
      </c>
      <c r="F110" t="s">
        <v>18</v>
      </c>
      <c r="G110" s="3">
        <v>265.87</v>
      </c>
    </row>
    <row r="111" spans="1:7">
      <c r="A111" t="s">
        <v>127</v>
      </c>
      <c r="B111" s="2">
        <v>46146</v>
      </c>
      <c r="C111" t="s">
        <v>17</v>
      </c>
      <c r="D111">
        <v>43</v>
      </c>
      <c r="E111" t="s">
        <v>20</v>
      </c>
      <c r="F111" t="s">
        <v>18</v>
      </c>
      <c r="G111" s="3">
        <v>169.21</v>
      </c>
    </row>
    <row r="112" spans="1:7">
      <c r="A112" t="s">
        <v>128</v>
      </c>
      <c r="B112" s="2">
        <v>45763</v>
      </c>
      <c r="C112" t="s">
        <v>17</v>
      </c>
      <c r="D112">
        <v>65</v>
      </c>
      <c r="E112" t="s">
        <v>9</v>
      </c>
      <c r="F112" t="s">
        <v>13</v>
      </c>
      <c r="G112" s="3">
        <v>799.53</v>
      </c>
    </row>
    <row r="113" spans="1:7">
      <c r="A113" t="s">
        <v>129</v>
      </c>
      <c r="B113" s="2">
        <v>45777</v>
      </c>
      <c r="C113" t="s">
        <v>17</v>
      </c>
      <c r="D113">
        <v>41</v>
      </c>
      <c r="F113" t="s">
        <v>10</v>
      </c>
      <c r="G113" s="3">
        <v>1081.02</v>
      </c>
    </row>
    <row r="114" spans="1:7">
      <c r="B114" s="2">
        <v>45908</v>
      </c>
      <c r="C114" t="s">
        <v>17</v>
      </c>
      <c r="D114">
        <v>32</v>
      </c>
      <c r="E114" t="s">
        <v>74</v>
      </c>
      <c r="F114" t="s">
        <v>30</v>
      </c>
      <c r="G114" s="3">
        <v>1614.28</v>
      </c>
    </row>
    <row r="115" spans="1:7">
      <c r="A115" t="s">
        <v>130</v>
      </c>
      <c r="B115" s="2">
        <v>45847</v>
      </c>
      <c r="C115" t="s">
        <v>17</v>
      </c>
      <c r="D115">
        <v>42</v>
      </c>
      <c r="E115" t="s">
        <v>9</v>
      </c>
      <c r="F115" t="s">
        <v>13</v>
      </c>
      <c r="G115" s="3">
        <v>648.44000000000005</v>
      </c>
    </row>
    <row r="116" spans="1:7">
      <c r="A116" t="s">
        <v>131</v>
      </c>
      <c r="B116" s="2">
        <v>45846</v>
      </c>
      <c r="C116" t="s">
        <v>17</v>
      </c>
      <c r="D116">
        <v>18</v>
      </c>
      <c r="E116" t="s">
        <v>12</v>
      </c>
      <c r="F116" t="s">
        <v>18</v>
      </c>
      <c r="G116" s="3">
        <v>275.93</v>
      </c>
    </row>
    <row r="117" spans="1:7">
      <c r="A117" t="s">
        <v>132</v>
      </c>
      <c r="B117" s="2">
        <v>46065</v>
      </c>
      <c r="C117" t="s">
        <v>17</v>
      </c>
      <c r="D117">
        <v>22</v>
      </c>
      <c r="E117" t="s">
        <v>9</v>
      </c>
      <c r="F117" t="s">
        <v>21</v>
      </c>
      <c r="G117" s="3">
        <v>1281</v>
      </c>
    </row>
    <row r="118" spans="1:7">
      <c r="A118" t="s">
        <v>133</v>
      </c>
      <c r="B118" s="2">
        <v>45943</v>
      </c>
      <c r="C118" t="s">
        <v>8</v>
      </c>
      <c r="D118">
        <v>123</v>
      </c>
      <c r="E118" t="s">
        <v>9</v>
      </c>
      <c r="F118" t="s">
        <v>44</v>
      </c>
      <c r="G118" s="3">
        <v>796.52</v>
      </c>
    </row>
    <row r="119" spans="1:7">
      <c r="A119" t="s">
        <v>134</v>
      </c>
      <c r="B119" s="2">
        <v>45681</v>
      </c>
      <c r="C119" t="s">
        <v>17</v>
      </c>
      <c r="D119">
        <v>19</v>
      </c>
      <c r="E119" t="s">
        <v>74</v>
      </c>
      <c r="F119" t="s">
        <v>13</v>
      </c>
      <c r="G119" s="3">
        <v>579.54999999999995</v>
      </c>
    </row>
    <row r="120" spans="1:7">
      <c r="A120" t="s">
        <v>135</v>
      </c>
      <c r="B120" s="2">
        <v>45886</v>
      </c>
      <c r="C120" t="s">
        <v>17</v>
      </c>
      <c r="D120">
        <v>60</v>
      </c>
      <c r="E120" t="s">
        <v>15</v>
      </c>
      <c r="F120" t="s">
        <v>21</v>
      </c>
      <c r="G120" s="3">
        <v>712.55</v>
      </c>
    </row>
    <row r="121" spans="1:7">
      <c r="B121" s="2">
        <v>46151</v>
      </c>
      <c r="C121" t="s">
        <v>17</v>
      </c>
      <c r="D121">
        <v>50</v>
      </c>
      <c r="E121" t="s">
        <v>9</v>
      </c>
      <c r="F121" t="s">
        <v>21</v>
      </c>
      <c r="G121" s="3">
        <v>917.25</v>
      </c>
    </row>
    <row r="122" spans="1:7">
      <c r="A122" t="s">
        <v>136</v>
      </c>
      <c r="B122" s="2">
        <v>45801</v>
      </c>
      <c r="C122" t="s">
        <v>8</v>
      </c>
      <c r="D122">
        <v>21</v>
      </c>
      <c r="E122" t="s">
        <v>12</v>
      </c>
      <c r="F122" t="s">
        <v>44</v>
      </c>
      <c r="G122" s="3">
        <v>890.48</v>
      </c>
    </row>
    <row r="123" spans="1:7">
      <c r="A123" t="s">
        <v>137</v>
      </c>
      <c r="B123" s="2">
        <v>46157</v>
      </c>
      <c r="C123" t="s">
        <v>17</v>
      </c>
      <c r="D123">
        <v>61</v>
      </c>
      <c r="E123" t="s">
        <v>15</v>
      </c>
      <c r="F123" t="s">
        <v>18</v>
      </c>
      <c r="G123" s="3">
        <v>294.94</v>
      </c>
    </row>
    <row r="124" spans="1:7">
      <c r="A124" t="s">
        <v>138</v>
      </c>
      <c r="B124" s="2">
        <v>45840</v>
      </c>
      <c r="C124" t="s">
        <v>17</v>
      </c>
      <c r="E124" t="s">
        <v>15</v>
      </c>
      <c r="F124" t="s">
        <v>21</v>
      </c>
      <c r="G124" s="3">
        <v>756.75</v>
      </c>
    </row>
    <row r="125" spans="1:7">
      <c r="A125" t="s">
        <v>139</v>
      </c>
      <c r="B125" s="2">
        <v>45820</v>
      </c>
      <c r="C125" t="s">
        <v>17</v>
      </c>
      <c r="D125">
        <v>58</v>
      </c>
      <c r="E125" t="s">
        <v>39</v>
      </c>
      <c r="F125" t="s">
        <v>30</v>
      </c>
      <c r="G125" s="3">
        <v>1316.09</v>
      </c>
    </row>
    <row r="126" spans="1:7">
      <c r="A126" t="s">
        <v>140</v>
      </c>
      <c r="B126" s="2"/>
      <c r="C126" t="s">
        <v>8</v>
      </c>
      <c r="D126">
        <v>33</v>
      </c>
      <c r="E126" t="s">
        <v>39</v>
      </c>
      <c r="F126" t="s">
        <v>21</v>
      </c>
      <c r="G126" s="3">
        <v>753.73</v>
      </c>
    </row>
    <row r="127" spans="1:7">
      <c r="A127" t="s">
        <v>141</v>
      </c>
      <c r="B127" s="2">
        <v>46052</v>
      </c>
      <c r="C127" t="s">
        <v>17</v>
      </c>
      <c r="D127">
        <v>49</v>
      </c>
      <c r="E127" t="s">
        <v>9</v>
      </c>
      <c r="F127" t="s">
        <v>21</v>
      </c>
      <c r="G127" s="3">
        <v>527.12</v>
      </c>
    </row>
    <row r="128" spans="1:7">
      <c r="A128" t="s">
        <v>142</v>
      </c>
      <c r="B128" s="2">
        <v>45706</v>
      </c>
      <c r="C128" t="s">
        <v>17</v>
      </c>
      <c r="D128">
        <v>35</v>
      </c>
      <c r="E128" t="s">
        <v>12</v>
      </c>
      <c r="F128" t="s">
        <v>143</v>
      </c>
      <c r="G128" s="3">
        <v>646.07000000000005</v>
      </c>
    </row>
    <row r="129" spans="1:7">
      <c r="A129" t="s">
        <v>144</v>
      </c>
      <c r="B129" s="2">
        <v>45827</v>
      </c>
      <c r="C129" t="s">
        <v>17</v>
      </c>
      <c r="D129">
        <v>42</v>
      </c>
      <c r="E129" t="s">
        <v>15</v>
      </c>
      <c r="F129" t="s">
        <v>10</v>
      </c>
      <c r="G129" s="3">
        <v>1155.3399999999999</v>
      </c>
    </row>
    <row r="130" spans="1:7">
      <c r="A130" t="s">
        <v>145</v>
      </c>
      <c r="B130" s="2">
        <v>45983</v>
      </c>
      <c r="C130" t="s">
        <v>17</v>
      </c>
      <c r="D130">
        <v>50</v>
      </c>
      <c r="E130" t="s">
        <v>9</v>
      </c>
      <c r="F130" t="s">
        <v>30</v>
      </c>
      <c r="G130" s="3"/>
    </row>
    <row r="131" spans="1:7">
      <c r="A131" t="s">
        <v>146</v>
      </c>
      <c r="B131" s="2">
        <v>46037</v>
      </c>
      <c r="C131" t="s">
        <v>17</v>
      </c>
      <c r="D131">
        <v>21</v>
      </c>
      <c r="E131" t="s">
        <v>12</v>
      </c>
      <c r="F131" t="s">
        <v>10</v>
      </c>
      <c r="G131" s="3">
        <v>845.86</v>
      </c>
    </row>
    <row r="132" spans="1:7">
      <c r="A132" t="s">
        <v>147</v>
      </c>
      <c r="B132" s="2">
        <v>45661</v>
      </c>
      <c r="C132" t="s">
        <v>17</v>
      </c>
      <c r="D132">
        <v>46</v>
      </c>
      <c r="F132" t="s">
        <v>30</v>
      </c>
      <c r="G132" s="3">
        <v>1455.22</v>
      </c>
    </row>
    <row r="133" spans="1:7">
      <c r="A133" t="s">
        <v>148</v>
      </c>
      <c r="B133" s="2">
        <v>45768</v>
      </c>
      <c r="C133" t="s">
        <v>8</v>
      </c>
      <c r="D133">
        <v>39</v>
      </c>
      <c r="E133" t="s">
        <v>39</v>
      </c>
      <c r="F133" t="s">
        <v>18</v>
      </c>
      <c r="G133" s="3">
        <v>120.06</v>
      </c>
    </row>
    <row r="134" spans="1:7">
      <c r="A134" t="s">
        <v>149</v>
      </c>
      <c r="B134" s="2">
        <v>45890</v>
      </c>
      <c r="C134" t="s">
        <v>8</v>
      </c>
      <c r="D134">
        <v>60</v>
      </c>
      <c r="E134" t="s">
        <v>150</v>
      </c>
      <c r="F134" t="s">
        <v>18</v>
      </c>
      <c r="G134" s="3"/>
    </row>
    <row r="135" spans="1:7">
      <c r="A135" t="s">
        <v>151</v>
      </c>
      <c r="B135" s="2">
        <v>45719</v>
      </c>
      <c r="C135" t="s">
        <v>8</v>
      </c>
      <c r="D135">
        <v>46</v>
      </c>
      <c r="F135" t="s">
        <v>13</v>
      </c>
      <c r="G135" s="3">
        <v>675.77</v>
      </c>
    </row>
    <row r="136" spans="1:7">
      <c r="A136" t="s">
        <v>152</v>
      </c>
      <c r="B136" s="2">
        <v>45709</v>
      </c>
      <c r="C136" t="s">
        <v>8</v>
      </c>
      <c r="E136" t="s">
        <v>20</v>
      </c>
      <c r="F136" t="s">
        <v>13</v>
      </c>
      <c r="G136" s="3">
        <v>409.49</v>
      </c>
    </row>
    <row r="137" spans="1:7">
      <c r="A137" t="s">
        <v>153</v>
      </c>
      <c r="B137" s="2">
        <v>45763</v>
      </c>
      <c r="D137">
        <v>41</v>
      </c>
      <c r="E137" t="s">
        <v>20</v>
      </c>
      <c r="F137" t="s">
        <v>10</v>
      </c>
      <c r="G137" s="3">
        <v>10006</v>
      </c>
    </row>
    <row r="138" spans="1:7">
      <c r="A138" t="s">
        <v>154</v>
      </c>
      <c r="B138" s="2">
        <v>46033</v>
      </c>
      <c r="C138" t="s">
        <v>17</v>
      </c>
      <c r="D138">
        <v>70</v>
      </c>
      <c r="E138" t="s">
        <v>20</v>
      </c>
      <c r="F138" t="s">
        <v>30</v>
      </c>
      <c r="G138" s="3">
        <v>1956.52</v>
      </c>
    </row>
    <row r="139" spans="1:7">
      <c r="A139" t="s">
        <v>155</v>
      </c>
      <c r="B139" s="2">
        <v>45812</v>
      </c>
      <c r="C139" t="s">
        <v>17</v>
      </c>
      <c r="D139">
        <v>19</v>
      </c>
      <c r="E139" t="s">
        <v>9</v>
      </c>
      <c r="F139" t="s">
        <v>23</v>
      </c>
      <c r="G139" s="3"/>
    </row>
    <row r="140" spans="1:7">
      <c r="A140" t="s">
        <v>156</v>
      </c>
      <c r="B140" s="2">
        <v>45875</v>
      </c>
      <c r="C140" t="s">
        <v>8</v>
      </c>
      <c r="D140">
        <v>59</v>
      </c>
      <c r="E140" t="s">
        <v>20</v>
      </c>
      <c r="F140" t="s">
        <v>13</v>
      </c>
      <c r="G140" s="3"/>
    </row>
    <row r="141" spans="1:7">
      <c r="A141" t="s">
        <v>157</v>
      </c>
      <c r="B141" s="2">
        <v>46026</v>
      </c>
      <c r="C141" t="s">
        <v>17</v>
      </c>
      <c r="D141">
        <v>65</v>
      </c>
      <c r="F141" t="s">
        <v>21</v>
      </c>
      <c r="G141" s="3">
        <v>810.64</v>
      </c>
    </row>
    <row r="142" spans="1:7">
      <c r="A142" t="s">
        <v>158</v>
      </c>
      <c r="B142" s="2">
        <v>46064</v>
      </c>
      <c r="C142" t="s">
        <v>17</v>
      </c>
      <c r="D142">
        <v>30</v>
      </c>
      <c r="F142" t="s">
        <v>13</v>
      </c>
      <c r="G142" s="3">
        <v>855.02</v>
      </c>
    </row>
    <row r="143" spans="1:7">
      <c r="A143" t="s">
        <v>159</v>
      </c>
      <c r="B143" s="2">
        <v>45938</v>
      </c>
      <c r="C143" t="s">
        <v>8</v>
      </c>
      <c r="D143">
        <v>52</v>
      </c>
      <c r="E143" t="s">
        <v>39</v>
      </c>
      <c r="F143" t="s">
        <v>18</v>
      </c>
      <c r="G143" s="3">
        <v>316.74</v>
      </c>
    </row>
    <row r="144" spans="1:7">
      <c r="A144" t="s">
        <v>160</v>
      </c>
      <c r="B144" s="2"/>
      <c r="C144" t="s">
        <v>8</v>
      </c>
      <c r="D144">
        <v>31</v>
      </c>
      <c r="E144" t="s">
        <v>9</v>
      </c>
      <c r="F144" t="s">
        <v>30</v>
      </c>
      <c r="G144" s="3">
        <v>1961.76</v>
      </c>
    </row>
    <row r="145" spans="1:7">
      <c r="A145" t="s">
        <v>161</v>
      </c>
      <c r="B145" s="2">
        <v>46173</v>
      </c>
      <c r="C145" t="s">
        <v>17</v>
      </c>
      <c r="D145">
        <v>34</v>
      </c>
      <c r="E145" t="s">
        <v>15</v>
      </c>
      <c r="F145" t="s">
        <v>44</v>
      </c>
      <c r="G145" s="3">
        <v>1390.38</v>
      </c>
    </row>
    <row r="146" spans="1:7">
      <c r="A146" t="s">
        <v>162</v>
      </c>
      <c r="B146" s="2">
        <v>45752</v>
      </c>
      <c r="C146" t="s">
        <v>8</v>
      </c>
      <c r="E146" t="s">
        <v>39</v>
      </c>
      <c r="F146" t="s">
        <v>30</v>
      </c>
      <c r="G146" s="3">
        <v>1852.82</v>
      </c>
    </row>
    <row r="147" spans="1:7">
      <c r="A147" t="s">
        <v>163</v>
      </c>
      <c r="B147" s="2">
        <v>45931</v>
      </c>
      <c r="C147" t="s">
        <v>8</v>
      </c>
      <c r="D147">
        <v>68</v>
      </c>
      <c r="E147" t="s">
        <v>9</v>
      </c>
      <c r="G147" s="3">
        <v>843.99</v>
      </c>
    </row>
    <row r="148" spans="1:7">
      <c r="B148" s="2"/>
      <c r="C148" t="s">
        <v>8</v>
      </c>
      <c r="D148">
        <v>50</v>
      </c>
      <c r="E148" t="s">
        <v>15</v>
      </c>
      <c r="F148" t="s">
        <v>30</v>
      </c>
      <c r="G148" s="3">
        <v>1828.2</v>
      </c>
    </row>
    <row r="149" spans="1:7">
      <c r="A149" t="s">
        <v>164</v>
      </c>
      <c r="B149" s="2">
        <v>45864</v>
      </c>
      <c r="C149" t="s">
        <v>17</v>
      </c>
      <c r="D149">
        <v>60</v>
      </c>
      <c r="E149" t="s">
        <v>15</v>
      </c>
      <c r="F149" t="s">
        <v>30</v>
      </c>
      <c r="G149" s="3">
        <v>785.37</v>
      </c>
    </row>
    <row r="150" spans="1:7">
      <c r="A150" t="s">
        <v>165</v>
      </c>
      <c r="B150" s="2">
        <v>46020</v>
      </c>
      <c r="C150" t="s">
        <v>17</v>
      </c>
      <c r="D150">
        <v>70</v>
      </c>
      <c r="E150" t="s">
        <v>20</v>
      </c>
      <c r="F150" t="s">
        <v>30</v>
      </c>
      <c r="G150" s="3">
        <v>924.95</v>
      </c>
    </row>
    <row r="151" spans="1:7">
      <c r="A151" t="s">
        <v>166</v>
      </c>
      <c r="B151" s="2">
        <v>45771</v>
      </c>
      <c r="C151" t="s">
        <v>17</v>
      </c>
      <c r="E151" t="s">
        <v>74</v>
      </c>
      <c r="F151" t="s">
        <v>13</v>
      </c>
      <c r="G151" s="3">
        <v>758.44</v>
      </c>
    </row>
    <row r="152" spans="1:7">
      <c r="A152" t="s">
        <v>167</v>
      </c>
      <c r="B152" s="2">
        <v>45982</v>
      </c>
      <c r="C152" t="s">
        <v>8</v>
      </c>
      <c r="D152">
        <v>35</v>
      </c>
      <c r="E152" t="s">
        <v>9</v>
      </c>
      <c r="F152" t="s">
        <v>30</v>
      </c>
      <c r="G152" s="3">
        <v>1086.6400000000001</v>
      </c>
    </row>
    <row r="153" spans="1:7">
      <c r="A153" t="s">
        <v>168</v>
      </c>
      <c r="B153" s="2">
        <v>46000</v>
      </c>
      <c r="C153" t="s">
        <v>17</v>
      </c>
      <c r="D153">
        <v>43</v>
      </c>
      <c r="E153" t="s">
        <v>9</v>
      </c>
      <c r="F153" t="s">
        <v>44</v>
      </c>
      <c r="G153" s="3">
        <v>624.91999999999996</v>
      </c>
    </row>
    <row r="154" spans="1:7">
      <c r="A154" t="s">
        <v>169</v>
      </c>
      <c r="B154" s="2">
        <v>45676</v>
      </c>
      <c r="C154" t="s">
        <v>8</v>
      </c>
      <c r="E154" t="s">
        <v>9</v>
      </c>
      <c r="F154" t="s">
        <v>30</v>
      </c>
      <c r="G154" s="3">
        <v>1015.92</v>
      </c>
    </row>
    <row r="155" spans="1:7">
      <c r="A155" t="s">
        <v>170</v>
      </c>
      <c r="B155" s="2">
        <v>46081</v>
      </c>
      <c r="C155" t="s">
        <v>17</v>
      </c>
      <c r="D155">
        <v>62</v>
      </c>
      <c r="E155" t="s">
        <v>9</v>
      </c>
      <c r="F155" t="s">
        <v>44</v>
      </c>
      <c r="G155" s="3">
        <v>1371.98</v>
      </c>
    </row>
    <row r="156" spans="1:7">
      <c r="A156" t="s">
        <v>171</v>
      </c>
      <c r="B156" s="2">
        <v>45680</v>
      </c>
      <c r="C156" t="s">
        <v>17</v>
      </c>
      <c r="D156">
        <v>28</v>
      </c>
      <c r="E156" t="s">
        <v>12</v>
      </c>
      <c r="F156" t="s">
        <v>10</v>
      </c>
      <c r="G156" s="3">
        <v>836.87</v>
      </c>
    </row>
    <row r="157" spans="1:7">
      <c r="A157" t="s">
        <v>172</v>
      </c>
      <c r="B157" s="2">
        <v>45892</v>
      </c>
      <c r="C157" t="s">
        <v>8</v>
      </c>
      <c r="E157" t="s">
        <v>20</v>
      </c>
      <c r="F157" t="s">
        <v>30</v>
      </c>
      <c r="G157" s="3">
        <v>895.93</v>
      </c>
    </row>
    <row r="158" spans="1:7">
      <c r="A158" t="s">
        <v>173</v>
      </c>
      <c r="B158" s="2">
        <v>46157</v>
      </c>
      <c r="D158">
        <v>65</v>
      </c>
      <c r="E158" t="s">
        <v>12</v>
      </c>
      <c r="F158" t="s">
        <v>30</v>
      </c>
      <c r="G158" s="3">
        <v>1137.32</v>
      </c>
    </row>
    <row r="159" spans="1:7">
      <c r="A159" t="s">
        <v>174</v>
      </c>
      <c r="B159" s="2">
        <v>46041</v>
      </c>
      <c r="C159" t="s">
        <v>17</v>
      </c>
      <c r="D159">
        <v>28</v>
      </c>
      <c r="E159" t="s">
        <v>54</v>
      </c>
      <c r="F159" t="s">
        <v>21</v>
      </c>
      <c r="G159" s="3">
        <v>785.95</v>
      </c>
    </row>
    <row r="160" spans="1:7">
      <c r="A160" t="s">
        <v>175</v>
      </c>
      <c r="B160" s="2">
        <v>46230</v>
      </c>
      <c r="D160">
        <v>70</v>
      </c>
      <c r="E160" t="s">
        <v>9</v>
      </c>
      <c r="F160" t="s">
        <v>10</v>
      </c>
      <c r="G160" s="3">
        <v>1087.08</v>
      </c>
    </row>
    <row r="161" spans="1:7">
      <c r="A161" t="s">
        <v>176</v>
      </c>
      <c r="B161" s="2">
        <v>45839</v>
      </c>
      <c r="C161" t="s">
        <v>17</v>
      </c>
      <c r="E161" t="s">
        <v>15</v>
      </c>
      <c r="F161" t="s">
        <v>13</v>
      </c>
      <c r="G161" s="3">
        <v>648.57000000000005</v>
      </c>
    </row>
    <row r="162" spans="1:7">
      <c r="A162" t="s">
        <v>177</v>
      </c>
      <c r="B162" s="2">
        <v>45873</v>
      </c>
      <c r="C162" t="s">
        <v>8</v>
      </c>
      <c r="D162">
        <v>52</v>
      </c>
      <c r="E162" t="s">
        <v>39</v>
      </c>
      <c r="F162" t="s">
        <v>10</v>
      </c>
      <c r="G162" s="3">
        <v>1064.4100000000001</v>
      </c>
    </row>
    <row r="163" spans="1:7">
      <c r="B163" s="2">
        <v>45878</v>
      </c>
      <c r="C163" t="s">
        <v>8</v>
      </c>
      <c r="D163">
        <v>53</v>
      </c>
      <c r="E163" t="s">
        <v>9</v>
      </c>
      <c r="F163" t="s">
        <v>21</v>
      </c>
      <c r="G163" s="3">
        <v>944.96</v>
      </c>
    </row>
    <row r="164" spans="1:7">
      <c r="A164" t="s">
        <v>178</v>
      </c>
      <c r="B164" s="2">
        <v>46059</v>
      </c>
      <c r="C164" t="s">
        <v>8</v>
      </c>
      <c r="D164">
        <v>36</v>
      </c>
      <c r="E164" t="s">
        <v>15</v>
      </c>
      <c r="F164" t="s">
        <v>10</v>
      </c>
      <c r="G164" s="3">
        <v>508.34</v>
      </c>
    </row>
    <row r="165" spans="1:7">
      <c r="A165" t="s">
        <v>179</v>
      </c>
      <c r="B165" s="2">
        <v>46148</v>
      </c>
      <c r="C165" t="s">
        <v>8</v>
      </c>
      <c r="D165">
        <v>52</v>
      </c>
      <c r="E165" t="s">
        <v>9</v>
      </c>
      <c r="F165" t="s">
        <v>10</v>
      </c>
      <c r="G165" s="3">
        <v>934.22</v>
      </c>
    </row>
    <row r="166" spans="1:7">
      <c r="A166" t="s">
        <v>180</v>
      </c>
      <c r="B166" s="2">
        <v>45795</v>
      </c>
      <c r="C166" t="s">
        <v>8</v>
      </c>
      <c r="D166">
        <v>26</v>
      </c>
      <c r="E166" t="s">
        <v>39</v>
      </c>
      <c r="F166" t="s">
        <v>18</v>
      </c>
      <c r="G166" s="3">
        <v>267.12</v>
      </c>
    </row>
    <row r="167" spans="1:7">
      <c r="A167" t="s">
        <v>181</v>
      </c>
      <c r="B167" s="2">
        <v>45879</v>
      </c>
      <c r="C167" t="s">
        <v>8</v>
      </c>
      <c r="D167">
        <v>42</v>
      </c>
      <c r="E167" t="s">
        <v>15</v>
      </c>
      <c r="F167" t="s">
        <v>30</v>
      </c>
      <c r="G167" s="3">
        <v>1672.71</v>
      </c>
    </row>
    <row r="168" spans="1:7">
      <c r="A168" t="s">
        <v>182</v>
      </c>
      <c r="B168" s="2">
        <v>46094</v>
      </c>
      <c r="C168" t="s">
        <v>17</v>
      </c>
      <c r="D168">
        <v>29</v>
      </c>
      <c r="E168" t="s">
        <v>20</v>
      </c>
      <c r="F168" t="s">
        <v>13</v>
      </c>
      <c r="G168" s="3">
        <v>794.1</v>
      </c>
    </row>
    <row r="169" spans="1:7">
      <c r="A169" t="s">
        <v>183</v>
      </c>
      <c r="B169" s="2">
        <v>45868</v>
      </c>
      <c r="C169" t="s">
        <v>17</v>
      </c>
      <c r="D169">
        <v>59</v>
      </c>
      <c r="E169" t="s">
        <v>15</v>
      </c>
      <c r="F169" t="s">
        <v>13</v>
      </c>
      <c r="G169" s="3">
        <v>856.56</v>
      </c>
    </row>
    <row r="170" spans="1:7">
      <c r="A170" t="s">
        <v>184</v>
      </c>
      <c r="B170" s="2">
        <v>45731</v>
      </c>
      <c r="C170" t="s">
        <v>17</v>
      </c>
      <c r="D170">
        <v>66</v>
      </c>
      <c r="E170" t="s">
        <v>15</v>
      </c>
      <c r="F170" t="s">
        <v>21</v>
      </c>
      <c r="G170" s="3">
        <v>457.6</v>
      </c>
    </row>
    <row r="171" spans="1:7">
      <c r="A171" t="s">
        <v>185</v>
      </c>
      <c r="B171" s="2">
        <v>46017</v>
      </c>
      <c r="C171" t="s">
        <v>8</v>
      </c>
      <c r="D171">
        <v>60</v>
      </c>
      <c r="E171" t="s">
        <v>9</v>
      </c>
      <c r="F171" t="s">
        <v>18</v>
      </c>
      <c r="G171" s="3">
        <v>175.19</v>
      </c>
    </row>
    <row r="172" spans="1:7">
      <c r="A172" t="s">
        <v>186</v>
      </c>
      <c r="B172" s="2">
        <v>45753</v>
      </c>
      <c r="C172" t="s">
        <v>17</v>
      </c>
      <c r="D172">
        <v>48</v>
      </c>
      <c r="E172" t="s">
        <v>74</v>
      </c>
      <c r="F172" t="s">
        <v>23</v>
      </c>
      <c r="G172" s="3">
        <v>746.26</v>
      </c>
    </row>
    <row r="173" spans="1:7">
      <c r="A173" t="s">
        <v>187</v>
      </c>
      <c r="B173" s="2">
        <v>45850</v>
      </c>
      <c r="C173" t="s">
        <v>17</v>
      </c>
      <c r="D173">
        <v>55</v>
      </c>
      <c r="E173" t="s">
        <v>9</v>
      </c>
      <c r="F173" t="s">
        <v>30</v>
      </c>
      <c r="G173" s="3">
        <v>1137.1600000000001</v>
      </c>
    </row>
    <row r="174" spans="1:7">
      <c r="A174" t="s">
        <v>188</v>
      </c>
      <c r="B174" s="2">
        <v>45871</v>
      </c>
      <c r="C174" t="s">
        <v>8</v>
      </c>
      <c r="D174">
        <v>30</v>
      </c>
      <c r="E174" t="s">
        <v>9</v>
      </c>
      <c r="F174" t="s">
        <v>18</v>
      </c>
      <c r="G174" s="3">
        <v>167.65</v>
      </c>
    </row>
    <row r="175" spans="1:7">
      <c r="A175" t="s">
        <v>189</v>
      </c>
      <c r="B175" s="2">
        <v>46189</v>
      </c>
      <c r="C175" t="s">
        <v>8</v>
      </c>
      <c r="D175">
        <v>31</v>
      </c>
      <c r="E175" t="s">
        <v>9</v>
      </c>
      <c r="F175" t="s">
        <v>13</v>
      </c>
      <c r="G175" s="3">
        <v>638.6</v>
      </c>
    </row>
    <row r="176" spans="1:7">
      <c r="A176" t="s">
        <v>190</v>
      </c>
      <c r="B176" s="2">
        <v>45696</v>
      </c>
      <c r="C176" t="s">
        <v>17</v>
      </c>
      <c r="D176">
        <v>62</v>
      </c>
      <c r="E176" t="s">
        <v>15</v>
      </c>
      <c r="F176" t="s">
        <v>18</v>
      </c>
      <c r="G176" s="3">
        <v>210.96</v>
      </c>
    </row>
    <row r="177" spans="1:7">
      <c r="A177" t="s">
        <v>191</v>
      </c>
      <c r="B177" s="2">
        <v>45857</v>
      </c>
      <c r="C177" t="s">
        <v>192</v>
      </c>
      <c r="D177">
        <v>28</v>
      </c>
      <c r="E177" t="s">
        <v>12</v>
      </c>
      <c r="F177" t="s">
        <v>18</v>
      </c>
      <c r="G177" s="3">
        <v>152.91999999999999</v>
      </c>
    </row>
    <row r="178" spans="1:7">
      <c r="A178" t="s">
        <v>193</v>
      </c>
      <c r="B178" s="2">
        <v>45896</v>
      </c>
      <c r="C178" t="s">
        <v>8</v>
      </c>
      <c r="D178">
        <v>26</v>
      </c>
      <c r="E178" t="s">
        <v>20</v>
      </c>
      <c r="F178" t="s">
        <v>44</v>
      </c>
      <c r="G178" s="3">
        <v>1481.76</v>
      </c>
    </row>
    <row r="179" spans="1:7">
      <c r="A179" t="s">
        <v>194</v>
      </c>
      <c r="B179" s="2"/>
      <c r="C179" t="s">
        <v>17</v>
      </c>
      <c r="D179">
        <v>33</v>
      </c>
      <c r="E179" t="s">
        <v>9</v>
      </c>
      <c r="F179" t="s">
        <v>195</v>
      </c>
      <c r="G179" s="3">
        <v>964.35</v>
      </c>
    </row>
    <row r="180" spans="1:7">
      <c r="A180" t="s">
        <v>196</v>
      </c>
      <c r="B180" s="2">
        <v>46166</v>
      </c>
      <c r="C180" t="s">
        <v>8</v>
      </c>
      <c r="D180">
        <v>69</v>
      </c>
      <c r="E180" t="s">
        <v>9</v>
      </c>
      <c r="F180" t="s">
        <v>10</v>
      </c>
      <c r="G180" s="3">
        <v>1244.97</v>
      </c>
    </row>
    <row r="181" spans="1:7">
      <c r="A181" t="s">
        <v>197</v>
      </c>
      <c r="B181" s="2">
        <v>46146</v>
      </c>
      <c r="C181" t="s">
        <v>17</v>
      </c>
      <c r="D181">
        <v>18</v>
      </c>
      <c r="E181" t="s">
        <v>9</v>
      </c>
      <c r="F181" t="s">
        <v>30</v>
      </c>
      <c r="G181" s="3">
        <v>721.99</v>
      </c>
    </row>
    <row r="182" spans="1:7">
      <c r="A182" t="s">
        <v>198</v>
      </c>
      <c r="B182" s="2">
        <v>45932</v>
      </c>
      <c r="C182" t="s">
        <v>17</v>
      </c>
      <c r="D182">
        <v>33</v>
      </c>
      <c r="E182" t="s">
        <v>74</v>
      </c>
      <c r="F182" t="s">
        <v>10</v>
      </c>
      <c r="G182" s="3">
        <v>1332.38</v>
      </c>
    </row>
    <row r="183" spans="1:7">
      <c r="A183" t="s">
        <v>199</v>
      </c>
      <c r="B183" s="2">
        <v>45930</v>
      </c>
      <c r="C183" t="s">
        <v>17</v>
      </c>
      <c r="D183">
        <v>66</v>
      </c>
      <c r="E183" t="s">
        <v>9</v>
      </c>
      <c r="F183" t="s">
        <v>30</v>
      </c>
      <c r="G183" s="3">
        <v>969.34</v>
      </c>
    </row>
    <row r="184" spans="1:7">
      <c r="A184" t="s">
        <v>200</v>
      </c>
      <c r="B184" s="2">
        <v>45804</v>
      </c>
      <c r="C184" t="s">
        <v>17</v>
      </c>
      <c r="D184">
        <v>65</v>
      </c>
      <c r="E184" t="s">
        <v>9</v>
      </c>
      <c r="F184" t="s">
        <v>44</v>
      </c>
      <c r="G184" s="3">
        <v>790.75</v>
      </c>
    </row>
    <row r="185" spans="1:7">
      <c r="A185" t="s">
        <v>201</v>
      </c>
      <c r="B185" s="2">
        <v>45899</v>
      </c>
      <c r="C185" t="s">
        <v>8</v>
      </c>
      <c r="D185">
        <v>67</v>
      </c>
      <c r="E185" t="s">
        <v>39</v>
      </c>
      <c r="F185" t="s">
        <v>13</v>
      </c>
      <c r="G185" s="3">
        <v>828.77</v>
      </c>
    </row>
    <row r="186" spans="1:7">
      <c r="A186" t="s">
        <v>202</v>
      </c>
      <c r="B186" s="2">
        <v>45720</v>
      </c>
      <c r="C186" t="s">
        <v>17</v>
      </c>
      <c r="D186">
        <v>37</v>
      </c>
      <c r="E186" t="s">
        <v>9</v>
      </c>
      <c r="F186" t="s">
        <v>30</v>
      </c>
      <c r="G186" s="3">
        <v>1800.86</v>
      </c>
    </row>
    <row r="187" spans="1:7">
      <c r="B187" s="2">
        <v>45945</v>
      </c>
      <c r="C187" t="s">
        <v>17</v>
      </c>
      <c r="D187">
        <v>41</v>
      </c>
      <c r="E187" t="s">
        <v>20</v>
      </c>
      <c r="F187" t="s">
        <v>10</v>
      </c>
      <c r="G187" s="3">
        <v>1200.17</v>
      </c>
    </row>
    <row r="188" spans="1:7">
      <c r="A188" t="s">
        <v>203</v>
      </c>
      <c r="B188" s="2">
        <v>45780</v>
      </c>
      <c r="C188" t="s">
        <v>8</v>
      </c>
      <c r="D188">
        <v>67</v>
      </c>
      <c r="E188" t="s">
        <v>9</v>
      </c>
      <c r="F188" t="s">
        <v>23</v>
      </c>
      <c r="G188" s="3"/>
    </row>
    <row r="189" spans="1:7">
      <c r="A189" t="s">
        <v>204</v>
      </c>
      <c r="B189" s="2">
        <v>46021</v>
      </c>
      <c r="C189" t="s">
        <v>8</v>
      </c>
      <c r="E189" t="s">
        <v>74</v>
      </c>
      <c r="F189" t="s">
        <v>10</v>
      </c>
      <c r="G189" s="3">
        <v>853.76</v>
      </c>
    </row>
    <row r="190" spans="1:7">
      <c r="B190" s="2">
        <v>45728</v>
      </c>
      <c r="C190" t="s">
        <v>8</v>
      </c>
      <c r="D190">
        <v>21</v>
      </c>
      <c r="E190" t="s">
        <v>39</v>
      </c>
      <c r="F190" t="s">
        <v>10</v>
      </c>
      <c r="G190" s="3">
        <v>1144.9100000000001</v>
      </c>
    </row>
    <row r="191" spans="1:7">
      <c r="A191" t="s">
        <v>205</v>
      </c>
      <c r="B191" s="2">
        <v>45845</v>
      </c>
      <c r="C191" t="s">
        <v>17</v>
      </c>
      <c r="D191">
        <v>56</v>
      </c>
      <c r="E191" t="s">
        <v>39</v>
      </c>
      <c r="F191" t="s">
        <v>30</v>
      </c>
      <c r="G191" s="3">
        <v>660.22</v>
      </c>
    </row>
    <row r="192" spans="1:7">
      <c r="A192" t="s">
        <v>206</v>
      </c>
      <c r="B192" s="2">
        <v>45805</v>
      </c>
      <c r="C192" t="s">
        <v>8</v>
      </c>
      <c r="D192">
        <v>41</v>
      </c>
      <c r="E192" t="s">
        <v>9</v>
      </c>
      <c r="F192" t="s">
        <v>13</v>
      </c>
      <c r="G192" s="3">
        <v>868.55</v>
      </c>
    </row>
    <row r="193" spans="1:7">
      <c r="A193" t="s">
        <v>207</v>
      </c>
      <c r="B193" s="2">
        <v>45665</v>
      </c>
      <c r="C193" t="s">
        <v>17</v>
      </c>
      <c r="D193">
        <v>40</v>
      </c>
      <c r="E193" t="s">
        <v>20</v>
      </c>
      <c r="F193" t="s">
        <v>23</v>
      </c>
      <c r="G193" s="3">
        <v>789.1</v>
      </c>
    </row>
    <row r="194" spans="1:7">
      <c r="A194" t="s">
        <v>208</v>
      </c>
      <c r="B194" s="2">
        <v>46019</v>
      </c>
      <c r="C194" t="s">
        <v>17</v>
      </c>
      <c r="D194">
        <v>38</v>
      </c>
      <c r="E194" t="s">
        <v>9</v>
      </c>
      <c r="F194" t="s">
        <v>21</v>
      </c>
      <c r="G194" s="3">
        <v>748.35</v>
      </c>
    </row>
    <row r="195" spans="1:7">
      <c r="A195" t="s">
        <v>209</v>
      </c>
      <c r="B195" s="2">
        <v>45998</v>
      </c>
      <c r="C195" t="s">
        <v>17</v>
      </c>
      <c r="D195">
        <v>37</v>
      </c>
      <c r="E195" t="s">
        <v>74</v>
      </c>
      <c r="F195" t="s">
        <v>13</v>
      </c>
      <c r="G195" s="3">
        <v>853.86</v>
      </c>
    </row>
    <row r="196" spans="1:7">
      <c r="A196" t="s">
        <v>210</v>
      </c>
      <c r="B196" s="2">
        <v>46073</v>
      </c>
      <c r="C196" t="s">
        <v>8</v>
      </c>
      <c r="D196">
        <v>30</v>
      </c>
      <c r="E196" t="s">
        <v>20</v>
      </c>
      <c r="F196" t="s">
        <v>10</v>
      </c>
      <c r="G196" s="3">
        <v>1315.27</v>
      </c>
    </row>
    <row r="197" spans="1:7">
      <c r="A197" t="s">
        <v>211</v>
      </c>
      <c r="B197" s="2">
        <v>46014</v>
      </c>
      <c r="C197" t="s">
        <v>8</v>
      </c>
      <c r="D197">
        <v>55</v>
      </c>
      <c r="E197" t="s">
        <v>15</v>
      </c>
      <c r="F197" t="s">
        <v>10</v>
      </c>
      <c r="G197" s="3">
        <v>775.19</v>
      </c>
    </row>
    <row r="198" spans="1:7">
      <c r="A198" t="s">
        <v>212</v>
      </c>
      <c r="B198" s="2">
        <v>45734</v>
      </c>
      <c r="C198" t="s">
        <v>8</v>
      </c>
      <c r="D198">
        <v>32</v>
      </c>
      <c r="E198" t="s">
        <v>12</v>
      </c>
      <c r="F198" t="s">
        <v>23</v>
      </c>
      <c r="G198" s="3">
        <v>707.01</v>
      </c>
    </row>
    <row r="199" spans="1:7">
      <c r="A199" t="s">
        <v>213</v>
      </c>
      <c r="B199" s="2">
        <v>46183</v>
      </c>
      <c r="C199" t="s">
        <v>8</v>
      </c>
      <c r="D199">
        <v>65</v>
      </c>
      <c r="E199" t="s">
        <v>9</v>
      </c>
      <c r="F199" t="s">
        <v>10</v>
      </c>
      <c r="G199" s="3">
        <v>742.69</v>
      </c>
    </row>
    <row r="200" spans="1:7">
      <c r="A200" t="s">
        <v>214</v>
      </c>
      <c r="B200" s="2">
        <v>46014</v>
      </c>
      <c r="C200" t="s">
        <v>17</v>
      </c>
      <c r="D200">
        <v>60</v>
      </c>
      <c r="E200" t="s">
        <v>12</v>
      </c>
      <c r="F200" t="s">
        <v>44</v>
      </c>
      <c r="G200" s="3">
        <v>599.34</v>
      </c>
    </row>
    <row r="201" spans="1:7">
      <c r="A201" t="s">
        <v>215</v>
      </c>
      <c r="B201" s="2">
        <v>45984</v>
      </c>
      <c r="C201" t="s">
        <v>17</v>
      </c>
      <c r="D201">
        <v>39</v>
      </c>
      <c r="E201" t="s">
        <v>39</v>
      </c>
      <c r="F201" t="s">
        <v>44</v>
      </c>
      <c r="G201" s="3">
        <v>797.52</v>
      </c>
    </row>
    <row r="202" spans="1:7">
      <c r="A202" t="s">
        <v>216</v>
      </c>
      <c r="B202" s="2">
        <v>45667</v>
      </c>
      <c r="C202" t="s">
        <v>17</v>
      </c>
      <c r="D202">
        <v>51</v>
      </c>
      <c r="E202" t="s">
        <v>9</v>
      </c>
      <c r="F202" t="s">
        <v>30</v>
      </c>
      <c r="G202" s="3">
        <v>1547.72</v>
      </c>
    </row>
    <row r="203" spans="1:7">
      <c r="A203" t="s">
        <v>217</v>
      </c>
      <c r="B203" s="2">
        <v>45694</v>
      </c>
      <c r="C203" t="s">
        <v>17</v>
      </c>
      <c r="D203">
        <v>20</v>
      </c>
      <c r="E203" t="s">
        <v>9</v>
      </c>
      <c r="F203" t="s">
        <v>23</v>
      </c>
      <c r="G203" s="3"/>
    </row>
    <row r="204" spans="1:7">
      <c r="A204" t="s">
        <v>218</v>
      </c>
      <c r="B204" s="2">
        <v>45848</v>
      </c>
      <c r="C204" t="s">
        <v>8</v>
      </c>
      <c r="D204">
        <v>18</v>
      </c>
      <c r="E204" t="s">
        <v>20</v>
      </c>
      <c r="F204" t="s">
        <v>18</v>
      </c>
      <c r="G204" s="3">
        <v>108.23</v>
      </c>
    </row>
    <row r="205" spans="1:7">
      <c r="A205" t="s">
        <v>219</v>
      </c>
      <c r="B205" s="2">
        <v>45833</v>
      </c>
      <c r="C205" t="s">
        <v>8</v>
      </c>
      <c r="D205">
        <v>28</v>
      </c>
      <c r="E205" t="s">
        <v>74</v>
      </c>
      <c r="F205" t="s">
        <v>13</v>
      </c>
      <c r="G205" s="3">
        <v>919.61</v>
      </c>
    </row>
    <row r="206" spans="1:7">
      <c r="A206" t="s">
        <v>220</v>
      </c>
      <c r="B206" s="2">
        <v>45765</v>
      </c>
      <c r="C206" t="s">
        <v>8</v>
      </c>
      <c r="D206" t="s">
        <v>54</v>
      </c>
      <c r="E206" t="s">
        <v>20</v>
      </c>
      <c r="F206" t="s">
        <v>21</v>
      </c>
      <c r="G206" s="3" t="s">
        <v>150</v>
      </c>
    </row>
    <row r="207" spans="1:7">
      <c r="A207" t="s">
        <v>221</v>
      </c>
      <c r="B207" s="2">
        <v>45932</v>
      </c>
      <c r="C207" t="s">
        <v>8</v>
      </c>
      <c r="D207">
        <v>54</v>
      </c>
      <c r="E207" t="s">
        <v>39</v>
      </c>
      <c r="F207" t="s">
        <v>23</v>
      </c>
      <c r="G207" s="3">
        <v>1108.6199999999999</v>
      </c>
    </row>
    <row r="208" spans="1:7">
      <c r="A208" t="s">
        <v>222</v>
      </c>
      <c r="B208" s="2">
        <v>46060</v>
      </c>
      <c r="D208">
        <v>33</v>
      </c>
      <c r="E208" t="s">
        <v>9</v>
      </c>
      <c r="F208" t="s">
        <v>23</v>
      </c>
      <c r="G208" s="3">
        <v>930.02</v>
      </c>
    </row>
    <row r="209" spans="1:7">
      <c r="A209" t="s">
        <v>223</v>
      </c>
      <c r="B209" s="2"/>
      <c r="C209" t="s">
        <v>17</v>
      </c>
      <c r="D209">
        <v>55</v>
      </c>
      <c r="E209" t="s">
        <v>39</v>
      </c>
      <c r="F209" t="s">
        <v>44</v>
      </c>
      <c r="G209" s="3">
        <v>1603.75</v>
      </c>
    </row>
    <row r="210" spans="1:7">
      <c r="A210" t="s">
        <v>224</v>
      </c>
      <c r="B210" s="2">
        <v>46014</v>
      </c>
      <c r="C210" t="s">
        <v>8</v>
      </c>
      <c r="D210">
        <v>46</v>
      </c>
      <c r="F210" t="s">
        <v>30</v>
      </c>
      <c r="G210" s="3">
        <v>1509.47</v>
      </c>
    </row>
    <row r="211" spans="1:7">
      <c r="A211" t="s">
        <v>225</v>
      </c>
      <c r="B211" s="2">
        <v>45821</v>
      </c>
      <c r="C211" t="s">
        <v>226</v>
      </c>
      <c r="D211">
        <v>48</v>
      </c>
      <c r="E211" t="s">
        <v>9</v>
      </c>
      <c r="F211" t="s">
        <v>13</v>
      </c>
      <c r="G211" s="3">
        <v>921.62</v>
      </c>
    </row>
    <row r="212" spans="1:7">
      <c r="A212" t="s">
        <v>227</v>
      </c>
      <c r="B212" s="2"/>
      <c r="C212" t="s">
        <v>8</v>
      </c>
      <c r="D212">
        <v>57</v>
      </c>
      <c r="E212" t="s">
        <v>9</v>
      </c>
      <c r="F212" t="s">
        <v>10</v>
      </c>
      <c r="G212" s="3">
        <v>502.04</v>
      </c>
    </row>
    <row r="213" spans="1:7">
      <c r="A213" t="s">
        <v>228</v>
      </c>
      <c r="B213" s="2">
        <v>45749</v>
      </c>
      <c r="C213" t="s">
        <v>8</v>
      </c>
      <c r="D213">
        <v>42</v>
      </c>
      <c r="E213" t="s">
        <v>9</v>
      </c>
      <c r="F213" t="s">
        <v>30</v>
      </c>
      <c r="G213" s="3">
        <v>1091.0999999999999</v>
      </c>
    </row>
    <row r="214" spans="1:7">
      <c r="A214" t="s">
        <v>229</v>
      </c>
      <c r="B214" s="2">
        <v>45925</v>
      </c>
      <c r="C214" t="s">
        <v>17</v>
      </c>
      <c r="D214">
        <v>58</v>
      </c>
      <c r="E214" t="s">
        <v>9</v>
      </c>
      <c r="F214" t="s">
        <v>30</v>
      </c>
      <c r="G214" s="3">
        <v>1013.28</v>
      </c>
    </row>
    <row r="215" spans="1:7">
      <c r="A215" t="s">
        <v>230</v>
      </c>
      <c r="B215" s="2">
        <v>45960</v>
      </c>
      <c r="C215" t="s">
        <v>17</v>
      </c>
      <c r="D215">
        <v>30</v>
      </c>
      <c r="E215" t="s">
        <v>15</v>
      </c>
      <c r="F215" t="s">
        <v>21</v>
      </c>
      <c r="G215" s="3">
        <v>728.45</v>
      </c>
    </row>
    <row r="216" spans="1:7">
      <c r="A216" t="s">
        <v>231</v>
      </c>
      <c r="B216" s="2">
        <v>45830</v>
      </c>
      <c r="C216" t="s">
        <v>17</v>
      </c>
      <c r="D216">
        <v>67</v>
      </c>
      <c r="E216" t="s">
        <v>9</v>
      </c>
      <c r="F216" t="s">
        <v>44</v>
      </c>
      <c r="G216" s="3"/>
    </row>
    <row r="217" spans="1:7">
      <c r="A217" t="s">
        <v>232</v>
      </c>
      <c r="B217" s="2">
        <v>45832</v>
      </c>
      <c r="C217" t="s">
        <v>17</v>
      </c>
      <c r="D217">
        <v>39</v>
      </c>
      <c r="E217" t="s">
        <v>39</v>
      </c>
      <c r="G217" s="3">
        <v>838.84</v>
      </c>
    </row>
    <row r="218" spans="1:7">
      <c r="A218" t="s">
        <v>233</v>
      </c>
      <c r="B218" s="2">
        <v>45919</v>
      </c>
      <c r="C218" t="s">
        <v>17</v>
      </c>
      <c r="D218">
        <v>19</v>
      </c>
      <c r="E218" t="s">
        <v>15</v>
      </c>
      <c r="F218" t="s">
        <v>23</v>
      </c>
      <c r="G218" s="3">
        <v>916.62</v>
      </c>
    </row>
    <row r="219" spans="1:7">
      <c r="A219" t="s">
        <v>234</v>
      </c>
      <c r="B219" s="2">
        <v>45682</v>
      </c>
      <c r="C219" t="s">
        <v>17</v>
      </c>
      <c r="D219">
        <v>63</v>
      </c>
      <c r="E219" t="s">
        <v>9</v>
      </c>
      <c r="F219" t="s">
        <v>10</v>
      </c>
      <c r="G219" s="3">
        <v>954.9</v>
      </c>
    </row>
    <row r="220" spans="1:7">
      <c r="A220" t="s">
        <v>235</v>
      </c>
      <c r="B220" s="2">
        <v>45792</v>
      </c>
      <c r="C220" t="s">
        <v>8</v>
      </c>
      <c r="D220">
        <v>33</v>
      </c>
      <c r="E220" t="s">
        <v>9</v>
      </c>
      <c r="G220" s="3">
        <v>519</v>
      </c>
    </row>
    <row r="221" spans="1:7">
      <c r="A221" t="s">
        <v>236</v>
      </c>
      <c r="B221" s="2">
        <v>45900</v>
      </c>
      <c r="C221" t="s">
        <v>17</v>
      </c>
      <c r="D221">
        <v>22</v>
      </c>
      <c r="E221" t="s">
        <v>15</v>
      </c>
      <c r="G221" s="3">
        <v>721.11</v>
      </c>
    </row>
    <row r="222" spans="1:7">
      <c r="A222" t="s">
        <v>237</v>
      </c>
      <c r="B222" s="2">
        <v>45875</v>
      </c>
      <c r="C222" t="s">
        <v>8</v>
      </c>
      <c r="D222">
        <v>48</v>
      </c>
      <c r="E222" t="s">
        <v>15</v>
      </c>
      <c r="F222" t="s">
        <v>195</v>
      </c>
      <c r="G222" s="3"/>
    </row>
    <row r="223" spans="1:7">
      <c r="A223" t="s">
        <v>238</v>
      </c>
      <c r="B223" s="2">
        <v>46190</v>
      </c>
      <c r="C223" t="s">
        <v>8</v>
      </c>
      <c r="D223">
        <v>32</v>
      </c>
      <c r="E223" t="s">
        <v>74</v>
      </c>
      <c r="F223" t="s">
        <v>30</v>
      </c>
      <c r="G223" s="3">
        <v>2091.58</v>
      </c>
    </row>
    <row r="224" spans="1:7">
      <c r="A224" t="s">
        <v>239</v>
      </c>
      <c r="B224" s="2">
        <v>46225</v>
      </c>
      <c r="C224" t="s">
        <v>8</v>
      </c>
      <c r="D224">
        <v>53</v>
      </c>
      <c r="E224" t="s">
        <v>15</v>
      </c>
      <c r="F224" t="s">
        <v>30</v>
      </c>
      <c r="G224" s="3">
        <v>901.36</v>
      </c>
    </row>
    <row r="225" spans="1:7">
      <c r="A225" t="s">
        <v>240</v>
      </c>
      <c r="B225" s="2">
        <v>45893</v>
      </c>
      <c r="C225" t="s">
        <v>8</v>
      </c>
      <c r="D225">
        <v>39</v>
      </c>
      <c r="E225" t="s">
        <v>15</v>
      </c>
      <c r="F225" t="s">
        <v>44</v>
      </c>
      <c r="G225" s="3">
        <v>1386</v>
      </c>
    </row>
    <row r="226" spans="1:7">
      <c r="A226" t="s">
        <v>241</v>
      </c>
      <c r="B226" s="2">
        <v>45884</v>
      </c>
      <c r="C226" t="s">
        <v>8</v>
      </c>
      <c r="D226">
        <v>59</v>
      </c>
      <c r="E226" t="s">
        <v>15</v>
      </c>
      <c r="F226" t="s">
        <v>13</v>
      </c>
      <c r="G226" s="3">
        <v>508.66</v>
      </c>
    </row>
    <row r="227" spans="1:7">
      <c r="A227" t="s">
        <v>242</v>
      </c>
      <c r="B227" s="2">
        <v>46090</v>
      </c>
      <c r="C227" t="s">
        <v>17</v>
      </c>
      <c r="D227">
        <v>43</v>
      </c>
      <c r="E227" t="s">
        <v>9</v>
      </c>
      <c r="F227" t="s">
        <v>13</v>
      </c>
      <c r="G227" s="3">
        <v>778.23</v>
      </c>
    </row>
    <row r="228" spans="1:7">
      <c r="B228" s="2">
        <v>46211</v>
      </c>
      <c r="C228" t="s">
        <v>17</v>
      </c>
      <c r="D228">
        <v>61</v>
      </c>
      <c r="E228" t="s">
        <v>15</v>
      </c>
      <c r="F228" t="s">
        <v>18</v>
      </c>
      <c r="G228" s="3">
        <v>176.82</v>
      </c>
    </row>
    <row r="229" spans="1:7">
      <c r="A229" t="s">
        <v>243</v>
      </c>
      <c r="B229" s="2">
        <v>45895</v>
      </c>
      <c r="C229" t="s">
        <v>17</v>
      </c>
      <c r="D229">
        <v>61</v>
      </c>
      <c r="E229" t="s">
        <v>9</v>
      </c>
      <c r="F229" t="s">
        <v>13</v>
      </c>
      <c r="G229" s="3"/>
    </row>
    <row r="230" spans="1:7">
      <c r="A230" t="s">
        <v>244</v>
      </c>
      <c r="B230" s="2">
        <v>45874</v>
      </c>
      <c r="C230" t="s">
        <v>8</v>
      </c>
      <c r="D230">
        <v>52</v>
      </c>
      <c r="E230" t="s">
        <v>12</v>
      </c>
      <c r="G230" s="3">
        <v>481.21</v>
      </c>
    </row>
    <row r="231" spans="1:7">
      <c r="A231" t="s">
        <v>245</v>
      </c>
      <c r="B231" s="2">
        <v>45771</v>
      </c>
      <c r="C231" t="s">
        <v>8</v>
      </c>
      <c r="D231">
        <v>47</v>
      </c>
      <c r="E231" t="s">
        <v>39</v>
      </c>
      <c r="F231" t="s">
        <v>18</v>
      </c>
      <c r="G231" s="3">
        <v>129.81</v>
      </c>
    </row>
    <row r="232" spans="1:7">
      <c r="A232" t="s">
        <v>246</v>
      </c>
      <c r="B232" s="2">
        <v>45778</v>
      </c>
      <c r="C232" t="s">
        <v>8</v>
      </c>
      <c r="D232">
        <v>55</v>
      </c>
      <c r="F232" t="s">
        <v>44</v>
      </c>
      <c r="G232" s="3">
        <v>1436.28</v>
      </c>
    </row>
    <row r="233" spans="1:7">
      <c r="B233" s="2">
        <v>45773</v>
      </c>
      <c r="C233" t="s">
        <v>8</v>
      </c>
      <c r="D233">
        <v>38</v>
      </c>
      <c r="E233" t="s">
        <v>9</v>
      </c>
      <c r="F233" t="s">
        <v>13</v>
      </c>
      <c r="G233" s="3">
        <v>920.19</v>
      </c>
    </row>
    <row r="234" spans="1:7">
      <c r="A234" t="s">
        <v>247</v>
      </c>
      <c r="B234" s="2">
        <v>46116</v>
      </c>
      <c r="C234" t="s">
        <v>17</v>
      </c>
      <c r="D234">
        <v>40</v>
      </c>
      <c r="F234" t="s">
        <v>21</v>
      </c>
      <c r="G234" s="3">
        <v>727.06</v>
      </c>
    </row>
    <row r="235" spans="1:7">
      <c r="A235" t="s">
        <v>248</v>
      </c>
      <c r="B235" s="2">
        <v>46037</v>
      </c>
      <c r="C235" t="s">
        <v>8</v>
      </c>
      <c r="D235">
        <v>63</v>
      </c>
      <c r="E235" t="s">
        <v>74</v>
      </c>
      <c r="F235" t="s">
        <v>249</v>
      </c>
      <c r="G235" s="3">
        <v>306.45999999999998</v>
      </c>
    </row>
    <row r="236" spans="1:7">
      <c r="A236" t="s">
        <v>250</v>
      </c>
      <c r="B236" s="2">
        <v>45876</v>
      </c>
      <c r="C236" t="s">
        <v>8</v>
      </c>
      <c r="D236">
        <v>50</v>
      </c>
      <c r="E236" t="s">
        <v>39</v>
      </c>
      <c r="F236" t="s">
        <v>13</v>
      </c>
      <c r="G236" s="3">
        <v>818.19</v>
      </c>
    </row>
    <row r="237" spans="1:7">
      <c r="A237" t="s">
        <v>251</v>
      </c>
      <c r="B237" s="2">
        <v>46157</v>
      </c>
      <c r="C237" t="s">
        <v>8</v>
      </c>
      <c r="D237">
        <v>42</v>
      </c>
      <c r="E237" t="s">
        <v>20</v>
      </c>
      <c r="F237" t="s">
        <v>30</v>
      </c>
      <c r="G237" s="3"/>
    </row>
    <row r="238" spans="1:7">
      <c r="A238" t="s">
        <v>252</v>
      </c>
      <c r="B238" s="2">
        <v>46169</v>
      </c>
      <c r="C238" t="s">
        <v>17</v>
      </c>
      <c r="D238">
        <v>36</v>
      </c>
      <c r="E238" t="s">
        <v>15</v>
      </c>
      <c r="G238" s="3">
        <v>216.82</v>
      </c>
    </row>
    <row r="239" spans="1:7">
      <c r="B239" s="2" t="s">
        <v>41</v>
      </c>
      <c r="C239" t="s">
        <v>8</v>
      </c>
      <c r="D239">
        <v>63</v>
      </c>
      <c r="E239" t="s">
        <v>15</v>
      </c>
      <c r="F239" t="s">
        <v>18</v>
      </c>
      <c r="G239" s="3">
        <v>268.75</v>
      </c>
    </row>
    <row r="240" spans="1:7">
      <c r="A240" t="s">
        <v>253</v>
      </c>
      <c r="B240" s="2">
        <v>45776</v>
      </c>
      <c r="C240" t="s">
        <v>17</v>
      </c>
      <c r="D240">
        <v>43</v>
      </c>
      <c r="E240" t="s">
        <v>39</v>
      </c>
      <c r="F240" t="s">
        <v>44</v>
      </c>
      <c r="G240" s="3">
        <v>781.63</v>
      </c>
    </row>
    <row r="241" spans="1:7">
      <c r="A241" t="s">
        <v>254</v>
      </c>
      <c r="B241" s="2">
        <v>45758</v>
      </c>
      <c r="D241">
        <v>40</v>
      </c>
      <c r="E241" t="s">
        <v>39</v>
      </c>
      <c r="F241" t="s">
        <v>23</v>
      </c>
      <c r="G241" s="3">
        <v>641.59</v>
      </c>
    </row>
    <row r="242" spans="1:7">
      <c r="A242" t="s">
        <v>255</v>
      </c>
      <c r="B242" s="2">
        <v>45670</v>
      </c>
      <c r="C242" t="s">
        <v>8</v>
      </c>
      <c r="D242">
        <v>19</v>
      </c>
      <c r="E242" t="s">
        <v>39</v>
      </c>
      <c r="F242" t="s">
        <v>256</v>
      </c>
      <c r="G242" s="3">
        <v>278.61</v>
      </c>
    </row>
    <row r="243" spans="1:7">
      <c r="A243" t="s">
        <v>257</v>
      </c>
      <c r="B243" s="2">
        <v>45744</v>
      </c>
      <c r="C243" t="s">
        <v>8</v>
      </c>
      <c r="D243">
        <v>20</v>
      </c>
      <c r="E243" t="s">
        <v>15</v>
      </c>
      <c r="F243" t="s">
        <v>23</v>
      </c>
      <c r="G243" s="3">
        <v>389.22</v>
      </c>
    </row>
    <row r="244" spans="1:7">
      <c r="A244" t="s">
        <v>258</v>
      </c>
      <c r="B244" s="2">
        <v>46226</v>
      </c>
      <c r="C244" t="s">
        <v>8</v>
      </c>
      <c r="D244">
        <v>19</v>
      </c>
      <c r="E244" t="s">
        <v>9</v>
      </c>
      <c r="F244" t="s">
        <v>44</v>
      </c>
      <c r="G244" s="3">
        <v>1315.74</v>
      </c>
    </row>
    <row r="245" spans="1:7">
      <c r="A245" t="s">
        <v>259</v>
      </c>
      <c r="B245" s="2">
        <v>46127</v>
      </c>
      <c r="C245" t="s">
        <v>8</v>
      </c>
      <c r="D245">
        <v>70</v>
      </c>
      <c r="E245" t="s">
        <v>39</v>
      </c>
      <c r="F245" t="s">
        <v>30</v>
      </c>
      <c r="G245" s="3">
        <v>891.18</v>
      </c>
    </row>
    <row r="246" spans="1:7">
      <c r="A246" t="s">
        <v>260</v>
      </c>
      <c r="B246" s="2"/>
      <c r="C246" t="s">
        <v>8</v>
      </c>
      <c r="D246">
        <v>24</v>
      </c>
      <c r="E246" t="s">
        <v>20</v>
      </c>
      <c r="F246" t="s">
        <v>44</v>
      </c>
      <c r="G246" s="3">
        <v>608.08000000000004</v>
      </c>
    </row>
    <row r="247" spans="1:7">
      <c r="A247" t="s">
        <v>261</v>
      </c>
      <c r="B247" s="2">
        <v>45664</v>
      </c>
      <c r="C247" t="s">
        <v>8</v>
      </c>
      <c r="D247">
        <v>30</v>
      </c>
      <c r="E247" t="s">
        <v>12</v>
      </c>
      <c r="F247" t="s">
        <v>44</v>
      </c>
      <c r="G247" s="3">
        <v>602</v>
      </c>
    </row>
    <row r="248" spans="1:7">
      <c r="A248" t="s">
        <v>262</v>
      </c>
      <c r="B248" s="2">
        <v>45917</v>
      </c>
      <c r="C248" t="s">
        <v>17</v>
      </c>
      <c r="D248">
        <v>32</v>
      </c>
      <c r="E248" t="s">
        <v>12</v>
      </c>
      <c r="F248" t="s">
        <v>44</v>
      </c>
      <c r="G248" s="3">
        <v>1425.97</v>
      </c>
    </row>
    <row r="249" spans="1:7">
      <c r="A249" t="s">
        <v>263</v>
      </c>
      <c r="B249" s="2">
        <v>46212</v>
      </c>
      <c r="C249" t="s">
        <v>17</v>
      </c>
      <c r="D249">
        <v>45</v>
      </c>
      <c r="E249" t="s">
        <v>20</v>
      </c>
      <c r="F249" t="s">
        <v>21</v>
      </c>
      <c r="G249" s="3">
        <v>671.87</v>
      </c>
    </row>
    <row r="250" spans="1:7">
      <c r="A250" t="s">
        <v>264</v>
      </c>
      <c r="B250" s="2">
        <v>45833</v>
      </c>
      <c r="D250">
        <v>43</v>
      </c>
      <c r="E250" t="s">
        <v>9</v>
      </c>
      <c r="F250" t="s">
        <v>23</v>
      </c>
      <c r="G250" s="3">
        <v>885.26</v>
      </c>
    </row>
    <row r="251" spans="1:7">
      <c r="A251" t="s">
        <v>265</v>
      </c>
      <c r="B251" s="2">
        <v>45963</v>
      </c>
      <c r="C251" t="s">
        <v>17</v>
      </c>
      <c r="D251">
        <v>40</v>
      </c>
      <c r="E251" t="s">
        <v>20</v>
      </c>
      <c r="F251" t="s">
        <v>21</v>
      </c>
      <c r="G251" s="3">
        <v>463.46</v>
      </c>
    </row>
    <row r="252" spans="1:7">
      <c r="A252" t="s">
        <v>266</v>
      </c>
      <c r="B252" s="2">
        <v>45837</v>
      </c>
      <c r="C252" t="s">
        <v>8</v>
      </c>
      <c r="D252">
        <v>54</v>
      </c>
      <c r="E252" t="s">
        <v>39</v>
      </c>
      <c r="F252" t="s">
        <v>13</v>
      </c>
      <c r="G252" s="3">
        <v>464.6</v>
      </c>
    </row>
    <row r="253" spans="1:7">
      <c r="A253" t="s">
        <v>267</v>
      </c>
      <c r="B253" s="2">
        <v>45816</v>
      </c>
      <c r="D253">
        <v>38</v>
      </c>
      <c r="E253" t="s">
        <v>12</v>
      </c>
      <c r="F253" t="s">
        <v>13</v>
      </c>
      <c r="G253" s="3">
        <v>453.74</v>
      </c>
    </row>
    <row r="254" spans="1:7">
      <c r="A254" t="s">
        <v>268</v>
      </c>
      <c r="B254" s="2">
        <v>45732</v>
      </c>
      <c r="C254" t="s">
        <v>8</v>
      </c>
      <c r="D254">
        <v>21</v>
      </c>
      <c r="E254" t="s">
        <v>9</v>
      </c>
      <c r="G254" s="3">
        <v>1300.93</v>
      </c>
    </row>
    <row r="255" spans="1:7">
      <c r="A255" t="s">
        <v>269</v>
      </c>
      <c r="B255" s="2">
        <v>45892</v>
      </c>
      <c r="C255" t="s">
        <v>8</v>
      </c>
      <c r="D255">
        <v>43</v>
      </c>
      <c r="E255" t="s">
        <v>39</v>
      </c>
      <c r="F255" t="s">
        <v>10</v>
      </c>
      <c r="G255" s="3">
        <v>1126.8900000000001</v>
      </c>
    </row>
    <row r="256" spans="1:7">
      <c r="A256" t="s">
        <v>270</v>
      </c>
      <c r="B256" s="2">
        <v>46210</v>
      </c>
      <c r="C256" t="s">
        <v>8</v>
      </c>
      <c r="D256">
        <v>61</v>
      </c>
      <c r="E256" t="s">
        <v>9</v>
      </c>
      <c r="F256" t="s">
        <v>23</v>
      </c>
      <c r="G256" s="3">
        <v>1071.8599999999999</v>
      </c>
    </row>
    <row r="257" spans="1:7">
      <c r="A257" t="s">
        <v>271</v>
      </c>
      <c r="B257" s="2">
        <v>46163</v>
      </c>
      <c r="C257" t="s">
        <v>17</v>
      </c>
      <c r="D257">
        <v>29</v>
      </c>
      <c r="E257" t="s">
        <v>9</v>
      </c>
      <c r="F257" t="s">
        <v>21</v>
      </c>
      <c r="G257" s="3">
        <v>1143.8399999999999</v>
      </c>
    </row>
    <row r="258" spans="1:7">
      <c r="A258" t="s">
        <v>32</v>
      </c>
      <c r="B258" s="2">
        <v>46190</v>
      </c>
      <c r="C258" t="s">
        <v>17</v>
      </c>
      <c r="D258">
        <v>47</v>
      </c>
      <c r="E258" t="s">
        <v>12</v>
      </c>
      <c r="F258" t="s">
        <v>30</v>
      </c>
      <c r="G258" s="3">
        <v>2156</v>
      </c>
    </row>
    <row r="259" spans="1:7">
      <c r="A259" t="s">
        <v>272</v>
      </c>
      <c r="B259" s="2">
        <v>46057</v>
      </c>
      <c r="C259" t="s">
        <v>8</v>
      </c>
      <c r="D259">
        <v>47</v>
      </c>
      <c r="E259" t="s">
        <v>9</v>
      </c>
      <c r="F259" t="s">
        <v>44</v>
      </c>
      <c r="G259" s="3"/>
    </row>
    <row r="260" spans="1:7">
      <c r="A260" t="s">
        <v>273</v>
      </c>
      <c r="B260" s="2">
        <v>45752</v>
      </c>
      <c r="C260" t="s">
        <v>17</v>
      </c>
      <c r="D260">
        <v>39</v>
      </c>
      <c r="E260" t="s">
        <v>74</v>
      </c>
      <c r="F260" t="s">
        <v>23</v>
      </c>
      <c r="G260" s="3">
        <v>396.11</v>
      </c>
    </row>
    <row r="261" spans="1:7">
      <c r="A261" t="s">
        <v>274</v>
      </c>
      <c r="B261" s="2">
        <v>46008</v>
      </c>
      <c r="D261">
        <v>64</v>
      </c>
      <c r="E261" t="s">
        <v>20</v>
      </c>
      <c r="F261" t="s">
        <v>21</v>
      </c>
      <c r="G261" s="3">
        <v>638.53</v>
      </c>
    </row>
    <row r="262" spans="1:7">
      <c r="A262" t="s">
        <v>275</v>
      </c>
      <c r="B262" s="2">
        <v>45721</v>
      </c>
      <c r="D262">
        <v>29</v>
      </c>
      <c r="E262" t="s">
        <v>9</v>
      </c>
      <c r="F262" t="s">
        <v>44</v>
      </c>
      <c r="G262" s="3">
        <v>1516.2</v>
      </c>
    </row>
    <row r="263" spans="1:7">
      <c r="A263" t="s">
        <v>276</v>
      </c>
      <c r="B263" s="2" t="s">
        <v>114</v>
      </c>
      <c r="C263" t="s">
        <v>17</v>
      </c>
      <c r="D263">
        <v>28</v>
      </c>
      <c r="E263" t="s">
        <v>12</v>
      </c>
      <c r="F263" t="s">
        <v>23</v>
      </c>
      <c r="G263" s="3">
        <v>647.6</v>
      </c>
    </row>
    <row r="264" spans="1:7">
      <c r="A264" t="s">
        <v>48</v>
      </c>
      <c r="B264" s="2">
        <v>45925</v>
      </c>
      <c r="C264" t="s">
        <v>17</v>
      </c>
      <c r="D264">
        <v>66</v>
      </c>
      <c r="E264" t="s">
        <v>9</v>
      </c>
      <c r="F264" t="s">
        <v>23</v>
      </c>
      <c r="G264" s="3">
        <v>656.1</v>
      </c>
    </row>
    <row r="265" spans="1:7">
      <c r="A265" t="s">
        <v>277</v>
      </c>
      <c r="B265" s="2">
        <v>46039</v>
      </c>
      <c r="C265" t="s">
        <v>17</v>
      </c>
      <c r="D265">
        <v>37</v>
      </c>
      <c r="E265" t="s">
        <v>20</v>
      </c>
      <c r="F265" t="s">
        <v>18</v>
      </c>
      <c r="G265" s="3"/>
    </row>
    <row r="266" spans="1:7">
      <c r="A266" t="s">
        <v>278</v>
      </c>
      <c r="B266" s="2">
        <v>45674</v>
      </c>
      <c r="D266">
        <v>18</v>
      </c>
      <c r="E266" t="s">
        <v>74</v>
      </c>
      <c r="F266" t="s">
        <v>18</v>
      </c>
      <c r="G266" s="3">
        <v>312.77</v>
      </c>
    </row>
    <row r="267" spans="1:7">
      <c r="A267" t="s">
        <v>279</v>
      </c>
      <c r="B267" s="2">
        <v>45883</v>
      </c>
      <c r="C267" t="s">
        <v>8</v>
      </c>
      <c r="D267">
        <v>61</v>
      </c>
      <c r="E267" t="s">
        <v>9</v>
      </c>
      <c r="F267" t="s">
        <v>21</v>
      </c>
      <c r="G267" s="3">
        <v>961.13</v>
      </c>
    </row>
    <row r="268" spans="1:7">
      <c r="A268" t="s">
        <v>280</v>
      </c>
      <c r="B268" s="2">
        <v>45884</v>
      </c>
      <c r="C268" t="s">
        <v>8</v>
      </c>
      <c r="D268">
        <v>44</v>
      </c>
      <c r="E268" t="s">
        <v>9</v>
      </c>
      <c r="F268" t="s">
        <v>30</v>
      </c>
      <c r="G268" s="3">
        <v>1300.01</v>
      </c>
    </row>
    <row r="269" spans="1:7">
      <c r="A269" t="s">
        <v>281</v>
      </c>
      <c r="B269" s="2">
        <v>45772</v>
      </c>
      <c r="C269" t="s">
        <v>8</v>
      </c>
      <c r="D269">
        <v>56</v>
      </c>
      <c r="E269" t="s">
        <v>9</v>
      </c>
      <c r="F269" t="s">
        <v>21</v>
      </c>
      <c r="G269" s="3">
        <v>1318.45</v>
      </c>
    </row>
    <row r="270" spans="1:7">
      <c r="A270" t="s">
        <v>282</v>
      </c>
      <c r="B270" s="2">
        <v>45705</v>
      </c>
      <c r="C270" t="s">
        <v>8</v>
      </c>
      <c r="D270">
        <v>52</v>
      </c>
      <c r="E270" t="s">
        <v>74</v>
      </c>
      <c r="G270" s="3">
        <v>494.83</v>
      </c>
    </row>
    <row r="271" spans="1:7">
      <c r="A271" t="s">
        <v>283</v>
      </c>
      <c r="B271" s="2">
        <v>46173</v>
      </c>
      <c r="D271">
        <v>49</v>
      </c>
      <c r="E271" t="s">
        <v>39</v>
      </c>
      <c r="F271" t="s">
        <v>21</v>
      </c>
      <c r="G271" s="3">
        <v>1046.17</v>
      </c>
    </row>
    <row r="272" spans="1:7">
      <c r="A272" t="s">
        <v>284</v>
      </c>
      <c r="B272" s="2">
        <v>46157</v>
      </c>
      <c r="C272" t="s">
        <v>17</v>
      </c>
      <c r="D272">
        <v>44</v>
      </c>
      <c r="E272" t="s">
        <v>15</v>
      </c>
      <c r="F272" t="s">
        <v>30</v>
      </c>
      <c r="G272" s="3">
        <v>746.07</v>
      </c>
    </row>
    <row r="273" spans="1:7">
      <c r="A273" t="s">
        <v>285</v>
      </c>
      <c r="B273" s="2">
        <v>46168</v>
      </c>
      <c r="C273" t="s">
        <v>8</v>
      </c>
      <c r="E273" t="s">
        <v>15</v>
      </c>
      <c r="F273" t="s">
        <v>18</v>
      </c>
      <c r="G273" s="3">
        <v>149.24</v>
      </c>
    </row>
    <row r="274" spans="1:7">
      <c r="A274" t="s">
        <v>286</v>
      </c>
      <c r="B274" s="2">
        <v>45941</v>
      </c>
      <c r="C274" t="s">
        <v>8</v>
      </c>
      <c r="D274">
        <v>20</v>
      </c>
      <c r="E274" t="s">
        <v>15</v>
      </c>
      <c r="F274" t="s">
        <v>21</v>
      </c>
      <c r="G274" s="3">
        <v>438.08</v>
      </c>
    </row>
    <row r="275" spans="1:7">
      <c r="A275" t="s">
        <v>287</v>
      </c>
      <c r="B275" s="2"/>
      <c r="C275" t="s">
        <v>17</v>
      </c>
      <c r="D275">
        <v>53</v>
      </c>
      <c r="E275" t="s">
        <v>20</v>
      </c>
      <c r="F275" t="s">
        <v>44</v>
      </c>
      <c r="G275" s="3">
        <v>776.84</v>
      </c>
    </row>
    <row r="276" spans="1:7">
      <c r="A276" t="s">
        <v>288</v>
      </c>
      <c r="B276" s="2">
        <v>46041</v>
      </c>
      <c r="C276" t="s">
        <v>17</v>
      </c>
      <c r="D276">
        <v>36</v>
      </c>
      <c r="F276" t="s">
        <v>13</v>
      </c>
      <c r="G276" s="3">
        <v>922.87</v>
      </c>
    </row>
    <row r="277" spans="1:7">
      <c r="A277" t="s">
        <v>289</v>
      </c>
      <c r="B277" s="2">
        <v>45662</v>
      </c>
      <c r="C277" t="s">
        <v>8</v>
      </c>
      <c r="D277">
        <v>33</v>
      </c>
      <c r="E277" t="s">
        <v>9</v>
      </c>
      <c r="F277" t="s">
        <v>10</v>
      </c>
      <c r="G277" s="3">
        <v>1250.21</v>
      </c>
    </row>
    <row r="278" spans="1:7">
      <c r="A278" t="s">
        <v>290</v>
      </c>
      <c r="B278" s="2">
        <v>46080</v>
      </c>
      <c r="C278" t="s">
        <v>17</v>
      </c>
      <c r="D278">
        <v>60</v>
      </c>
      <c r="E278" t="s">
        <v>20</v>
      </c>
      <c r="F278" t="s">
        <v>10</v>
      </c>
      <c r="G278" s="3">
        <v>854.23</v>
      </c>
    </row>
    <row r="279" spans="1:7">
      <c r="A279" t="s">
        <v>174</v>
      </c>
      <c r="B279" s="2">
        <v>46041</v>
      </c>
      <c r="C279" t="s">
        <v>17</v>
      </c>
      <c r="D279">
        <v>28</v>
      </c>
      <c r="F279" t="s">
        <v>21</v>
      </c>
      <c r="G279" s="3">
        <v>785.95</v>
      </c>
    </row>
    <row r="280" spans="1:7">
      <c r="A280" t="s">
        <v>291</v>
      </c>
      <c r="B280" s="2">
        <v>46022</v>
      </c>
      <c r="D280">
        <v>33</v>
      </c>
      <c r="E280" t="s">
        <v>9</v>
      </c>
      <c r="F280" t="s">
        <v>13</v>
      </c>
      <c r="G280" s="3">
        <v>790.38</v>
      </c>
    </row>
    <row r="281" spans="1:7">
      <c r="A281" t="s">
        <v>292</v>
      </c>
      <c r="B281" s="2">
        <v>46077</v>
      </c>
      <c r="C281" t="s">
        <v>8</v>
      </c>
      <c r="D281">
        <v>50</v>
      </c>
      <c r="E281" t="s">
        <v>74</v>
      </c>
      <c r="F281" t="s">
        <v>44</v>
      </c>
      <c r="G281" s="3">
        <v>644.80999999999995</v>
      </c>
    </row>
    <row r="282" spans="1:7">
      <c r="A282" t="s">
        <v>293</v>
      </c>
      <c r="B282" s="2"/>
      <c r="C282" t="s">
        <v>8</v>
      </c>
      <c r="D282">
        <v>107</v>
      </c>
      <c r="E282" t="s">
        <v>74</v>
      </c>
      <c r="F282" t="s">
        <v>44</v>
      </c>
      <c r="G282" s="3">
        <v>632.26</v>
      </c>
    </row>
    <row r="283" spans="1:7">
      <c r="A283" t="s">
        <v>294</v>
      </c>
      <c r="B283" s="2">
        <v>46089</v>
      </c>
      <c r="C283" t="s">
        <v>17</v>
      </c>
      <c r="D283">
        <v>43</v>
      </c>
      <c r="E283" t="s">
        <v>9</v>
      </c>
      <c r="F283" t="s">
        <v>10</v>
      </c>
      <c r="G283" s="3">
        <v>1069.08</v>
      </c>
    </row>
    <row r="284" spans="1:7">
      <c r="A284" t="s">
        <v>295</v>
      </c>
      <c r="B284" s="2">
        <v>45862</v>
      </c>
      <c r="C284" t="s">
        <v>17</v>
      </c>
      <c r="D284">
        <v>69</v>
      </c>
      <c r="E284" t="s">
        <v>296</v>
      </c>
      <c r="G284" s="3">
        <v>691.63</v>
      </c>
    </row>
    <row r="285" spans="1:7">
      <c r="A285" t="s">
        <v>297</v>
      </c>
      <c r="B285" s="2">
        <v>46137</v>
      </c>
      <c r="C285" t="s">
        <v>8</v>
      </c>
      <c r="E285" t="s">
        <v>15</v>
      </c>
      <c r="F285" t="s">
        <v>10</v>
      </c>
      <c r="G285" s="3">
        <v>1263.1099999999999</v>
      </c>
    </row>
    <row r="286" spans="1:7">
      <c r="A286" t="s">
        <v>298</v>
      </c>
      <c r="B286" s="2">
        <v>45703</v>
      </c>
      <c r="C286" t="s">
        <v>8</v>
      </c>
      <c r="D286">
        <v>66</v>
      </c>
      <c r="E286" t="s">
        <v>15</v>
      </c>
      <c r="F286" t="s">
        <v>10</v>
      </c>
      <c r="G286" s="3">
        <v>1215.9100000000001</v>
      </c>
    </row>
    <row r="287" spans="1:7">
      <c r="A287" t="s">
        <v>299</v>
      </c>
      <c r="B287" s="2">
        <v>45973</v>
      </c>
      <c r="C287" t="s">
        <v>8</v>
      </c>
      <c r="D287">
        <v>20</v>
      </c>
      <c r="E287" t="s">
        <v>39</v>
      </c>
      <c r="F287" t="s">
        <v>23</v>
      </c>
      <c r="G287" s="3">
        <v>872.34</v>
      </c>
    </row>
    <row r="288" spans="1:7">
      <c r="A288" t="s">
        <v>300</v>
      </c>
      <c r="B288" s="2">
        <v>45934</v>
      </c>
      <c r="C288" t="s">
        <v>8</v>
      </c>
      <c r="D288">
        <v>27</v>
      </c>
      <c r="E288" t="s">
        <v>20</v>
      </c>
      <c r="F288" t="s">
        <v>23</v>
      </c>
      <c r="G288" s="3">
        <v>897.29</v>
      </c>
    </row>
    <row r="289" spans="1:7">
      <c r="A289" t="s">
        <v>301</v>
      </c>
      <c r="B289" s="2">
        <v>45741</v>
      </c>
      <c r="C289" t="s">
        <v>17</v>
      </c>
      <c r="D289">
        <v>48</v>
      </c>
      <c r="E289" t="s">
        <v>12</v>
      </c>
      <c r="F289" t="s">
        <v>23</v>
      </c>
      <c r="G289" s="3">
        <v>523.37</v>
      </c>
    </row>
    <row r="290" spans="1:7">
      <c r="A290" t="s">
        <v>250</v>
      </c>
      <c r="B290" s="2">
        <v>45876</v>
      </c>
      <c r="C290" t="s">
        <v>8</v>
      </c>
      <c r="D290">
        <v>50</v>
      </c>
      <c r="E290" t="s">
        <v>39</v>
      </c>
      <c r="F290" t="s">
        <v>13</v>
      </c>
      <c r="G290" s="3">
        <v>818.19</v>
      </c>
    </row>
    <row r="291" spans="1:7">
      <c r="A291" t="s">
        <v>302</v>
      </c>
      <c r="B291" s="2">
        <v>45775</v>
      </c>
      <c r="C291" t="s">
        <v>17</v>
      </c>
      <c r="D291">
        <v>58</v>
      </c>
      <c r="E291" t="s">
        <v>39</v>
      </c>
      <c r="F291" t="s">
        <v>44</v>
      </c>
      <c r="G291" s="3">
        <v>622.54999999999995</v>
      </c>
    </row>
    <row r="292" spans="1:7">
      <c r="A292" t="s">
        <v>29</v>
      </c>
      <c r="B292" s="2">
        <v>45807</v>
      </c>
      <c r="C292" t="s">
        <v>17</v>
      </c>
      <c r="D292">
        <v>48</v>
      </c>
      <c r="E292" t="s">
        <v>9</v>
      </c>
      <c r="F292" t="s">
        <v>30</v>
      </c>
      <c r="G292" s="3">
        <v>1075.0899999999999</v>
      </c>
    </row>
    <row r="293" spans="1:7">
      <c r="A293" t="s">
        <v>303</v>
      </c>
      <c r="B293" s="2">
        <v>46129</v>
      </c>
      <c r="C293" t="s">
        <v>17</v>
      </c>
      <c r="D293">
        <v>18</v>
      </c>
      <c r="E293" t="s">
        <v>9</v>
      </c>
      <c r="F293" t="s">
        <v>23</v>
      </c>
      <c r="G293" s="3">
        <v>1155.56</v>
      </c>
    </row>
    <row r="294" spans="1:7">
      <c r="A294" t="s">
        <v>304</v>
      </c>
      <c r="B294" s="2">
        <v>45956</v>
      </c>
      <c r="C294" t="s">
        <v>8</v>
      </c>
      <c r="D294">
        <v>34</v>
      </c>
      <c r="E294" t="s">
        <v>20</v>
      </c>
      <c r="F294" t="s">
        <v>23</v>
      </c>
      <c r="G294" s="3">
        <v>862.99</v>
      </c>
    </row>
    <row r="295" spans="1:7">
      <c r="A295" t="s">
        <v>305</v>
      </c>
      <c r="B295" s="2">
        <v>46150</v>
      </c>
      <c r="C295" t="s">
        <v>8</v>
      </c>
      <c r="D295">
        <v>67</v>
      </c>
      <c r="E295" t="s">
        <v>9</v>
      </c>
      <c r="F295" t="s">
        <v>23</v>
      </c>
      <c r="G295" s="3">
        <v>857.27</v>
      </c>
    </row>
    <row r="296" spans="1:7">
      <c r="A296" t="s">
        <v>193</v>
      </c>
      <c r="B296" s="2">
        <v>45896</v>
      </c>
      <c r="C296" t="s">
        <v>8</v>
      </c>
      <c r="D296">
        <v>26</v>
      </c>
      <c r="E296" t="s">
        <v>20</v>
      </c>
      <c r="F296" t="s">
        <v>44</v>
      </c>
      <c r="G296" s="3">
        <v>1481.76</v>
      </c>
    </row>
    <row r="297" spans="1:7">
      <c r="A297" t="s">
        <v>306</v>
      </c>
      <c r="B297" s="2">
        <v>45745</v>
      </c>
      <c r="C297" t="s">
        <v>17</v>
      </c>
      <c r="D297">
        <v>32</v>
      </c>
      <c r="E297" t="s">
        <v>9</v>
      </c>
      <c r="F297" t="s">
        <v>307</v>
      </c>
      <c r="G297" s="3">
        <v>1235.8900000000001</v>
      </c>
    </row>
    <row r="298" spans="1:7">
      <c r="A298" t="s">
        <v>308</v>
      </c>
      <c r="B298" s="2">
        <v>46136</v>
      </c>
      <c r="C298" t="s">
        <v>17</v>
      </c>
      <c r="D298">
        <v>57</v>
      </c>
      <c r="E298" t="s">
        <v>39</v>
      </c>
      <c r="F298" t="s">
        <v>30</v>
      </c>
      <c r="G298" s="3">
        <v>749.33</v>
      </c>
    </row>
    <row r="299" spans="1:7">
      <c r="A299" t="s">
        <v>113</v>
      </c>
      <c r="B299" s="2">
        <v>45757</v>
      </c>
      <c r="C299" t="s">
        <v>17</v>
      </c>
      <c r="D299">
        <v>33</v>
      </c>
      <c r="E299" t="s">
        <v>74</v>
      </c>
      <c r="F299" t="s">
        <v>23</v>
      </c>
      <c r="G299" s="3">
        <v>661.71</v>
      </c>
    </row>
    <row r="300" spans="1:7">
      <c r="A300" t="s">
        <v>309</v>
      </c>
      <c r="B300" s="2">
        <v>46022</v>
      </c>
      <c r="C300" t="s">
        <v>17</v>
      </c>
      <c r="D300">
        <v>41</v>
      </c>
      <c r="E300" t="s">
        <v>12</v>
      </c>
      <c r="F300" t="s">
        <v>21</v>
      </c>
      <c r="G300" s="3">
        <v>455.83</v>
      </c>
    </row>
    <row r="301" spans="1:7">
      <c r="A301" t="s">
        <v>310</v>
      </c>
      <c r="B301" s="2">
        <v>45750</v>
      </c>
      <c r="C301" t="s">
        <v>8</v>
      </c>
      <c r="D301">
        <v>49</v>
      </c>
      <c r="E301" t="s">
        <v>20</v>
      </c>
      <c r="F301" t="s">
        <v>18</v>
      </c>
      <c r="G30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tabSelected="1" workbookViewId="0">
      <pane ySplit="1" topLeftCell="A2" activePane="bottomLeft" state="frozen"/>
      <selection pane="bottomLeft" activeCell="N23" sqref="N23"/>
    </sheetView>
  </sheetViews>
  <sheetFormatPr defaultRowHeight="15"/>
  <cols>
    <col min="1" max="1" width="12.42578125" style="6" bestFit="1" customWidth="1"/>
    <col min="2" max="2" width="17" style="6" bestFit="1" customWidth="1"/>
    <col min="3" max="3" width="7.7109375" style="6" bestFit="1" customWidth="1"/>
    <col min="4" max="4" width="5.42578125" style="6" bestFit="1" customWidth="1"/>
    <col min="5" max="5" width="10.7109375" style="6" bestFit="1" customWidth="1"/>
    <col min="6" max="6" width="15.28515625" style="6" bestFit="1" customWidth="1"/>
    <col min="7" max="7" width="16.28515625" style="6" bestFit="1" customWidth="1"/>
    <col min="8" max="8" width="13.85546875" style="6" bestFit="1" customWidth="1"/>
    <col min="9" max="9" width="10.7109375" style="6" bestFit="1" customWidth="1"/>
    <col min="10" max="10" width="17.28515625" style="6" bestFit="1" customWidth="1"/>
    <col min="11" max="11" width="13.42578125" style="6" bestFit="1" customWidth="1"/>
    <col min="12" max="16384" width="9.140625" style="6"/>
  </cols>
  <sheetData>
    <row r="1" spans="1:11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314</v>
      </c>
      <c r="I1" s="5" t="s">
        <v>315</v>
      </c>
      <c r="J1" s="5" t="s">
        <v>316</v>
      </c>
      <c r="K1" s="5" t="s">
        <v>347</v>
      </c>
    </row>
    <row r="2" spans="1:11">
      <c r="A2" s="6" t="s">
        <v>7</v>
      </c>
      <c r="B2" s="7">
        <v>45677</v>
      </c>
      <c r="C2" s="6" t="s">
        <v>8</v>
      </c>
      <c r="D2" s="6">
        <v>49</v>
      </c>
      <c r="E2" s="6" t="s">
        <v>9</v>
      </c>
      <c r="F2" s="6" t="s">
        <v>10</v>
      </c>
      <c r="G2" s="8">
        <v>1024.44</v>
      </c>
      <c r="H2" s="6" t="str">
        <f>PROPER(TRIM(C2))</f>
        <v>Male</v>
      </c>
      <c r="I2" s="6" t="str">
        <f>PROPER(TRIM(E2))</f>
        <v>Mogadishu</v>
      </c>
      <c r="J2" s="6" t="str">
        <f>PROPER(TRIM(SUBSTITUTE(F2,"CS","Civil Servant")))</f>
        <v>Healthcare</v>
      </c>
      <c r="K2" s="6" t="str">
        <f>IF(G2&gt;=1500,"High",IF(G2&gt;=800,"Medium","Low"))</f>
        <v>Medium</v>
      </c>
    </row>
    <row r="3" spans="1:11">
      <c r="A3" s="6" t="s">
        <v>11</v>
      </c>
      <c r="B3" s="7" t="s">
        <v>312</v>
      </c>
      <c r="C3" s="6" t="s">
        <v>8</v>
      </c>
      <c r="D3" s="6">
        <v>39</v>
      </c>
      <c r="E3" s="6" t="s">
        <v>12</v>
      </c>
      <c r="F3" s="6" t="s">
        <v>13</v>
      </c>
      <c r="G3" s="8">
        <v>827.25</v>
      </c>
      <c r="H3" s="6" t="str">
        <f t="shared" ref="H3:H66" si="0">PROPER(TRIM(C3))</f>
        <v>Male</v>
      </c>
      <c r="I3" s="6" t="str">
        <f t="shared" ref="I3:I66" si="1">PROPER(TRIM(E3))</f>
        <v>Baidoa</v>
      </c>
      <c r="J3" s="6" t="str">
        <f t="shared" ref="J3:J66" si="2">PROPER(TRIM(SUBSTITUTE(F3,"CS","Civil Servant")))</f>
        <v>Teacher</v>
      </c>
      <c r="K3" s="6" t="str">
        <f t="shared" ref="K3:K66" si="3">IF(G3&gt;=1500,"High",IF(G3&gt;=800,"Medium","Low"))</f>
        <v>Medium</v>
      </c>
    </row>
    <row r="4" spans="1:11">
      <c r="A4" s="6" t="s">
        <v>14</v>
      </c>
      <c r="B4" s="7">
        <v>46173</v>
      </c>
      <c r="C4" s="6" t="s">
        <v>8</v>
      </c>
      <c r="D4" s="6">
        <v>44</v>
      </c>
      <c r="E4" s="6" t="s">
        <v>15</v>
      </c>
      <c r="F4" s="6" t="s">
        <v>13</v>
      </c>
      <c r="G4" s="8">
        <v>661.3</v>
      </c>
      <c r="H4" s="6" t="str">
        <f t="shared" si="0"/>
        <v>Male</v>
      </c>
      <c r="I4" s="6" t="str">
        <f t="shared" si="1"/>
        <v>Hargeisa</v>
      </c>
      <c r="J4" s="6" t="str">
        <f t="shared" si="2"/>
        <v>Teacher</v>
      </c>
      <c r="K4" s="6" t="str">
        <f t="shared" si="3"/>
        <v>Low</v>
      </c>
    </row>
    <row r="5" spans="1:11">
      <c r="A5" s="6" t="s">
        <v>16</v>
      </c>
      <c r="B5" s="7">
        <v>45954</v>
      </c>
      <c r="C5" s="6" t="s">
        <v>17</v>
      </c>
      <c r="D5" s="6">
        <v>20</v>
      </c>
      <c r="E5" s="6" t="s">
        <v>9</v>
      </c>
      <c r="F5" s="6" t="s">
        <v>18</v>
      </c>
      <c r="G5" s="8">
        <v>295.45</v>
      </c>
      <c r="H5" s="6" t="str">
        <f t="shared" si="0"/>
        <v>Female</v>
      </c>
      <c r="I5" s="6" t="str">
        <f t="shared" si="1"/>
        <v>Mogadishu</v>
      </c>
      <c r="J5" s="6" t="str">
        <f t="shared" si="2"/>
        <v>Student</v>
      </c>
      <c r="K5" s="6" t="str">
        <f t="shared" si="3"/>
        <v>Low</v>
      </c>
    </row>
    <row r="6" spans="1:11">
      <c r="A6" s="6" t="s">
        <v>19</v>
      </c>
      <c r="B6" s="7">
        <v>46006</v>
      </c>
      <c r="C6" s="6" t="s">
        <v>8</v>
      </c>
      <c r="D6" s="6">
        <v>31</v>
      </c>
      <c r="E6" s="6" t="s">
        <v>20</v>
      </c>
      <c r="F6" s="6" t="s">
        <v>21</v>
      </c>
      <c r="G6" s="8">
        <v>481.99</v>
      </c>
      <c r="H6" s="6" t="str">
        <f t="shared" si="0"/>
        <v>Male</v>
      </c>
      <c r="I6" s="6" t="str">
        <f t="shared" si="1"/>
        <v>Bosaso</v>
      </c>
      <c r="J6" s="6" t="str">
        <f t="shared" si="2"/>
        <v>Self-Employed</v>
      </c>
      <c r="K6" s="6" t="str">
        <f t="shared" si="3"/>
        <v>Low</v>
      </c>
    </row>
    <row r="7" spans="1:11">
      <c r="A7" s="6" t="s">
        <v>22</v>
      </c>
      <c r="B7" s="7">
        <v>46059</v>
      </c>
      <c r="C7" s="6" t="s">
        <v>17</v>
      </c>
      <c r="D7" s="6">
        <v>65</v>
      </c>
      <c r="E7" s="6" t="s">
        <v>15</v>
      </c>
      <c r="F7" s="6" t="s">
        <v>23</v>
      </c>
      <c r="G7" s="8">
        <v>1067.9000000000001</v>
      </c>
      <c r="H7" s="6" t="str">
        <f t="shared" si="0"/>
        <v>Female</v>
      </c>
      <c r="I7" s="6" t="str">
        <f t="shared" si="1"/>
        <v>Hargeisa</v>
      </c>
      <c r="J7" s="6" t="str">
        <f t="shared" si="2"/>
        <v>Civil Servant</v>
      </c>
      <c r="K7" s="6" t="str">
        <f t="shared" si="3"/>
        <v>Medium</v>
      </c>
    </row>
    <row r="8" spans="1:11">
      <c r="A8" s="6" t="s">
        <v>24</v>
      </c>
      <c r="B8" s="7">
        <v>45861</v>
      </c>
      <c r="C8" s="6" t="s">
        <v>17</v>
      </c>
      <c r="D8" s="6">
        <v>47</v>
      </c>
      <c r="E8" s="6" t="s">
        <v>9</v>
      </c>
      <c r="F8" s="6" t="s">
        <v>21</v>
      </c>
      <c r="G8" s="8">
        <v>444.76</v>
      </c>
      <c r="H8" s="6" t="str">
        <f t="shared" si="0"/>
        <v>Female</v>
      </c>
      <c r="I8" s="6" t="str">
        <f t="shared" si="1"/>
        <v>Mogadishu</v>
      </c>
      <c r="J8" s="6" t="str">
        <f t="shared" si="2"/>
        <v>Self-Employed</v>
      </c>
      <c r="K8" s="6" t="str">
        <f t="shared" si="3"/>
        <v>Low</v>
      </c>
    </row>
    <row r="9" spans="1:11">
      <c r="A9" s="6" t="s">
        <v>25</v>
      </c>
      <c r="B9" s="7">
        <v>45902</v>
      </c>
      <c r="C9" s="6" t="s">
        <v>17</v>
      </c>
      <c r="D9" s="6">
        <v>46</v>
      </c>
      <c r="E9" s="6" t="s">
        <v>9</v>
      </c>
      <c r="F9" s="6" t="s">
        <v>313</v>
      </c>
      <c r="G9" s="8">
        <v>911.36</v>
      </c>
      <c r="H9" s="6" t="str">
        <f t="shared" si="0"/>
        <v>Female</v>
      </c>
      <c r="I9" s="6" t="str">
        <f t="shared" si="1"/>
        <v>Mogadishu</v>
      </c>
      <c r="J9" s="6" t="str">
        <f t="shared" si="2"/>
        <v>Missing</v>
      </c>
      <c r="K9" s="6" t="str">
        <f t="shared" si="3"/>
        <v>Medium</v>
      </c>
    </row>
    <row r="10" spans="1:11">
      <c r="A10" s="6" t="s">
        <v>26</v>
      </c>
      <c r="B10" s="7">
        <v>45970</v>
      </c>
      <c r="C10" s="6" t="s">
        <v>17</v>
      </c>
      <c r="D10" s="6">
        <v>70</v>
      </c>
      <c r="E10" s="6" t="s">
        <v>20</v>
      </c>
      <c r="F10" s="6" t="s">
        <v>13</v>
      </c>
      <c r="G10" s="8">
        <v>415.78</v>
      </c>
      <c r="H10" s="6" t="str">
        <f t="shared" si="0"/>
        <v>Female</v>
      </c>
      <c r="I10" s="6" t="str">
        <f t="shared" si="1"/>
        <v>Bosaso</v>
      </c>
      <c r="J10" s="6" t="str">
        <f t="shared" si="2"/>
        <v>Teacher</v>
      </c>
      <c r="K10" s="6" t="str">
        <f t="shared" si="3"/>
        <v>Low</v>
      </c>
    </row>
    <row r="11" spans="1:11">
      <c r="A11" s="6" t="s">
        <v>27</v>
      </c>
      <c r="B11" s="7">
        <v>46159</v>
      </c>
      <c r="C11" s="6" t="s">
        <v>17</v>
      </c>
      <c r="D11" s="6">
        <v>39</v>
      </c>
      <c r="E11" s="6" t="s">
        <v>20</v>
      </c>
      <c r="F11" s="6" t="s">
        <v>10</v>
      </c>
      <c r="G11" s="8">
        <v>1315.07</v>
      </c>
      <c r="H11" s="6" t="str">
        <f t="shared" si="0"/>
        <v>Female</v>
      </c>
      <c r="I11" s="6" t="str">
        <f t="shared" si="1"/>
        <v>Bosaso</v>
      </c>
      <c r="J11" s="6" t="str">
        <f t="shared" si="2"/>
        <v>Healthcare</v>
      </c>
      <c r="K11" s="6" t="str">
        <f t="shared" si="3"/>
        <v>Medium</v>
      </c>
    </row>
    <row r="12" spans="1:11">
      <c r="A12" s="6" t="s">
        <v>28</v>
      </c>
      <c r="B12" s="7">
        <v>45781</v>
      </c>
      <c r="C12" s="6" t="s">
        <v>8</v>
      </c>
      <c r="D12" s="6">
        <v>32</v>
      </c>
      <c r="E12" s="6" t="s">
        <v>9</v>
      </c>
      <c r="F12" s="6" t="s">
        <v>313</v>
      </c>
      <c r="G12" s="8">
        <v>176.95</v>
      </c>
      <c r="H12" s="6" t="str">
        <f t="shared" si="0"/>
        <v>Male</v>
      </c>
      <c r="I12" s="6" t="str">
        <f t="shared" si="1"/>
        <v>Mogadishu</v>
      </c>
      <c r="J12" s="6" t="str">
        <f t="shared" si="2"/>
        <v>Missing</v>
      </c>
      <c r="K12" s="6" t="str">
        <f t="shared" si="3"/>
        <v>Low</v>
      </c>
    </row>
    <row r="13" spans="1:11">
      <c r="A13" s="6" t="s">
        <v>29</v>
      </c>
      <c r="B13" s="7">
        <v>45807</v>
      </c>
      <c r="C13" s="6" t="s">
        <v>17</v>
      </c>
      <c r="D13" s="6">
        <v>48</v>
      </c>
      <c r="E13" s="6" t="s">
        <v>9</v>
      </c>
      <c r="F13" s="6" t="s">
        <v>30</v>
      </c>
      <c r="G13" s="8">
        <v>1075.0899999999999</v>
      </c>
      <c r="H13" s="6" t="str">
        <f t="shared" si="0"/>
        <v>Female</v>
      </c>
      <c r="I13" s="6" t="str">
        <f t="shared" si="1"/>
        <v>Mogadishu</v>
      </c>
      <c r="J13" s="6" t="str">
        <f t="shared" si="2"/>
        <v>Business Owner</v>
      </c>
      <c r="K13" s="6" t="str">
        <f t="shared" si="3"/>
        <v>Medium</v>
      </c>
    </row>
    <row r="14" spans="1:11">
      <c r="A14" s="6" t="s">
        <v>31</v>
      </c>
      <c r="B14" s="7">
        <v>45747</v>
      </c>
      <c r="C14" s="6" t="s">
        <v>17</v>
      </c>
      <c r="D14" s="6">
        <v>27</v>
      </c>
      <c r="E14" s="6" t="s">
        <v>9</v>
      </c>
      <c r="F14" s="6" t="s">
        <v>313</v>
      </c>
      <c r="G14" s="8">
        <v>863.68</v>
      </c>
      <c r="H14" s="6" t="str">
        <f t="shared" si="0"/>
        <v>Female</v>
      </c>
      <c r="I14" s="6" t="str">
        <f t="shared" si="1"/>
        <v>Mogadishu</v>
      </c>
      <c r="J14" s="6" t="str">
        <f t="shared" si="2"/>
        <v>Missing</v>
      </c>
      <c r="K14" s="6" t="str">
        <f t="shared" si="3"/>
        <v>Medium</v>
      </c>
    </row>
    <row r="15" spans="1:11">
      <c r="A15" s="6" t="s">
        <v>32</v>
      </c>
      <c r="B15" s="7">
        <v>46190</v>
      </c>
      <c r="C15" s="6" t="s">
        <v>17</v>
      </c>
      <c r="D15" s="6">
        <v>47</v>
      </c>
      <c r="E15" s="6" t="s">
        <v>12</v>
      </c>
      <c r="F15" s="6" t="s">
        <v>30</v>
      </c>
      <c r="G15" s="8">
        <v>2156</v>
      </c>
      <c r="H15" s="6" t="str">
        <f t="shared" si="0"/>
        <v>Female</v>
      </c>
      <c r="I15" s="6" t="str">
        <f t="shared" si="1"/>
        <v>Baidoa</v>
      </c>
      <c r="J15" s="6" t="str">
        <f t="shared" si="2"/>
        <v>Business Owner</v>
      </c>
      <c r="K15" s="6" t="str">
        <f t="shared" si="3"/>
        <v>High</v>
      </c>
    </row>
    <row r="16" spans="1:11">
      <c r="A16" s="6" t="s">
        <v>33</v>
      </c>
      <c r="B16" s="7">
        <v>46159</v>
      </c>
      <c r="C16" s="6" t="s">
        <v>17</v>
      </c>
      <c r="D16" s="6">
        <v>27</v>
      </c>
      <c r="E16" s="6" t="s">
        <v>15</v>
      </c>
      <c r="F16" s="6" t="s">
        <v>313</v>
      </c>
      <c r="G16" s="8">
        <v>255.08</v>
      </c>
      <c r="H16" s="6" t="str">
        <f t="shared" si="0"/>
        <v>Female</v>
      </c>
      <c r="I16" s="6" t="str">
        <f t="shared" si="1"/>
        <v>Hargeisa</v>
      </c>
      <c r="J16" s="6" t="str">
        <f t="shared" si="2"/>
        <v>Missing</v>
      </c>
      <c r="K16" s="6" t="str">
        <f t="shared" si="3"/>
        <v>Low</v>
      </c>
    </row>
    <row r="17" spans="1:11">
      <c r="A17" s="6" t="s">
        <v>34</v>
      </c>
      <c r="B17" s="7">
        <v>46197</v>
      </c>
      <c r="C17" s="6" t="s">
        <v>8</v>
      </c>
      <c r="D17" s="6">
        <v>38</v>
      </c>
      <c r="E17" s="6" t="s">
        <v>9</v>
      </c>
      <c r="F17" s="6" t="s">
        <v>13</v>
      </c>
      <c r="G17" s="8">
        <v>719.42</v>
      </c>
      <c r="H17" s="6" t="str">
        <f t="shared" si="0"/>
        <v>Male</v>
      </c>
      <c r="I17" s="6" t="str">
        <f t="shared" si="1"/>
        <v>Mogadishu</v>
      </c>
      <c r="J17" s="6" t="str">
        <f t="shared" si="2"/>
        <v>Teacher</v>
      </c>
      <c r="K17" s="6" t="str">
        <f t="shared" si="3"/>
        <v>Low</v>
      </c>
    </row>
    <row r="18" spans="1:11">
      <c r="A18" s="6" t="s">
        <v>35</v>
      </c>
      <c r="B18" s="7">
        <v>45780</v>
      </c>
      <c r="C18" s="6" t="s">
        <v>17</v>
      </c>
      <c r="D18" s="6">
        <v>37</v>
      </c>
      <c r="E18" s="6" t="s">
        <v>9</v>
      </c>
      <c r="F18" s="6" t="s">
        <v>23</v>
      </c>
      <c r="G18" s="8">
        <v>1041.8399999999999</v>
      </c>
      <c r="H18" s="6" t="str">
        <f t="shared" si="0"/>
        <v>Female</v>
      </c>
      <c r="I18" s="6" t="str">
        <f t="shared" si="1"/>
        <v>Mogadishu</v>
      </c>
      <c r="J18" s="6" t="str">
        <f t="shared" si="2"/>
        <v>Civil Servant</v>
      </c>
      <c r="K18" s="6" t="str">
        <f t="shared" si="3"/>
        <v>Medium</v>
      </c>
    </row>
    <row r="19" spans="1:11">
      <c r="A19" s="6" t="s">
        <v>36</v>
      </c>
      <c r="B19" s="7">
        <v>45937</v>
      </c>
      <c r="C19" s="6" t="s">
        <v>17</v>
      </c>
      <c r="D19" s="6">
        <v>44</v>
      </c>
      <c r="E19" s="6" t="s">
        <v>20</v>
      </c>
      <c r="F19" s="6" t="s">
        <v>18</v>
      </c>
      <c r="G19" s="8">
        <v>265.52</v>
      </c>
      <c r="H19" s="6" t="str">
        <f t="shared" si="0"/>
        <v>Female</v>
      </c>
      <c r="I19" s="6" t="str">
        <f t="shared" si="1"/>
        <v>Bosaso</v>
      </c>
      <c r="J19" s="6" t="str">
        <f t="shared" si="2"/>
        <v>Student</v>
      </c>
      <c r="K19" s="6" t="str">
        <f t="shared" si="3"/>
        <v>Low</v>
      </c>
    </row>
    <row r="20" spans="1:11">
      <c r="A20" s="6" t="s">
        <v>37</v>
      </c>
      <c r="B20" s="7">
        <v>45679</v>
      </c>
      <c r="C20" s="6" t="s">
        <v>17</v>
      </c>
      <c r="D20" s="6">
        <v>70</v>
      </c>
      <c r="E20" s="6" t="s">
        <v>9</v>
      </c>
      <c r="F20" s="6" t="s">
        <v>30</v>
      </c>
      <c r="G20" s="8">
        <v>2040.09</v>
      </c>
      <c r="H20" s="6" t="str">
        <f t="shared" si="0"/>
        <v>Female</v>
      </c>
      <c r="I20" s="6" t="str">
        <f t="shared" si="1"/>
        <v>Mogadishu</v>
      </c>
      <c r="J20" s="6" t="str">
        <f t="shared" si="2"/>
        <v>Business Owner</v>
      </c>
      <c r="K20" s="6" t="str">
        <f t="shared" si="3"/>
        <v>High</v>
      </c>
    </row>
    <row r="21" spans="1:11">
      <c r="A21" s="6" t="s">
        <v>38</v>
      </c>
      <c r="B21" s="7">
        <v>45998</v>
      </c>
      <c r="C21" s="6" t="s">
        <v>17</v>
      </c>
      <c r="D21" s="6">
        <v>40</v>
      </c>
      <c r="E21" s="6" t="s">
        <v>39</v>
      </c>
      <c r="F21" s="6" t="s">
        <v>30</v>
      </c>
      <c r="G21" s="8">
        <v>1210.32</v>
      </c>
      <c r="H21" s="6" t="str">
        <f t="shared" si="0"/>
        <v>Female</v>
      </c>
      <c r="I21" s="6" t="str">
        <f t="shared" si="1"/>
        <v>Kismayo</v>
      </c>
      <c r="J21" s="6" t="str">
        <f t="shared" si="2"/>
        <v>Business Owner</v>
      </c>
      <c r="K21" s="6" t="str">
        <f t="shared" si="3"/>
        <v>Medium</v>
      </c>
    </row>
    <row r="22" spans="1:11">
      <c r="A22" s="6" t="s">
        <v>40</v>
      </c>
      <c r="B22" s="7">
        <v>45715</v>
      </c>
      <c r="C22" s="6" t="s">
        <v>8</v>
      </c>
      <c r="D22" s="6">
        <v>54</v>
      </c>
      <c r="E22" s="6" t="s">
        <v>9</v>
      </c>
      <c r="F22" s="6" t="s">
        <v>30</v>
      </c>
      <c r="G22" s="8">
        <v>923.87</v>
      </c>
      <c r="H22" s="6" t="str">
        <f t="shared" si="0"/>
        <v>Male</v>
      </c>
      <c r="I22" s="6" t="str">
        <f t="shared" si="1"/>
        <v>Mogadishu</v>
      </c>
      <c r="J22" s="6" t="str">
        <f t="shared" si="2"/>
        <v>Business Owner</v>
      </c>
      <c r="K22" s="6" t="str">
        <f t="shared" si="3"/>
        <v>Medium</v>
      </c>
    </row>
    <row r="23" spans="1:11">
      <c r="A23" s="6" t="s">
        <v>42</v>
      </c>
      <c r="B23" s="7">
        <v>46137</v>
      </c>
      <c r="C23" s="6" t="s">
        <v>17</v>
      </c>
      <c r="D23" s="6">
        <v>28</v>
      </c>
      <c r="E23" s="6" t="s">
        <v>39</v>
      </c>
      <c r="F23" s="6" t="s">
        <v>13</v>
      </c>
      <c r="G23" s="8">
        <v>732.86</v>
      </c>
      <c r="H23" s="6" t="str">
        <f t="shared" si="0"/>
        <v>Female</v>
      </c>
      <c r="I23" s="6" t="str">
        <f t="shared" si="1"/>
        <v>Kismayo</v>
      </c>
      <c r="J23" s="6" t="str">
        <f t="shared" si="2"/>
        <v>Teacher</v>
      </c>
      <c r="K23" s="6" t="str">
        <f t="shared" si="3"/>
        <v>Low</v>
      </c>
    </row>
    <row r="24" spans="1:11">
      <c r="A24" s="6" t="s">
        <v>43</v>
      </c>
      <c r="B24" s="7">
        <v>45773</v>
      </c>
      <c r="C24" s="6" t="s">
        <v>17</v>
      </c>
      <c r="D24" s="6">
        <v>61</v>
      </c>
      <c r="E24" s="6" t="s">
        <v>9</v>
      </c>
      <c r="F24" s="6" t="s">
        <v>44</v>
      </c>
      <c r="G24" s="8">
        <v>998.38</v>
      </c>
      <c r="H24" s="6" t="str">
        <f t="shared" si="0"/>
        <v>Female</v>
      </c>
      <c r="I24" s="6" t="str">
        <f t="shared" si="1"/>
        <v>Mogadishu</v>
      </c>
      <c r="J24" s="6" t="str">
        <f t="shared" si="2"/>
        <v>Engineer</v>
      </c>
      <c r="K24" s="6" t="str">
        <f t="shared" si="3"/>
        <v>Medium</v>
      </c>
    </row>
    <row r="25" spans="1:11">
      <c r="A25" s="6" t="s">
        <v>45</v>
      </c>
      <c r="B25" s="7">
        <v>45731</v>
      </c>
      <c r="C25" s="6" t="s">
        <v>8</v>
      </c>
      <c r="D25" s="6">
        <v>42</v>
      </c>
      <c r="E25" s="6" t="s">
        <v>9</v>
      </c>
      <c r="F25" s="6" t="s">
        <v>10</v>
      </c>
      <c r="G25" s="8">
        <v>1023.35</v>
      </c>
      <c r="H25" s="6" t="str">
        <f t="shared" si="0"/>
        <v>Male</v>
      </c>
      <c r="I25" s="6" t="str">
        <f t="shared" si="1"/>
        <v>Mogadishu</v>
      </c>
      <c r="J25" s="6" t="str">
        <f t="shared" si="2"/>
        <v>Healthcare</v>
      </c>
      <c r="K25" s="6" t="str">
        <f t="shared" si="3"/>
        <v>Medium</v>
      </c>
    </row>
    <row r="26" spans="1:11">
      <c r="A26" s="6" t="s">
        <v>311</v>
      </c>
      <c r="B26" s="7">
        <v>46068</v>
      </c>
      <c r="C26" s="6" t="s">
        <v>17</v>
      </c>
      <c r="D26" s="6">
        <v>58</v>
      </c>
      <c r="E26" s="6" t="s">
        <v>20</v>
      </c>
      <c r="F26" s="6" t="s">
        <v>44</v>
      </c>
      <c r="G26" s="8">
        <v>1170.92</v>
      </c>
      <c r="H26" s="6" t="str">
        <f t="shared" si="0"/>
        <v>Female</v>
      </c>
      <c r="I26" s="6" t="str">
        <f t="shared" si="1"/>
        <v>Bosaso</v>
      </c>
      <c r="J26" s="6" t="str">
        <f t="shared" si="2"/>
        <v>Engineer</v>
      </c>
      <c r="K26" s="6" t="str">
        <f t="shared" si="3"/>
        <v>Medium</v>
      </c>
    </row>
    <row r="27" spans="1:11">
      <c r="A27" s="6" t="s">
        <v>46</v>
      </c>
      <c r="B27" s="7">
        <v>45691</v>
      </c>
      <c r="C27" s="6" t="s">
        <v>8</v>
      </c>
      <c r="D27" s="6">
        <v>20</v>
      </c>
      <c r="E27" s="6" t="s">
        <v>312</v>
      </c>
      <c r="F27" s="6" t="s">
        <v>13</v>
      </c>
      <c r="G27" s="8">
        <v>526.37</v>
      </c>
      <c r="H27" s="6" t="str">
        <f t="shared" si="0"/>
        <v>Male</v>
      </c>
      <c r="I27" s="6" t="str">
        <f t="shared" si="1"/>
        <v>Missing</v>
      </c>
      <c r="J27" s="6" t="str">
        <f t="shared" si="2"/>
        <v>Teacher</v>
      </c>
      <c r="K27" s="6" t="str">
        <f t="shared" si="3"/>
        <v>Low</v>
      </c>
    </row>
    <row r="28" spans="1:11">
      <c r="A28" s="6" t="s">
        <v>47</v>
      </c>
      <c r="B28" s="7">
        <v>46082</v>
      </c>
      <c r="C28" s="6" t="s">
        <v>17</v>
      </c>
      <c r="D28" s="6">
        <v>32</v>
      </c>
      <c r="E28" s="6" t="s">
        <v>39</v>
      </c>
      <c r="F28" s="6" t="s">
        <v>23</v>
      </c>
      <c r="G28" s="8">
        <v>558.07000000000005</v>
      </c>
      <c r="H28" s="6" t="str">
        <f t="shared" si="0"/>
        <v>Female</v>
      </c>
      <c r="I28" s="6" t="str">
        <f t="shared" si="1"/>
        <v>Kismayo</v>
      </c>
      <c r="J28" s="6" t="str">
        <f t="shared" si="2"/>
        <v>Civil Servant</v>
      </c>
      <c r="K28" s="6" t="str">
        <f t="shared" si="3"/>
        <v>Low</v>
      </c>
    </row>
    <row r="29" spans="1:11">
      <c r="A29" s="6" t="s">
        <v>48</v>
      </c>
      <c r="B29" s="7">
        <v>45925</v>
      </c>
      <c r="C29" s="6" t="s">
        <v>17</v>
      </c>
      <c r="D29" s="6">
        <v>66</v>
      </c>
      <c r="E29" s="6" t="s">
        <v>9</v>
      </c>
      <c r="F29" s="6" t="s">
        <v>23</v>
      </c>
      <c r="G29" s="8">
        <v>656.1</v>
      </c>
      <c r="H29" s="6" t="str">
        <f t="shared" si="0"/>
        <v>Female</v>
      </c>
      <c r="I29" s="6" t="str">
        <f t="shared" si="1"/>
        <v>Mogadishu</v>
      </c>
      <c r="J29" s="6" t="str">
        <f t="shared" si="2"/>
        <v>Civil Servant</v>
      </c>
      <c r="K29" s="6" t="str">
        <f t="shared" si="3"/>
        <v>Low</v>
      </c>
    </row>
    <row r="30" spans="1:11">
      <c r="A30" s="6" t="s">
        <v>49</v>
      </c>
      <c r="B30" s="7" t="s">
        <v>312</v>
      </c>
      <c r="C30" s="6" t="s">
        <v>17</v>
      </c>
      <c r="D30" s="6">
        <v>40</v>
      </c>
      <c r="E30" s="6" t="s">
        <v>9</v>
      </c>
      <c r="F30" s="6" t="s">
        <v>21</v>
      </c>
      <c r="G30" s="8">
        <v>442.74</v>
      </c>
      <c r="H30" s="6" t="str">
        <f t="shared" si="0"/>
        <v>Female</v>
      </c>
      <c r="I30" s="6" t="str">
        <f t="shared" si="1"/>
        <v>Mogadishu</v>
      </c>
      <c r="J30" s="6" t="str">
        <f t="shared" si="2"/>
        <v>Self-Employed</v>
      </c>
      <c r="K30" s="6" t="str">
        <f t="shared" si="3"/>
        <v>Low</v>
      </c>
    </row>
    <row r="31" spans="1:11">
      <c r="A31" s="6" t="s">
        <v>50</v>
      </c>
      <c r="B31" s="7">
        <v>46161</v>
      </c>
      <c r="C31" s="6" t="s">
        <v>17</v>
      </c>
      <c r="D31" s="6">
        <v>53</v>
      </c>
      <c r="E31" s="6" t="s">
        <v>9</v>
      </c>
      <c r="F31" s="6" t="s">
        <v>44</v>
      </c>
      <c r="G31" s="8">
        <v>923.87</v>
      </c>
      <c r="H31" s="6" t="str">
        <f t="shared" si="0"/>
        <v>Female</v>
      </c>
      <c r="I31" s="6" t="str">
        <f t="shared" si="1"/>
        <v>Mogadishu</v>
      </c>
      <c r="J31" s="6" t="str">
        <f t="shared" si="2"/>
        <v>Engineer</v>
      </c>
      <c r="K31" s="6" t="str">
        <f t="shared" si="3"/>
        <v>Medium</v>
      </c>
    </row>
    <row r="32" spans="1:11">
      <c r="A32" s="6" t="s">
        <v>51</v>
      </c>
      <c r="B32" s="7">
        <v>45884</v>
      </c>
      <c r="C32" s="6" t="s">
        <v>17</v>
      </c>
      <c r="D32" s="6">
        <v>49</v>
      </c>
      <c r="E32" s="6" t="s">
        <v>39</v>
      </c>
      <c r="F32" s="6" t="s">
        <v>44</v>
      </c>
      <c r="G32" s="8">
        <v>1610.81</v>
      </c>
      <c r="H32" s="6" t="str">
        <f t="shared" si="0"/>
        <v>Female</v>
      </c>
      <c r="I32" s="6" t="str">
        <f t="shared" si="1"/>
        <v>Kismayo</v>
      </c>
      <c r="J32" s="6" t="str">
        <f t="shared" si="2"/>
        <v>Engineer</v>
      </c>
      <c r="K32" s="6" t="str">
        <f t="shared" si="3"/>
        <v>High</v>
      </c>
    </row>
    <row r="33" spans="1:11">
      <c r="A33" s="6" t="s">
        <v>52</v>
      </c>
      <c r="B33" s="7">
        <v>45809</v>
      </c>
      <c r="C33" s="6" t="s">
        <v>8</v>
      </c>
      <c r="D33" s="6">
        <v>24</v>
      </c>
      <c r="E33" s="6" t="s">
        <v>9</v>
      </c>
      <c r="F33" s="6" t="s">
        <v>44</v>
      </c>
      <c r="G33" s="8">
        <v>706.35</v>
      </c>
      <c r="H33" s="6" t="str">
        <f t="shared" si="0"/>
        <v>Male</v>
      </c>
      <c r="I33" s="6" t="str">
        <f t="shared" si="1"/>
        <v>Mogadishu</v>
      </c>
      <c r="J33" s="6" t="str">
        <f t="shared" si="2"/>
        <v>Engineer</v>
      </c>
      <c r="K33" s="6" t="str">
        <f t="shared" si="3"/>
        <v>Low</v>
      </c>
    </row>
    <row r="34" spans="1:11">
      <c r="A34" s="6" t="s">
        <v>53</v>
      </c>
      <c r="B34" s="7">
        <v>45881</v>
      </c>
      <c r="C34" s="6" t="s">
        <v>8</v>
      </c>
      <c r="D34" s="6">
        <v>36</v>
      </c>
      <c r="E34" s="6" t="s">
        <v>312</v>
      </c>
      <c r="F34" s="6" t="s">
        <v>18</v>
      </c>
      <c r="G34" s="8">
        <v>183.1</v>
      </c>
      <c r="H34" s="6" t="str">
        <f t="shared" si="0"/>
        <v>Male</v>
      </c>
      <c r="I34" s="6" t="str">
        <f t="shared" si="1"/>
        <v>Missing</v>
      </c>
      <c r="J34" s="6" t="str">
        <f t="shared" si="2"/>
        <v>Student</v>
      </c>
      <c r="K34" s="6" t="str">
        <f t="shared" si="3"/>
        <v>Low</v>
      </c>
    </row>
    <row r="35" spans="1:11">
      <c r="B35" s="7">
        <v>46038</v>
      </c>
      <c r="C35" s="6" t="s">
        <v>17</v>
      </c>
      <c r="D35" s="6">
        <v>44</v>
      </c>
      <c r="E35" s="6" t="s">
        <v>9</v>
      </c>
      <c r="F35" s="6" t="s">
        <v>21</v>
      </c>
      <c r="G35" s="8">
        <v>923.87</v>
      </c>
      <c r="H35" s="6" t="str">
        <f t="shared" si="0"/>
        <v>Female</v>
      </c>
      <c r="I35" s="6" t="str">
        <f t="shared" si="1"/>
        <v>Mogadishu</v>
      </c>
      <c r="J35" s="6" t="str">
        <f t="shared" si="2"/>
        <v>Self-Employed</v>
      </c>
      <c r="K35" s="6" t="str">
        <f t="shared" si="3"/>
        <v>Medium</v>
      </c>
    </row>
    <row r="36" spans="1:11">
      <c r="A36" s="6" t="s">
        <v>55</v>
      </c>
      <c r="B36" s="7">
        <v>45671</v>
      </c>
      <c r="C36" s="6" t="s">
        <v>17</v>
      </c>
      <c r="D36" s="6">
        <v>19</v>
      </c>
      <c r="E36" s="6" t="s">
        <v>9</v>
      </c>
      <c r="F36" s="6" t="s">
        <v>18</v>
      </c>
      <c r="G36" s="8">
        <v>923.87</v>
      </c>
      <c r="H36" s="6" t="str">
        <f t="shared" si="0"/>
        <v>Female</v>
      </c>
      <c r="I36" s="6" t="str">
        <f t="shared" si="1"/>
        <v>Mogadishu</v>
      </c>
      <c r="J36" s="6" t="str">
        <f t="shared" si="2"/>
        <v>Student</v>
      </c>
      <c r="K36" s="6" t="str">
        <f t="shared" si="3"/>
        <v>Medium</v>
      </c>
    </row>
    <row r="37" spans="1:11">
      <c r="A37" s="6" t="s">
        <v>56</v>
      </c>
      <c r="B37" s="7">
        <v>46054</v>
      </c>
      <c r="C37" s="6" t="s">
        <v>8</v>
      </c>
      <c r="D37" s="6">
        <v>55</v>
      </c>
      <c r="E37" s="6" t="s">
        <v>39</v>
      </c>
      <c r="F37" s="6" t="s">
        <v>44</v>
      </c>
      <c r="G37" s="8">
        <v>923.87</v>
      </c>
      <c r="H37" s="6" t="str">
        <f t="shared" si="0"/>
        <v>Male</v>
      </c>
      <c r="I37" s="6" t="str">
        <f t="shared" si="1"/>
        <v>Kismayo</v>
      </c>
      <c r="J37" s="6" t="str">
        <f t="shared" si="2"/>
        <v>Engineer</v>
      </c>
      <c r="K37" s="6" t="str">
        <f t="shared" si="3"/>
        <v>Medium</v>
      </c>
    </row>
    <row r="38" spans="1:11">
      <c r="A38" s="6" t="s">
        <v>57</v>
      </c>
      <c r="B38" s="7">
        <v>45691</v>
      </c>
      <c r="C38" s="6" t="s">
        <v>8</v>
      </c>
      <c r="D38" s="6">
        <v>26</v>
      </c>
      <c r="E38" s="6" t="s">
        <v>9</v>
      </c>
      <c r="F38" s="6" t="s">
        <v>44</v>
      </c>
      <c r="G38" s="8">
        <v>1086.56</v>
      </c>
      <c r="H38" s="6" t="str">
        <f t="shared" si="0"/>
        <v>Male</v>
      </c>
      <c r="I38" s="6" t="str">
        <f t="shared" si="1"/>
        <v>Mogadishu</v>
      </c>
      <c r="J38" s="6" t="str">
        <f t="shared" si="2"/>
        <v>Engineer</v>
      </c>
      <c r="K38" s="6" t="str">
        <f t="shared" si="3"/>
        <v>Medium</v>
      </c>
    </row>
    <row r="39" spans="1:11">
      <c r="A39" s="6" t="s">
        <v>58</v>
      </c>
      <c r="B39" s="7">
        <v>46094</v>
      </c>
      <c r="C39" s="6" t="s">
        <v>17</v>
      </c>
      <c r="D39" s="6">
        <v>44</v>
      </c>
      <c r="E39" s="6" t="s">
        <v>9</v>
      </c>
      <c r="F39" s="6" t="s">
        <v>21</v>
      </c>
      <c r="G39" s="8">
        <v>1321.69</v>
      </c>
      <c r="H39" s="6" t="str">
        <f t="shared" si="0"/>
        <v>Female</v>
      </c>
      <c r="I39" s="6" t="str">
        <f t="shared" si="1"/>
        <v>Mogadishu</v>
      </c>
      <c r="J39" s="6" t="str">
        <f t="shared" si="2"/>
        <v>Self-Employed</v>
      </c>
      <c r="K39" s="6" t="str">
        <f t="shared" si="3"/>
        <v>Medium</v>
      </c>
    </row>
    <row r="40" spans="1:11">
      <c r="A40" s="6" t="s">
        <v>59</v>
      </c>
      <c r="B40" s="7">
        <v>46158</v>
      </c>
      <c r="C40" s="6" t="s">
        <v>17</v>
      </c>
      <c r="D40" s="6">
        <v>30</v>
      </c>
      <c r="E40" s="6" t="s">
        <v>9</v>
      </c>
      <c r="F40" s="6" t="s">
        <v>30</v>
      </c>
      <c r="G40" s="8">
        <v>2015.04</v>
      </c>
      <c r="H40" s="6" t="str">
        <f t="shared" si="0"/>
        <v>Female</v>
      </c>
      <c r="I40" s="6" t="str">
        <f t="shared" si="1"/>
        <v>Mogadishu</v>
      </c>
      <c r="J40" s="6" t="str">
        <f t="shared" si="2"/>
        <v>Business Owner</v>
      </c>
      <c r="K40" s="6" t="str">
        <f t="shared" si="3"/>
        <v>High</v>
      </c>
    </row>
    <row r="41" spans="1:11">
      <c r="B41" s="7">
        <v>45982</v>
      </c>
      <c r="C41" s="6" t="s">
        <v>8</v>
      </c>
      <c r="D41" s="6">
        <v>30</v>
      </c>
      <c r="E41" s="6" t="s">
        <v>12</v>
      </c>
      <c r="F41" s="6" t="s">
        <v>10</v>
      </c>
      <c r="G41" s="8">
        <v>1396.84</v>
      </c>
      <c r="H41" s="6" t="str">
        <f t="shared" si="0"/>
        <v>Male</v>
      </c>
      <c r="I41" s="6" t="str">
        <f t="shared" si="1"/>
        <v>Baidoa</v>
      </c>
      <c r="J41" s="6" t="str">
        <f t="shared" si="2"/>
        <v>Healthcare</v>
      </c>
      <c r="K41" s="6" t="str">
        <f t="shared" si="3"/>
        <v>Medium</v>
      </c>
    </row>
    <row r="42" spans="1:11">
      <c r="A42" s="6" t="s">
        <v>60</v>
      </c>
      <c r="B42" s="7">
        <v>45958</v>
      </c>
      <c r="C42" s="6" t="s">
        <v>8</v>
      </c>
      <c r="D42" s="6">
        <v>63</v>
      </c>
      <c r="E42" s="6" t="s">
        <v>20</v>
      </c>
      <c r="F42" s="6" t="s">
        <v>18</v>
      </c>
      <c r="G42" s="8">
        <v>265.83999999999997</v>
      </c>
      <c r="H42" s="6" t="str">
        <f t="shared" si="0"/>
        <v>Male</v>
      </c>
      <c r="I42" s="6" t="str">
        <f t="shared" si="1"/>
        <v>Bosaso</v>
      </c>
      <c r="J42" s="6" t="str">
        <f t="shared" si="2"/>
        <v>Student</v>
      </c>
      <c r="K42" s="6" t="str">
        <f t="shared" si="3"/>
        <v>Low</v>
      </c>
    </row>
    <row r="43" spans="1:11">
      <c r="A43" s="6" t="s">
        <v>61</v>
      </c>
      <c r="B43" s="7">
        <v>46109</v>
      </c>
      <c r="C43" s="6" t="s">
        <v>17</v>
      </c>
      <c r="D43" s="6">
        <v>40</v>
      </c>
      <c r="E43" s="6" t="s">
        <v>15</v>
      </c>
      <c r="F43" s="6" t="s">
        <v>10</v>
      </c>
      <c r="G43" s="8">
        <v>644.95000000000005</v>
      </c>
      <c r="H43" s="6" t="str">
        <f t="shared" si="0"/>
        <v>Female</v>
      </c>
      <c r="I43" s="6" t="str">
        <f t="shared" si="1"/>
        <v>Hargeisa</v>
      </c>
      <c r="J43" s="6" t="str">
        <f t="shared" si="2"/>
        <v>Healthcare</v>
      </c>
      <c r="K43" s="6" t="str">
        <f t="shared" si="3"/>
        <v>Low</v>
      </c>
    </row>
    <row r="44" spans="1:11">
      <c r="A44" s="6" t="s">
        <v>62</v>
      </c>
      <c r="B44" s="7">
        <v>46031</v>
      </c>
      <c r="C44" s="6" t="s">
        <v>17</v>
      </c>
      <c r="D44" s="6">
        <v>57</v>
      </c>
      <c r="E44" s="6" t="s">
        <v>12</v>
      </c>
      <c r="F44" s="6" t="s">
        <v>18</v>
      </c>
      <c r="G44" s="8">
        <v>128.41999999999999</v>
      </c>
      <c r="H44" s="6" t="str">
        <f t="shared" si="0"/>
        <v>Female</v>
      </c>
      <c r="I44" s="6" t="str">
        <f t="shared" si="1"/>
        <v>Baidoa</v>
      </c>
      <c r="J44" s="6" t="str">
        <f t="shared" si="2"/>
        <v>Student</v>
      </c>
      <c r="K44" s="6" t="str">
        <f t="shared" si="3"/>
        <v>Low</v>
      </c>
    </row>
    <row r="45" spans="1:11">
      <c r="A45" s="6" t="s">
        <v>63</v>
      </c>
      <c r="B45" s="7">
        <v>45846</v>
      </c>
      <c r="C45" s="6" t="s">
        <v>8</v>
      </c>
      <c r="D45" s="6">
        <v>62</v>
      </c>
      <c r="E45" s="6" t="s">
        <v>15</v>
      </c>
      <c r="F45" s="6" t="s">
        <v>21</v>
      </c>
      <c r="G45" s="8">
        <v>1032.69</v>
      </c>
      <c r="H45" s="6" t="str">
        <f t="shared" si="0"/>
        <v>Male</v>
      </c>
      <c r="I45" s="6" t="str">
        <f t="shared" si="1"/>
        <v>Hargeisa</v>
      </c>
      <c r="J45" s="6" t="str">
        <f t="shared" si="2"/>
        <v>Self-Employed</v>
      </c>
      <c r="K45" s="6" t="str">
        <f t="shared" si="3"/>
        <v>Medium</v>
      </c>
    </row>
    <row r="46" spans="1:11">
      <c r="A46" s="6" t="s">
        <v>64</v>
      </c>
      <c r="B46" s="7">
        <v>46067</v>
      </c>
      <c r="C46" s="6" t="s">
        <v>17</v>
      </c>
      <c r="D46" s="6">
        <v>22</v>
      </c>
      <c r="E46" s="6" t="s">
        <v>15</v>
      </c>
      <c r="F46" s="6" t="s">
        <v>23</v>
      </c>
      <c r="G46" s="8">
        <v>1164.05</v>
      </c>
      <c r="H46" s="6" t="str">
        <f t="shared" si="0"/>
        <v>Female</v>
      </c>
      <c r="I46" s="6" t="str">
        <f t="shared" si="1"/>
        <v>Hargeisa</v>
      </c>
      <c r="J46" s="6" t="str">
        <f t="shared" si="2"/>
        <v>Civil Servant</v>
      </c>
      <c r="K46" s="6" t="str">
        <f t="shared" si="3"/>
        <v>Medium</v>
      </c>
    </row>
    <row r="47" spans="1:11">
      <c r="A47" s="6" t="s">
        <v>65</v>
      </c>
      <c r="B47" s="7">
        <v>45824</v>
      </c>
      <c r="C47" s="6" t="s">
        <v>17</v>
      </c>
      <c r="D47" s="6">
        <v>23</v>
      </c>
      <c r="E47" s="6" t="s">
        <v>9</v>
      </c>
      <c r="F47" s="6" t="s">
        <v>21</v>
      </c>
      <c r="G47" s="8">
        <v>453.51</v>
      </c>
      <c r="H47" s="6" t="str">
        <f t="shared" si="0"/>
        <v>Female</v>
      </c>
      <c r="I47" s="6" t="str">
        <f t="shared" si="1"/>
        <v>Mogadishu</v>
      </c>
      <c r="J47" s="6" t="str">
        <f t="shared" si="2"/>
        <v>Self-Employed</v>
      </c>
      <c r="K47" s="6" t="str">
        <f t="shared" si="3"/>
        <v>Low</v>
      </c>
    </row>
    <row r="48" spans="1:11">
      <c r="A48" s="6" t="s">
        <v>66</v>
      </c>
      <c r="B48" s="7">
        <v>45975</v>
      </c>
      <c r="C48" s="6" t="s">
        <v>312</v>
      </c>
      <c r="D48" s="6">
        <v>70</v>
      </c>
      <c r="E48" s="6" t="s">
        <v>9</v>
      </c>
      <c r="F48" s="6" t="s">
        <v>23</v>
      </c>
      <c r="G48" s="8">
        <v>395.84</v>
      </c>
      <c r="H48" s="6" t="str">
        <f t="shared" si="0"/>
        <v>Missing</v>
      </c>
      <c r="I48" s="6" t="str">
        <f t="shared" si="1"/>
        <v>Mogadishu</v>
      </c>
      <c r="J48" s="6" t="str">
        <f t="shared" si="2"/>
        <v>Civil Servant</v>
      </c>
      <c r="K48" s="6" t="str">
        <f t="shared" si="3"/>
        <v>Low</v>
      </c>
    </row>
    <row r="49" spans="1:11">
      <c r="A49" s="6" t="s">
        <v>67</v>
      </c>
      <c r="B49" s="7">
        <v>46061</v>
      </c>
      <c r="C49" s="6" t="s">
        <v>17</v>
      </c>
      <c r="D49" s="6">
        <v>46</v>
      </c>
      <c r="E49" s="6" t="s">
        <v>9</v>
      </c>
      <c r="F49" s="6" t="s">
        <v>18</v>
      </c>
      <c r="G49" s="8">
        <v>253.15</v>
      </c>
      <c r="H49" s="6" t="str">
        <f t="shared" si="0"/>
        <v>Female</v>
      </c>
      <c r="I49" s="6" t="str">
        <f t="shared" si="1"/>
        <v>Mogadishu</v>
      </c>
      <c r="J49" s="6" t="str">
        <f t="shared" si="2"/>
        <v>Student</v>
      </c>
      <c r="K49" s="6" t="str">
        <f t="shared" si="3"/>
        <v>Low</v>
      </c>
    </row>
    <row r="50" spans="1:11">
      <c r="A50" s="6" t="s">
        <v>68</v>
      </c>
      <c r="B50" s="7">
        <v>46205</v>
      </c>
      <c r="C50" s="6" t="s">
        <v>8</v>
      </c>
      <c r="D50" s="6">
        <v>59</v>
      </c>
      <c r="E50" s="6" t="s">
        <v>12</v>
      </c>
      <c r="F50" s="6" t="s">
        <v>18</v>
      </c>
      <c r="G50" s="8">
        <v>239.25</v>
      </c>
      <c r="H50" s="6" t="str">
        <f t="shared" si="0"/>
        <v>Male</v>
      </c>
      <c r="I50" s="6" t="str">
        <f t="shared" si="1"/>
        <v>Baidoa</v>
      </c>
      <c r="J50" s="6" t="str">
        <f t="shared" si="2"/>
        <v>Student</v>
      </c>
      <c r="K50" s="6" t="str">
        <f t="shared" si="3"/>
        <v>Low</v>
      </c>
    </row>
    <row r="51" spans="1:11">
      <c r="A51" s="6" t="s">
        <v>69</v>
      </c>
      <c r="B51" s="7">
        <v>46099</v>
      </c>
      <c r="C51" s="6" t="s">
        <v>8</v>
      </c>
      <c r="D51" s="6">
        <v>45</v>
      </c>
      <c r="E51" s="6" t="s">
        <v>12</v>
      </c>
      <c r="F51" s="6" t="s">
        <v>18</v>
      </c>
      <c r="G51" s="8">
        <v>200.87</v>
      </c>
      <c r="H51" s="6" t="str">
        <f t="shared" si="0"/>
        <v>Male</v>
      </c>
      <c r="I51" s="6" t="str">
        <f t="shared" si="1"/>
        <v>Baidoa</v>
      </c>
      <c r="J51" s="6" t="str">
        <f t="shared" si="2"/>
        <v>Student</v>
      </c>
      <c r="K51" s="6" t="str">
        <f t="shared" si="3"/>
        <v>Low</v>
      </c>
    </row>
    <row r="52" spans="1:11">
      <c r="A52" s="6" t="s">
        <v>70</v>
      </c>
      <c r="B52" s="7">
        <v>45729</v>
      </c>
      <c r="C52" s="6" t="s">
        <v>17</v>
      </c>
      <c r="D52" s="6">
        <v>44</v>
      </c>
      <c r="E52" s="6" t="s">
        <v>12</v>
      </c>
      <c r="F52" s="6" t="s">
        <v>44</v>
      </c>
      <c r="G52" s="8">
        <v>963.66</v>
      </c>
      <c r="H52" s="6" t="str">
        <f t="shared" si="0"/>
        <v>Female</v>
      </c>
      <c r="I52" s="6" t="str">
        <f t="shared" si="1"/>
        <v>Baidoa</v>
      </c>
      <c r="J52" s="6" t="str">
        <f t="shared" si="2"/>
        <v>Engineer</v>
      </c>
      <c r="K52" s="6" t="str">
        <f t="shared" si="3"/>
        <v>Medium</v>
      </c>
    </row>
    <row r="53" spans="1:11">
      <c r="A53" s="6" t="s">
        <v>71</v>
      </c>
      <c r="B53" s="7">
        <v>45976</v>
      </c>
      <c r="C53" s="6" t="s">
        <v>8</v>
      </c>
      <c r="D53" s="6">
        <v>53</v>
      </c>
      <c r="E53" s="6" t="s">
        <v>9</v>
      </c>
      <c r="F53" s="6" t="s">
        <v>18</v>
      </c>
      <c r="G53" s="8">
        <v>247.93</v>
      </c>
      <c r="H53" s="6" t="str">
        <f t="shared" si="0"/>
        <v>Male</v>
      </c>
      <c r="I53" s="6" t="str">
        <f t="shared" si="1"/>
        <v>Mogadishu</v>
      </c>
      <c r="J53" s="6" t="str">
        <f t="shared" si="2"/>
        <v>Student</v>
      </c>
      <c r="K53" s="6" t="str">
        <f t="shared" si="3"/>
        <v>Low</v>
      </c>
    </row>
    <row r="54" spans="1:11">
      <c r="A54" s="6" t="s">
        <v>72</v>
      </c>
      <c r="B54" s="7">
        <v>46103</v>
      </c>
      <c r="C54" s="6" t="s">
        <v>8</v>
      </c>
      <c r="D54" s="6">
        <v>64</v>
      </c>
      <c r="E54" s="6" t="s">
        <v>20</v>
      </c>
      <c r="F54" s="6" t="s">
        <v>30</v>
      </c>
      <c r="G54" s="8">
        <v>727.81</v>
      </c>
      <c r="H54" s="6" t="str">
        <f t="shared" si="0"/>
        <v>Male</v>
      </c>
      <c r="I54" s="6" t="str">
        <f t="shared" si="1"/>
        <v>Bosaso</v>
      </c>
      <c r="J54" s="6" t="str">
        <f t="shared" si="2"/>
        <v>Business Owner</v>
      </c>
      <c r="K54" s="6" t="str">
        <f t="shared" si="3"/>
        <v>Low</v>
      </c>
    </row>
    <row r="55" spans="1:11">
      <c r="B55" s="7">
        <v>45957</v>
      </c>
      <c r="C55" s="6" t="s">
        <v>8</v>
      </c>
      <c r="D55" s="6">
        <v>68</v>
      </c>
      <c r="E55" s="6" t="s">
        <v>15</v>
      </c>
      <c r="F55" s="6" t="s">
        <v>10</v>
      </c>
      <c r="G55" s="8">
        <v>947.64</v>
      </c>
      <c r="H55" s="6" t="str">
        <f t="shared" si="0"/>
        <v>Male</v>
      </c>
      <c r="I55" s="6" t="str">
        <f t="shared" si="1"/>
        <v>Hargeisa</v>
      </c>
      <c r="J55" s="6" t="str">
        <f t="shared" si="2"/>
        <v>Healthcare</v>
      </c>
      <c r="K55" s="6" t="str">
        <f t="shared" si="3"/>
        <v>Medium</v>
      </c>
    </row>
    <row r="56" spans="1:11">
      <c r="A56" s="6" t="s">
        <v>73</v>
      </c>
      <c r="B56" s="7" t="s">
        <v>312</v>
      </c>
      <c r="C56" s="6" t="s">
        <v>8</v>
      </c>
      <c r="D56" s="6">
        <v>55</v>
      </c>
      <c r="E56" s="6" t="s">
        <v>74</v>
      </c>
      <c r="F56" s="6" t="s">
        <v>13</v>
      </c>
      <c r="G56" s="8">
        <v>325.43</v>
      </c>
      <c r="H56" s="6" t="str">
        <f t="shared" si="0"/>
        <v>Male</v>
      </c>
      <c r="I56" s="6" t="str">
        <f t="shared" si="1"/>
        <v>Garowe</v>
      </c>
      <c r="J56" s="6" t="str">
        <f t="shared" si="2"/>
        <v>Teacher</v>
      </c>
      <c r="K56" s="6" t="str">
        <f t="shared" si="3"/>
        <v>Low</v>
      </c>
    </row>
    <row r="57" spans="1:11">
      <c r="A57" s="6" t="s">
        <v>75</v>
      </c>
      <c r="B57" s="7">
        <v>45715</v>
      </c>
      <c r="C57" s="6" t="s">
        <v>17</v>
      </c>
      <c r="D57" s="6">
        <v>34</v>
      </c>
      <c r="E57" s="6" t="s">
        <v>39</v>
      </c>
      <c r="F57" s="6" t="s">
        <v>21</v>
      </c>
      <c r="G57" s="8">
        <v>835.61</v>
      </c>
      <c r="H57" s="6" t="str">
        <f t="shared" si="0"/>
        <v>Female</v>
      </c>
      <c r="I57" s="6" t="str">
        <f t="shared" si="1"/>
        <v>Kismayo</v>
      </c>
      <c r="J57" s="6" t="str">
        <f t="shared" si="2"/>
        <v>Self-Employed</v>
      </c>
      <c r="K57" s="6" t="str">
        <f t="shared" si="3"/>
        <v>Medium</v>
      </c>
    </row>
    <row r="58" spans="1:11">
      <c r="B58" s="7">
        <v>46222</v>
      </c>
      <c r="C58" s="6" t="s">
        <v>8</v>
      </c>
      <c r="D58" s="6">
        <v>22</v>
      </c>
      <c r="E58" s="6" t="s">
        <v>9</v>
      </c>
      <c r="F58" s="6" t="s">
        <v>13</v>
      </c>
      <c r="G58" s="8">
        <v>586.78</v>
      </c>
      <c r="H58" s="6" t="str">
        <f t="shared" si="0"/>
        <v>Male</v>
      </c>
      <c r="I58" s="6" t="str">
        <f t="shared" si="1"/>
        <v>Mogadishu</v>
      </c>
      <c r="J58" s="6" t="str">
        <f t="shared" si="2"/>
        <v>Teacher</v>
      </c>
      <c r="K58" s="6" t="str">
        <f t="shared" si="3"/>
        <v>Low</v>
      </c>
    </row>
    <row r="59" spans="1:11">
      <c r="A59" s="6" t="s">
        <v>76</v>
      </c>
      <c r="B59" s="7">
        <v>45744</v>
      </c>
      <c r="C59" s="6" t="s">
        <v>8</v>
      </c>
      <c r="D59" s="6">
        <v>39</v>
      </c>
      <c r="E59" s="6" t="s">
        <v>9</v>
      </c>
      <c r="F59" s="6" t="s">
        <v>21</v>
      </c>
      <c r="G59" s="8">
        <v>10013</v>
      </c>
      <c r="H59" s="6" t="str">
        <f t="shared" si="0"/>
        <v>Male</v>
      </c>
      <c r="I59" s="6" t="str">
        <f t="shared" si="1"/>
        <v>Mogadishu</v>
      </c>
      <c r="J59" s="6" t="str">
        <f t="shared" si="2"/>
        <v>Self-Employed</v>
      </c>
      <c r="K59" s="6" t="str">
        <f t="shared" si="3"/>
        <v>High</v>
      </c>
    </row>
    <row r="60" spans="1:11">
      <c r="A60" s="6" t="s">
        <v>77</v>
      </c>
      <c r="B60" s="7">
        <v>45884</v>
      </c>
      <c r="C60" s="6" t="s">
        <v>8</v>
      </c>
      <c r="D60" s="6">
        <v>21</v>
      </c>
      <c r="E60" s="6" t="s">
        <v>12</v>
      </c>
      <c r="F60" s="6" t="s">
        <v>44</v>
      </c>
      <c r="G60" s="8">
        <v>1429.26</v>
      </c>
      <c r="H60" s="6" t="str">
        <f t="shared" si="0"/>
        <v>Male</v>
      </c>
      <c r="I60" s="6" t="str">
        <f t="shared" si="1"/>
        <v>Baidoa</v>
      </c>
      <c r="J60" s="6" t="str">
        <f t="shared" si="2"/>
        <v>Engineer</v>
      </c>
      <c r="K60" s="6" t="str">
        <f t="shared" si="3"/>
        <v>Medium</v>
      </c>
    </row>
    <row r="61" spans="1:11">
      <c r="A61" s="6" t="s">
        <v>78</v>
      </c>
      <c r="B61" s="7">
        <v>45822</v>
      </c>
      <c r="C61" s="6" t="s">
        <v>8</v>
      </c>
      <c r="D61" s="6">
        <v>68</v>
      </c>
      <c r="E61" s="6" t="s">
        <v>9</v>
      </c>
      <c r="F61" s="6" t="s">
        <v>13</v>
      </c>
      <c r="G61" s="8">
        <v>870.42</v>
      </c>
      <c r="H61" s="6" t="str">
        <f t="shared" si="0"/>
        <v>Male</v>
      </c>
      <c r="I61" s="6" t="str">
        <f t="shared" si="1"/>
        <v>Mogadishu</v>
      </c>
      <c r="J61" s="6" t="str">
        <f t="shared" si="2"/>
        <v>Teacher</v>
      </c>
      <c r="K61" s="6" t="str">
        <f t="shared" si="3"/>
        <v>Medium</v>
      </c>
    </row>
    <row r="62" spans="1:11">
      <c r="A62" s="6" t="s">
        <v>79</v>
      </c>
      <c r="B62" s="7">
        <v>45703</v>
      </c>
      <c r="C62" s="6" t="s">
        <v>8</v>
      </c>
      <c r="D62" s="6">
        <v>52</v>
      </c>
      <c r="E62" s="6" t="s">
        <v>15</v>
      </c>
      <c r="F62" s="6" t="s">
        <v>21</v>
      </c>
      <c r="G62" s="8">
        <v>1214.6199999999999</v>
      </c>
      <c r="H62" s="6" t="str">
        <f t="shared" si="0"/>
        <v>Male</v>
      </c>
      <c r="I62" s="6" t="str">
        <f t="shared" si="1"/>
        <v>Hargeisa</v>
      </c>
      <c r="J62" s="6" t="str">
        <f t="shared" si="2"/>
        <v>Self-Employed</v>
      </c>
      <c r="K62" s="6" t="str">
        <f t="shared" si="3"/>
        <v>Medium</v>
      </c>
    </row>
    <row r="63" spans="1:11">
      <c r="A63" s="6" t="s">
        <v>80</v>
      </c>
      <c r="B63" s="7">
        <v>45978</v>
      </c>
      <c r="C63" s="6" t="s">
        <v>312</v>
      </c>
      <c r="D63" s="6">
        <v>26</v>
      </c>
      <c r="E63" s="6" t="s">
        <v>12</v>
      </c>
      <c r="F63" s="6" t="s">
        <v>44</v>
      </c>
      <c r="G63" s="8">
        <v>1045.8599999999999</v>
      </c>
      <c r="H63" s="6" t="str">
        <f t="shared" si="0"/>
        <v>Missing</v>
      </c>
      <c r="I63" s="6" t="str">
        <f t="shared" si="1"/>
        <v>Baidoa</v>
      </c>
      <c r="J63" s="6" t="str">
        <f t="shared" si="2"/>
        <v>Engineer</v>
      </c>
      <c r="K63" s="6" t="str">
        <f t="shared" si="3"/>
        <v>Medium</v>
      </c>
    </row>
    <row r="64" spans="1:11">
      <c r="A64" s="6" t="s">
        <v>81</v>
      </c>
      <c r="B64" s="7">
        <v>45881</v>
      </c>
      <c r="C64" s="6" t="s">
        <v>8</v>
      </c>
      <c r="D64" s="6">
        <v>25</v>
      </c>
      <c r="E64" s="6" t="s">
        <v>9</v>
      </c>
      <c r="F64" s="6" t="s">
        <v>13</v>
      </c>
      <c r="G64" s="8">
        <v>665.8</v>
      </c>
      <c r="H64" s="6" t="str">
        <f t="shared" si="0"/>
        <v>Male</v>
      </c>
      <c r="I64" s="6" t="str">
        <f t="shared" si="1"/>
        <v>Mogadishu</v>
      </c>
      <c r="J64" s="6" t="str">
        <f t="shared" si="2"/>
        <v>Teacher</v>
      </c>
      <c r="K64" s="6" t="str">
        <f t="shared" si="3"/>
        <v>Low</v>
      </c>
    </row>
    <row r="65" spans="1:11">
      <c r="A65" s="6" t="s">
        <v>82</v>
      </c>
      <c r="B65" s="7">
        <v>45772</v>
      </c>
      <c r="C65" s="6" t="s">
        <v>8</v>
      </c>
      <c r="D65" s="6">
        <v>25</v>
      </c>
      <c r="E65" s="6" t="s">
        <v>9</v>
      </c>
      <c r="F65" s="6" t="s">
        <v>30</v>
      </c>
      <c r="G65" s="8">
        <v>930.93</v>
      </c>
      <c r="H65" s="6" t="str">
        <f t="shared" si="0"/>
        <v>Male</v>
      </c>
      <c r="I65" s="6" t="str">
        <f t="shared" si="1"/>
        <v>Mogadishu</v>
      </c>
      <c r="J65" s="6" t="str">
        <f t="shared" si="2"/>
        <v>Business Owner</v>
      </c>
      <c r="K65" s="6" t="str">
        <f t="shared" si="3"/>
        <v>Medium</v>
      </c>
    </row>
    <row r="66" spans="1:11">
      <c r="A66" s="6" t="s">
        <v>83</v>
      </c>
      <c r="B66" s="7">
        <v>45678</v>
      </c>
      <c r="C66" s="6" t="s">
        <v>8</v>
      </c>
      <c r="D66" s="6">
        <v>53</v>
      </c>
      <c r="E66" s="6" t="s">
        <v>15</v>
      </c>
      <c r="F66" s="6" t="s">
        <v>44</v>
      </c>
      <c r="G66" s="8">
        <v>926.65</v>
      </c>
      <c r="H66" s="6" t="str">
        <f t="shared" si="0"/>
        <v>Male</v>
      </c>
      <c r="I66" s="6" t="str">
        <f t="shared" si="1"/>
        <v>Hargeisa</v>
      </c>
      <c r="J66" s="6" t="str">
        <f t="shared" si="2"/>
        <v>Engineer</v>
      </c>
      <c r="K66" s="6" t="str">
        <f t="shared" si="3"/>
        <v>Medium</v>
      </c>
    </row>
    <row r="67" spans="1:11">
      <c r="A67" s="6" t="s">
        <v>84</v>
      </c>
      <c r="B67" s="7">
        <v>45742</v>
      </c>
      <c r="C67" s="6" t="s">
        <v>17</v>
      </c>
      <c r="D67" s="6">
        <v>22</v>
      </c>
      <c r="E67" s="6" t="s">
        <v>15</v>
      </c>
      <c r="F67" s="6" t="s">
        <v>30</v>
      </c>
      <c r="G67" s="8">
        <v>1984.53</v>
      </c>
      <c r="H67" s="6" t="str">
        <f t="shared" ref="H67:H130" si="4">PROPER(TRIM(C67))</f>
        <v>Female</v>
      </c>
      <c r="I67" s="6" t="str">
        <f t="shared" ref="I67:I130" si="5">PROPER(TRIM(E67))</f>
        <v>Hargeisa</v>
      </c>
      <c r="J67" s="6" t="str">
        <f t="shared" ref="J67:J130" si="6">PROPER(TRIM(SUBSTITUTE(F67,"CS","Civil Servant")))</f>
        <v>Business Owner</v>
      </c>
      <c r="K67" s="6" t="str">
        <f t="shared" ref="K67:K130" si="7">IF(G67&gt;=1500,"High",IF(G67&gt;=800,"Medium","Low"))</f>
        <v>High</v>
      </c>
    </row>
    <row r="68" spans="1:11">
      <c r="A68" s="6" t="s">
        <v>85</v>
      </c>
      <c r="B68" s="7">
        <v>46133</v>
      </c>
      <c r="C68" s="6" t="s">
        <v>17</v>
      </c>
      <c r="D68" s="6">
        <v>46</v>
      </c>
      <c r="E68" s="6" t="s">
        <v>15</v>
      </c>
      <c r="F68" s="6" t="s">
        <v>18</v>
      </c>
      <c r="G68" s="8">
        <v>116.1</v>
      </c>
      <c r="H68" s="6" t="str">
        <f t="shared" si="4"/>
        <v>Female</v>
      </c>
      <c r="I68" s="6" t="str">
        <f t="shared" si="5"/>
        <v>Hargeisa</v>
      </c>
      <c r="J68" s="6" t="str">
        <f t="shared" si="6"/>
        <v>Student</v>
      </c>
      <c r="K68" s="6" t="str">
        <f t="shared" si="7"/>
        <v>Low</v>
      </c>
    </row>
    <row r="69" spans="1:11">
      <c r="A69" s="6" t="s">
        <v>86</v>
      </c>
      <c r="B69" s="7">
        <v>45665</v>
      </c>
      <c r="C69" s="6" t="s">
        <v>8</v>
      </c>
      <c r="D69" s="6">
        <v>66</v>
      </c>
      <c r="E69" s="6" t="s">
        <v>15</v>
      </c>
      <c r="F69" s="6" t="s">
        <v>30</v>
      </c>
      <c r="G69" s="8">
        <v>1964.48</v>
      </c>
      <c r="H69" s="6" t="str">
        <f t="shared" si="4"/>
        <v>Male</v>
      </c>
      <c r="I69" s="6" t="str">
        <f t="shared" si="5"/>
        <v>Hargeisa</v>
      </c>
      <c r="J69" s="6" t="str">
        <f t="shared" si="6"/>
        <v>Business Owner</v>
      </c>
      <c r="K69" s="6" t="str">
        <f t="shared" si="7"/>
        <v>High</v>
      </c>
    </row>
    <row r="70" spans="1:11">
      <c r="A70" s="6" t="s">
        <v>87</v>
      </c>
      <c r="B70" s="7">
        <v>45918</v>
      </c>
      <c r="C70" s="6" t="s">
        <v>17</v>
      </c>
      <c r="D70" s="6">
        <v>40</v>
      </c>
      <c r="E70" s="6" t="s">
        <v>39</v>
      </c>
      <c r="F70" s="6" t="s">
        <v>30</v>
      </c>
      <c r="G70" s="8">
        <v>677.55</v>
      </c>
      <c r="H70" s="6" t="str">
        <f t="shared" si="4"/>
        <v>Female</v>
      </c>
      <c r="I70" s="6" t="str">
        <f t="shared" si="5"/>
        <v>Kismayo</v>
      </c>
      <c r="J70" s="6" t="str">
        <f t="shared" si="6"/>
        <v>Business Owner</v>
      </c>
      <c r="K70" s="6" t="str">
        <f t="shared" si="7"/>
        <v>Low</v>
      </c>
    </row>
    <row r="71" spans="1:11">
      <c r="B71" s="7">
        <v>46060</v>
      </c>
      <c r="C71" s="6" t="s">
        <v>8</v>
      </c>
      <c r="D71" s="6">
        <v>23</v>
      </c>
      <c r="E71" s="6" t="s">
        <v>39</v>
      </c>
      <c r="F71" s="6" t="s">
        <v>23</v>
      </c>
      <c r="G71" s="8">
        <v>528.86</v>
      </c>
      <c r="H71" s="6" t="str">
        <f t="shared" si="4"/>
        <v>Male</v>
      </c>
      <c r="I71" s="6" t="str">
        <f t="shared" si="5"/>
        <v>Kismayo</v>
      </c>
      <c r="J71" s="6" t="str">
        <f t="shared" si="6"/>
        <v>Civil Servant</v>
      </c>
      <c r="K71" s="6" t="str">
        <f t="shared" si="7"/>
        <v>Low</v>
      </c>
    </row>
    <row r="72" spans="1:11">
      <c r="A72" s="6" t="s">
        <v>88</v>
      </c>
      <c r="B72" s="7">
        <v>46048</v>
      </c>
      <c r="C72" s="6" t="s">
        <v>17</v>
      </c>
      <c r="D72" s="6">
        <v>47</v>
      </c>
      <c r="E72" s="6" t="s">
        <v>312</v>
      </c>
      <c r="F72" s="6" t="s">
        <v>21</v>
      </c>
      <c r="G72" s="8">
        <v>728.06</v>
      </c>
      <c r="H72" s="6" t="str">
        <f t="shared" si="4"/>
        <v>Female</v>
      </c>
      <c r="I72" s="6" t="str">
        <f t="shared" si="5"/>
        <v>Missing</v>
      </c>
      <c r="J72" s="6" t="str">
        <f t="shared" si="6"/>
        <v>Self-Employed</v>
      </c>
      <c r="K72" s="6" t="str">
        <f t="shared" si="7"/>
        <v>Low</v>
      </c>
    </row>
    <row r="73" spans="1:11">
      <c r="A73" s="6" t="s">
        <v>89</v>
      </c>
      <c r="B73" s="7">
        <v>45858</v>
      </c>
      <c r="C73" s="6" t="s">
        <v>17</v>
      </c>
      <c r="D73" s="6">
        <v>64</v>
      </c>
      <c r="E73" s="6" t="s">
        <v>9</v>
      </c>
      <c r="F73" s="6" t="s">
        <v>44</v>
      </c>
      <c r="G73" s="8">
        <v>1421.07</v>
      </c>
      <c r="H73" s="6" t="str">
        <f t="shared" si="4"/>
        <v>Female</v>
      </c>
      <c r="I73" s="6" t="str">
        <f t="shared" si="5"/>
        <v>Mogadishu</v>
      </c>
      <c r="J73" s="6" t="str">
        <f t="shared" si="6"/>
        <v>Engineer</v>
      </c>
      <c r="K73" s="6" t="str">
        <f t="shared" si="7"/>
        <v>Medium</v>
      </c>
    </row>
    <row r="74" spans="1:11">
      <c r="A74" s="6" t="s">
        <v>90</v>
      </c>
      <c r="B74" s="7" t="s">
        <v>312</v>
      </c>
      <c r="C74" s="6" t="s">
        <v>8</v>
      </c>
      <c r="D74" s="6">
        <v>70</v>
      </c>
      <c r="E74" s="6" t="s">
        <v>20</v>
      </c>
      <c r="F74" s="6" t="s">
        <v>30</v>
      </c>
      <c r="G74" s="8">
        <v>1249.32</v>
      </c>
      <c r="H74" s="6" t="str">
        <f t="shared" si="4"/>
        <v>Male</v>
      </c>
      <c r="I74" s="6" t="str">
        <f t="shared" si="5"/>
        <v>Bosaso</v>
      </c>
      <c r="J74" s="6" t="str">
        <f t="shared" si="6"/>
        <v>Business Owner</v>
      </c>
      <c r="K74" s="6" t="str">
        <f t="shared" si="7"/>
        <v>Medium</v>
      </c>
    </row>
    <row r="75" spans="1:11">
      <c r="A75" s="6" t="s">
        <v>91</v>
      </c>
      <c r="B75" s="7">
        <v>45942</v>
      </c>
      <c r="C75" s="6" t="s">
        <v>312</v>
      </c>
      <c r="D75" s="6">
        <v>24</v>
      </c>
      <c r="E75" s="6" t="s">
        <v>20</v>
      </c>
      <c r="F75" s="6" t="s">
        <v>44</v>
      </c>
      <c r="G75" s="8">
        <v>1155.95</v>
      </c>
      <c r="H75" s="6" t="str">
        <f t="shared" si="4"/>
        <v>Missing</v>
      </c>
      <c r="I75" s="6" t="str">
        <f t="shared" si="5"/>
        <v>Bosaso</v>
      </c>
      <c r="J75" s="6" t="str">
        <f t="shared" si="6"/>
        <v>Engineer</v>
      </c>
      <c r="K75" s="6" t="str">
        <f t="shared" si="7"/>
        <v>Medium</v>
      </c>
    </row>
    <row r="76" spans="1:11">
      <c r="A76" s="6" t="s">
        <v>92</v>
      </c>
      <c r="B76" s="7">
        <v>45991</v>
      </c>
      <c r="C76" s="6" t="s">
        <v>8</v>
      </c>
      <c r="D76" s="6">
        <v>41</v>
      </c>
      <c r="E76" s="6" t="s">
        <v>9</v>
      </c>
      <c r="F76" s="6" t="s">
        <v>13</v>
      </c>
      <c r="G76" s="8">
        <v>374.63</v>
      </c>
      <c r="H76" s="6" t="str">
        <f t="shared" si="4"/>
        <v>Male</v>
      </c>
      <c r="I76" s="6" t="str">
        <f t="shared" si="5"/>
        <v>Mogadishu</v>
      </c>
      <c r="J76" s="6" t="str">
        <f t="shared" si="6"/>
        <v>Teacher</v>
      </c>
      <c r="K76" s="6" t="str">
        <f t="shared" si="7"/>
        <v>Low</v>
      </c>
    </row>
    <row r="77" spans="1:11">
      <c r="A77" s="6" t="s">
        <v>93</v>
      </c>
      <c r="B77" s="7">
        <v>46093</v>
      </c>
      <c r="C77" s="6" t="s">
        <v>17</v>
      </c>
      <c r="D77" s="6">
        <v>52</v>
      </c>
      <c r="E77" s="6" t="s">
        <v>9</v>
      </c>
      <c r="F77" s="6" t="s">
        <v>313</v>
      </c>
      <c r="G77" s="8">
        <v>216.93</v>
      </c>
      <c r="H77" s="6" t="str">
        <f t="shared" si="4"/>
        <v>Female</v>
      </c>
      <c r="I77" s="6" t="str">
        <f t="shared" si="5"/>
        <v>Mogadishu</v>
      </c>
      <c r="J77" s="6" t="str">
        <f t="shared" si="6"/>
        <v>Missing</v>
      </c>
      <c r="K77" s="6" t="str">
        <f t="shared" si="7"/>
        <v>Low</v>
      </c>
    </row>
    <row r="78" spans="1:11">
      <c r="A78" s="6" t="s">
        <v>94</v>
      </c>
      <c r="B78" s="7">
        <v>45771</v>
      </c>
      <c r="C78" s="6" t="s">
        <v>8</v>
      </c>
      <c r="D78" s="6">
        <v>38</v>
      </c>
      <c r="E78" s="6" t="s">
        <v>9</v>
      </c>
      <c r="F78" s="6" t="s">
        <v>13</v>
      </c>
      <c r="G78" s="8">
        <v>680.77</v>
      </c>
      <c r="H78" s="6" t="str">
        <f t="shared" si="4"/>
        <v>Male</v>
      </c>
      <c r="I78" s="6" t="str">
        <f t="shared" si="5"/>
        <v>Mogadishu</v>
      </c>
      <c r="J78" s="6" t="str">
        <f t="shared" si="6"/>
        <v>Teacher</v>
      </c>
      <c r="K78" s="6" t="str">
        <f t="shared" si="7"/>
        <v>Low</v>
      </c>
    </row>
    <row r="79" spans="1:11">
      <c r="A79" s="6" t="s">
        <v>95</v>
      </c>
      <c r="B79" s="7">
        <v>45966</v>
      </c>
      <c r="C79" s="6" t="s">
        <v>17</v>
      </c>
      <c r="D79" s="6">
        <v>20</v>
      </c>
      <c r="E79" s="6" t="s">
        <v>20</v>
      </c>
      <c r="F79" s="6" t="s">
        <v>21</v>
      </c>
      <c r="G79" s="8">
        <v>1234.8800000000001</v>
      </c>
      <c r="H79" s="6" t="str">
        <f t="shared" si="4"/>
        <v>Female</v>
      </c>
      <c r="I79" s="6" t="str">
        <f t="shared" si="5"/>
        <v>Bosaso</v>
      </c>
      <c r="J79" s="6" t="str">
        <f t="shared" si="6"/>
        <v>Self-Employed</v>
      </c>
      <c r="K79" s="6" t="str">
        <f t="shared" si="7"/>
        <v>Medium</v>
      </c>
    </row>
    <row r="80" spans="1:11">
      <c r="A80" s="6" t="s">
        <v>96</v>
      </c>
      <c r="B80" s="7">
        <v>45828</v>
      </c>
      <c r="C80" s="6" t="s">
        <v>8</v>
      </c>
      <c r="D80" s="6">
        <v>36</v>
      </c>
      <c r="E80" s="6" t="s">
        <v>9</v>
      </c>
      <c r="F80" s="6" t="s">
        <v>18</v>
      </c>
      <c r="G80" s="8">
        <v>256.8</v>
      </c>
      <c r="H80" s="6" t="str">
        <f t="shared" si="4"/>
        <v>Male</v>
      </c>
      <c r="I80" s="6" t="str">
        <f t="shared" si="5"/>
        <v>Mogadishu</v>
      </c>
      <c r="J80" s="6" t="str">
        <f t="shared" si="6"/>
        <v>Student</v>
      </c>
      <c r="K80" s="6" t="str">
        <f t="shared" si="7"/>
        <v>Low</v>
      </c>
    </row>
    <row r="81" spans="1:11">
      <c r="A81" s="6" t="s">
        <v>97</v>
      </c>
      <c r="B81" s="7">
        <v>46184</v>
      </c>
      <c r="C81" s="6" t="s">
        <v>8</v>
      </c>
      <c r="D81" s="6">
        <v>62</v>
      </c>
      <c r="E81" s="6" t="s">
        <v>74</v>
      </c>
      <c r="F81" s="6" t="s">
        <v>23</v>
      </c>
      <c r="G81" s="8">
        <v>595.70000000000005</v>
      </c>
      <c r="H81" s="6" t="str">
        <f t="shared" si="4"/>
        <v>Male</v>
      </c>
      <c r="I81" s="6" t="str">
        <f t="shared" si="5"/>
        <v>Garowe</v>
      </c>
      <c r="J81" s="6" t="str">
        <f t="shared" si="6"/>
        <v>Civil Servant</v>
      </c>
      <c r="K81" s="6" t="str">
        <f t="shared" si="7"/>
        <v>Low</v>
      </c>
    </row>
    <row r="82" spans="1:11">
      <c r="A82" s="6" t="s">
        <v>98</v>
      </c>
      <c r="B82" s="7">
        <v>45913</v>
      </c>
      <c r="C82" s="6" t="s">
        <v>17</v>
      </c>
      <c r="D82" s="6">
        <v>62</v>
      </c>
      <c r="E82" s="6" t="s">
        <v>9</v>
      </c>
      <c r="F82" s="6" t="s">
        <v>21</v>
      </c>
      <c r="G82" s="8">
        <v>1156.93</v>
      </c>
      <c r="H82" s="6" t="str">
        <f t="shared" si="4"/>
        <v>Female</v>
      </c>
      <c r="I82" s="6" t="str">
        <f t="shared" si="5"/>
        <v>Mogadishu</v>
      </c>
      <c r="J82" s="6" t="str">
        <f t="shared" si="6"/>
        <v>Self-Employed</v>
      </c>
      <c r="K82" s="6" t="str">
        <f t="shared" si="7"/>
        <v>Medium</v>
      </c>
    </row>
    <row r="83" spans="1:11">
      <c r="A83" s="6" t="s">
        <v>99</v>
      </c>
      <c r="B83" s="7">
        <v>45791</v>
      </c>
      <c r="C83" s="6" t="s">
        <v>8</v>
      </c>
      <c r="D83" s="6">
        <v>20</v>
      </c>
      <c r="E83" s="6" t="s">
        <v>9</v>
      </c>
      <c r="F83" s="6" t="s">
        <v>21</v>
      </c>
      <c r="G83" s="8">
        <v>895.53</v>
      </c>
      <c r="H83" s="6" t="str">
        <f t="shared" si="4"/>
        <v>Male</v>
      </c>
      <c r="I83" s="6" t="str">
        <f t="shared" si="5"/>
        <v>Mogadishu</v>
      </c>
      <c r="J83" s="6" t="str">
        <f t="shared" si="6"/>
        <v>Self-Employed</v>
      </c>
      <c r="K83" s="6" t="str">
        <f t="shared" si="7"/>
        <v>Medium</v>
      </c>
    </row>
    <row r="84" spans="1:11">
      <c r="A84" s="6" t="s">
        <v>100</v>
      </c>
      <c r="B84" s="7">
        <v>46001</v>
      </c>
      <c r="C84" s="6" t="s">
        <v>8</v>
      </c>
      <c r="D84" s="6">
        <v>55</v>
      </c>
      <c r="E84" s="6" t="s">
        <v>39</v>
      </c>
      <c r="F84" s="6" t="s">
        <v>44</v>
      </c>
      <c r="G84" s="8">
        <v>1229.76</v>
      </c>
      <c r="H84" s="6" t="str">
        <f t="shared" si="4"/>
        <v>Male</v>
      </c>
      <c r="I84" s="6" t="str">
        <f t="shared" si="5"/>
        <v>Kismayo</v>
      </c>
      <c r="J84" s="6" t="str">
        <f t="shared" si="6"/>
        <v>Engineer</v>
      </c>
      <c r="K84" s="6" t="str">
        <f t="shared" si="7"/>
        <v>Medium</v>
      </c>
    </row>
    <row r="85" spans="1:11">
      <c r="A85" s="6" t="s">
        <v>101</v>
      </c>
      <c r="B85" s="7">
        <v>45998</v>
      </c>
      <c r="C85" s="6" t="s">
        <v>17</v>
      </c>
      <c r="D85" s="6">
        <v>32</v>
      </c>
      <c r="E85" s="6" t="s">
        <v>9</v>
      </c>
      <c r="F85" s="6" t="s">
        <v>30</v>
      </c>
      <c r="G85" s="8">
        <v>1651.76</v>
      </c>
      <c r="H85" s="6" t="str">
        <f t="shared" si="4"/>
        <v>Female</v>
      </c>
      <c r="I85" s="6" t="str">
        <f t="shared" si="5"/>
        <v>Mogadishu</v>
      </c>
      <c r="J85" s="6" t="str">
        <f t="shared" si="6"/>
        <v>Business Owner</v>
      </c>
      <c r="K85" s="6" t="str">
        <f t="shared" si="7"/>
        <v>High</v>
      </c>
    </row>
    <row r="86" spans="1:11">
      <c r="A86" s="6" t="s">
        <v>102</v>
      </c>
      <c r="B86" s="7" t="s">
        <v>312</v>
      </c>
      <c r="C86" s="6" t="s">
        <v>17</v>
      </c>
      <c r="D86" s="6">
        <v>45</v>
      </c>
      <c r="E86" s="6" t="s">
        <v>74</v>
      </c>
      <c r="F86" s="6" t="s">
        <v>10</v>
      </c>
      <c r="G86" s="8">
        <v>978.74</v>
      </c>
      <c r="H86" s="6" t="str">
        <f t="shared" si="4"/>
        <v>Female</v>
      </c>
      <c r="I86" s="6" t="str">
        <f t="shared" si="5"/>
        <v>Garowe</v>
      </c>
      <c r="J86" s="6" t="str">
        <f t="shared" si="6"/>
        <v>Healthcare</v>
      </c>
      <c r="K86" s="6" t="str">
        <f t="shared" si="7"/>
        <v>Medium</v>
      </c>
    </row>
    <row r="87" spans="1:11">
      <c r="A87" s="6" t="s">
        <v>103</v>
      </c>
      <c r="B87" s="7" t="s">
        <v>312</v>
      </c>
      <c r="C87" s="6" t="s">
        <v>8</v>
      </c>
      <c r="D87" s="6">
        <v>46</v>
      </c>
      <c r="E87" s="6" t="s">
        <v>39</v>
      </c>
      <c r="F87" s="6" t="s">
        <v>13</v>
      </c>
      <c r="G87" s="8">
        <v>645.54999999999995</v>
      </c>
      <c r="H87" s="6" t="str">
        <f t="shared" si="4"/>
        <v>Male</v>
      </c>
      <c r="I87" s="6" t="str">
        <f t="shared" si="5"/>
        <v>Kismayo</v>
      </c>
      <c r="J87" s="6" t="str">
        <f t="shared" si="6"/>
        <v>Teacher</v>
      </c>
      <c r="K87" s="6" t="str">
        <f t="shared" si="7"/>
        <v>Low</v>
      </c>
    </row>
    <row r="88" spans="1:11">
      <c r="A88" s="6" t="s">
        <v>104</v>
      </c>
      <c r="B88" s="7">
        <v>45667</v>
      </c>
      <c r="C88" s="6" t="s">
        <v>8</v>
      </c>
      <c r="D88" s="6">
        <v>62</v>
      </c>
      <c r="E88" s="6" t="s">
        <v>9</v>
      </c>
      <c r="F88" s="6" t="s">
        <v>44</v>
      </c>
      <c r="G88" s="8">
        <v>881.22</v>
      </c>
      <c r="H88" s="6" t="str">
        <f t="shared" si="4"/>
        <v>Male</v>
      </c>
      <c r="I88" s="6" t="str">
        <f t="shared" si="5"/>
        <v>Mogadishu</v>
      </c>
      <c r="J88" s="6" t="str">
        <f t="shared" si="6"/>
        <v>Engineer</v>
      </c>
      <c r="K88" s="6" t="str">
        <f t="shared" si="7"/>
        <v>Medium</v>
      </c>
    </row>
    <row r="89" spans="1:11">
      <c r="A89" s="6" t="s">
        <v>105</v>
      </c>
      <c r="B89" s="7">
        <v>46109</v>
      </c>
      <c r="C89" s="6" t="s">
        <v>17</v>
      </c>
      <c r="D89" s="6">
        <v>63</v>
      </c>
      <c r="E89" s="6" t="s">
        <v>20</v>
      </c>
      <c r="F89" s="6" t="s">
        <v>30</v>
      </c>
      <c r="G89" s="8">
        <v>1127.6500000000001</v>
      </c>
      <c r="H89" s="6" t="str">
        <f t="shared" si="4"/>
        <v>Female</v>
      </c>
      <c r="I89" s="6" t="str">
        <f t="shared" si="5"/>
        <v>Bosaso</v>
      </c>
      <c r="J89" s="6" t="str">
        <f t="shared" si="6"/>
        <v>Business Owner</v>
      </c>
      <c r="K89" s="6" t="str">
        <f t="shared" si="7"/>
        <v>Medium</v>
      </c>
    </row>
    <row r="90" spans="1:11">
      <c r="A90" s="6" t="s">
        <v>106</v>
      </c>
      <c r="B90" s="7">
        <v>46187</v>
      </c>
      <c r="C90" s="6" t="s">
        <v>8</v>
      </c>
      <c r="D90" s="6">
        <v>32</v>
      </c>
      <c r="E90" s="6" t="s">
        <v>39</v>
      </c>
      <c r="F90" s="6" t="s">
        <v>18</v>
      </c>
      <c r="G90" s="8">
        <v>201.16</v>
      </c>
      <c r="H90" s="6" t="str">
        <f t="shared" si="4"/>
        <v>Male</v>
      </c>
      <c r="I90" s="6" t="str">
        <f t="shared" si="5"/>
        <v>Kismayo</v>
      </c>
      <c r="J90" s="6" t="str">
        <f t="shared" si="6"/>
        <v>Student</v>
      </c>
      <c r="K90" s="6" t="str">
        <f t="shared" si="7"/>
        <v>Low</v>
      </c>
    </row>
    <row r="91" spans="1:11">
      <c r="A91" s="6" t="s">
        <v>107</v>
      </c>
      <c r="B91" s="7" t="s">
        <v>312</v>
      </c>
      <c r="C91" s="6" t="s">
        <v>17</v>
      </c>
      <c r="D91" s="6">
        <v>55</v>
      </c>
      <c r="E91" s="6" t="s">
        <v>9</v>
      </c>
      <c r="F91" s="6" t="s">
        <v>23</v>
      </c>
      <c r="G91" s="8">
        <v>618.42999999999995</v>
      </c>
      <c r="H91" s="6" t="str">
        <f t="shared" si="4"/>
        <v>Female</v>
      </c>
      <c r="I91" s="6" t="str">
        <f t="shared" si="5"/>
        <v>Mogadishu</v>
      </c>
      <c r="J91" s="6" t="str">
        <f t="shared" si="6"/>
        <v>Civil Servant</v>
      </c>
      <c r="K91" s="6" t="str">
        <f t="shared" si="7"/>
        <v>Low</v>
      </c>
    </row>
    <row r="92" spans="1:11">
      <c r="A92" s="6" t="s">
        <v>108</v>
      </c>
      <c r="B92" s="7" t="s">
        <v>312</v>
      </c>
      <c r="C92" s="6" t="s">
        <v>17</v>
      </c>
      <c r="D92" s="6">
        <v>48</v>
      </c>
      <c r="E92" s="6" t="s">
        <v>74</v>
      </c>
      <c r="F92" s="6" t="s">
        <v>23</v>
      </c>
      <c r="G92" s="8">
        <v>759.9</v>
      </c>
      <c r="H92" s="6" t="str">
        <f t="shared" si="4"/>
        <v>Female</v>
      </c>
      <c r="I92" s="6" t="str">
        <f t="shared" si="5"/>
        <v>Garowe</v>
      </c>
      <c r="J92" s="6" t="str">
        <f t="shared" si="6"/>
        <v>Civil Servant</v>
      </c>
      <c r="K92" s="6" t="str">
        <f t="shared" si="7"/>
        <v>Low</v>
      </c>
    </row>
    <row r="93" spans="1:11">
      <c r="A93" s="6" t="s">
        <v>109</v>
      </c>
      <c r="B93" s="7">
        <v>45928</v>
      </c>
      <c r="C93" s="6" t="s">
        <v>17</v>
      </c>
      <c r="D93" s="6">
        <v>61</v>
      </c>
      <c r="E93" s="6" t="s">
        <v>15</v>
      </c>
      <c r="F93" s="6" t="s">
        <v>313</v>
      </c>
      <c r="G93" s="8">
        <v>667.7</v>
      </c>
      <c r="H93" s="6" t="str">
        <f t="shared" si="4"/>
        <v>Female</v>
      </c>
      <c r="I93" s="6" t="str">
        <f t="shared" si="5"/>
        <v>Hargeisa</v>
      </c>
      <c r="J93" s="6" t="str">
        <f t="shared" si="6"/>
        <v>Missing</v>
      </c>
      <c r="K93" s="6" t="str">
        <f t="shared" si="7"/>
        <v>Low</v>
      </c>
    </row>
    <row r="94" spans="1:11">
      <c r="A94" s="6" t="s">
        <v>110</v>
      </c>
      <c r="B94" s="7">
        <v>45778</v>
      </c>
      <c r="C94" s="6" t="s">
        <v>17</v>
      </c>
      <c r="D94" s="6">
        <v>38</v>
      </c>
      <c r="E94" s="6" t="s">
        <v>312</v>
      </c>
      <c r="F94" s="6" t="s">
        <v>13</v>
      </c>
      <c r="G94" s="8">
        <v>752.98</v>
      </c>
      <c r="H94" s="6" t="str">
        <f t="shared" si="4"/>
        <v>Female</v>
      </c>
      <c r="I94" s="6" t="str">
        <f t="shared" si="5"/>
        <v>Missing</v>
      </c>
      <c r="J94" s="6" t="str">
        <f t="shared" si="6"/>
        <v>Teacher</v>
      </c>
      <c r="K94" s="6" t="str">
        <f t="shared" si="7"/>
        <v>Low</v>
      </c>
    </row>
    <row r="95" spans="1:11">
      <c r="A95" s="6" t="s">
        <v>111</v>
      </c>
      <c r="B95" s="7">
        <v>45673</v>
      </c>
      <c r="C95" s="6" t="s">
        <v>8</v>
      </c>
      <c r="D95" s="6">
        <v>43</v>
      </c>
      <c r="E95" s="6" t="s">
        <v>15</v>
      </c>
      <c r="F95" s="6" t="s">
        <v>18</v>
      </c>
      <c r="G95" s="8">
        <v>127.29</v>
      </c>
      <c r="H95" s="6" t="str">
        <f t="shared" si="4"/>
        <v>Male</v>
      </c>
      <c r="I95" s="6" t="str">
        <f t="shared" si="5"/>
        <v>Hargeisa</v>
      </c>
      <c r="J95" s="6" t="str">
        <f t="shared" si="6"/>
        <v>Student</v>
      </c>
      <c r="K95" s="6" t="str">
        <f t="shared" si="7"/>
        <v>Low</v>
      </c>
    </row>
    <row r="96" spans="1:11">
      <c r="A96" s="6" t="s">
        <v>112</v>
      </c>
      <c r="B96" s="7">
        <v>45968</v>
      </c>
      <c r="C96" s="6" t="s">
        <v>17</v>
      </c>
      <c r="D96" s="6">
        <v>32</v>
      </c>
      <c r="E96" s="6" t="s">
        <v>9</v>
      </c>
      <c r="F96" s="6" t="s">
        <v>21</v>
      </c>
      <c r="G96" s="8">
        <v>790.7</v>
      </c>
      <c r="H96" s="6" t="str">
        <f t="shared" si="4"/>
        <v>Female</v>
      </c>
      <c r="I96" s="6" t="str">
        <f t="shared" si="5"/>
        <v>Mogadishu</v>
      </c>
      <c r="J96" s="6" t="str">
        <f t="shared" si="6"/>
        <v>Self-Employed</v>
      </c>
      <c r="K96" s="6" t="str">
        <f t="shared" si="7"/>
        <v>Low</v>
      </c>
    </row>
    <row r="97" spans="1:11">
      <c r="A97" s="6" t="s">
        <v>113</v>
      </c>
      <c r="B97" s="7" t="s">
        <v>312</v>
      </c>
      <c r="C97" s="6" t="s">
        <v>17</v>
      </c>
      <c r="D97" s="6">
        <v>44</v>
      </c>
      <c r="E97" s="6" t="s">
        <v>74</v>
      </c>
      <c r="F97" s="6" t="s">
        <v>23</v>
      </c>
      <c r="G97" s="8">
        <v>661.71</v>
      </c>
      <c r="H97" s="6" t="str">
        <f t="shared" si="4"/>
        <v>Female</v>
      </c>
      <c r="I97" s="6" t="str">
        <f t="shared" si="5"/>
        <v>Garowe</v>
      </c>
      <c r="J97" s="6" t="str">
        <f t="shared" si="6"/>
        <v>Civil Servant</v>
      </c>
      <c r="K97" s="6" t="str">
        <f t="shared" si="7"/>
        <v>Low</v>
      </c>
    </row>
    <row r="98" spans="1:11">
      <c r="A98" s="6" t="s">
        <v>115</v>
      </c>
      <c r="B98" s="7">
        <v>45877</v>
      </c>
      <c r="C98" s="6" t="s">
        <v>17</v>
      </c>
      <c r="D98" s="6">
        <v>29</v>
      </c>
      <c r="E98" s="6" t="s">
        <v>9</v>
      </c>
      <c r="F98" s="6" t="s">
        <v>18</v>
      </c>
      <c r="G98" s="8">
        <v>923.87</v>
      </c>
      <c r="H98" s="6" t="str">
        <f t="shared" si="4"/>
        <v>Female</v>
      </c>
      <c r="I98" s="6" t="str">
        <f t="shared" si="5"/>
        <v>Mogadishu</v>
      </c>
      <c r="J98" s="6" t="str">
        <f t="shared" si="6"/>
        <v>Student</v>
      </c>
      <c r="K98" s="6" t="str">
        <f t="shared" si="7"/>
        <v>Medium</v>
      </c>
    </row>
    <row r="99" spans="1:11">
      <c r="A99" s="6" t="s">
        <v>116</v>
      </c>
      <c r="B99" s="7">
        <v>45874</v>
      </c>
      <c r="C99" s="6" t="s">
        <v>8</v>
      </c>
      <c r="D99" s="6">
        <v>45</v>
      </c>
      <c r="E99" s="6" t="s">
        <v>9</v>
      </c>
      <c r="F99" s="6" t="s">
        <v>23</v>
      </c>
      <c r="G99" s="8">
        <v>839.71</v>
      </c>
      <c r="H99" s="6" t="str">
        <f t="shared" si="4"/>
        <v>Male</v>
      </c>
      <c r="I99" s="6" t="str">
        <f t="shared" si="5"/>
        <v>Mogadishu</v>
      </c>
      <c r="J99" s="6" t="str">
        <f t="shared" si="6"/>
        <v>Civil Servant</v>
      </c>
      <c r="K99" s="6" t="str">
        <f t="shared" si="7"/>
        <v>Medium</v>
      </c>
    </row>
    <row r="100" spans="1:11">
      <c r="A100" s="6" t="s">
        <v>117</v>
      </c>
      <c r="B100" s="7">
        <v>46228</v>
      </c>
      <c r="C100" s="6" t="s">
        <v>8</v>
      </c>
      <c r="D100" s="6">
        <v>62</v>
      </c>
      <c r="E100" s="6" t="s">
        <v>15</v>
      </c>
      <c r="F100" s="6" t="s">
        <v>44</v>
      </c>
      <c r="G100" s="8">
        <v>632.38</v>
      </c>
      <c r="H100" s="6" t="str">
        <f t="shared" si="4"/>
        <v>Male</v>
      </c>
      <c r="I100" s="6" t="str">
        <f t="shared" si="5"/>
        <v>Hargeisa</v>
      </c>
      <c r="J100" s="6" t="str">
        <f t="shared" si="6"/>
        <v>Engineer</v>
      </c>
      <c r="K100" s="6" t="str">
        <f t="shared" si="7"/>
        <v>Low</v>
      </c>
    </row>
    <row r="101" spans="1:11">
      <c r="A101" s="6" t="s">
        <v>118</v>
      </c>
      <c r="B101" s="7">
        <v>45723</v>
      </c>
      <c r="C101" s="6" t="s">
        <v>312</v>
      </c>
      <c r="D101" s="6">
        <v>59</v>
      </c>
      <c r="E101" s="6" t="s">
        <v>15</v>
      </c>
      <c r="F101" s="6" t="s">
        <v>21</v>
      </c>
      <c r="G101" s="8">
        <v>952.9</v>
      </c>
      <c r="H101" s="6" t="str">
        <f t="shared" si="4"/>
        <v>Missing</v>
      </c>
      <c r="I101" s="6" t="str">
        <f t="shared" si="5"/>
        <v>Hargeisa</v>
      </c>
      <c r="J101" s="6" t="str">
        <f t="shared" si="6"/>
        <v>Self-Employed</v>
      </c>
      <c r="K101" s="6" t="str">
        <f t="shared" si="7"/>
        <v>Medium</v>
      </c>
    </row>
    <row r="102" spans="1:11">
      <c r="A102" s="6" t="s">
        <v>119</v>
      </c>
      <c r="B102" s="7">
        <v>45951</v>
      </c>
      <c r="C102" s="6" t="s">
        <v>17</v>
      </c>
      <c r="D102" s="6">
        <v>26</v>
      </c>
      <c r="E102" s="6" t="s">
        <v>9</v>
      </c>
      <c r="F102" s="6" t="s">
        <v>13</v>
      </c>
      <c r="G102" s="8">
        <v>896.23</v>
      </c>
      <c r="H102" s="6" t="str">
        <f t="shared" si="4"/>
        <v>Female</v>
      </c>
      <c r="I102" s="6" t="str">
        <f t="shared" si="5"/>
        <v>Mogadishu</v>
      </c>
      <c r="J102" s="6" t="str">
        <f t="shared" si="6"/>
        <v>Teacher</v>
      </c>
      <c r="K102" s="6" t="str">
        <f t="shared" si="7"/>
        <v>Medium</v>
      </c>
    </row>
    <row r="103" spans="1:11">
      <c r="A103" s="6" t="s">
        <v>120</v>
      </c>
      <c r="B103" s="7">
        <v>45767</v>
      </c>
      <c r="C103" s="6" t="s">
        <v>8</v>
      </c>
      <c r="D103" s="6">
        <v>37</v>
      </c>
      <c r="E103" s="6" t="s">
        <v>74</v>
      </c>
      <c r="F103" s="6" t="s">
        <v>30</v>
      </c>
      <c r="G103" s="8">
        <v>1470.86</v>
      </c>
      <c r="H103" s="6" t="str">
        <f t="shared" si="4"/>
        <v>Male</v>
      </c>
      <c r="I103" s="6" t="str">
        <f t="shared" si="5"/>
        <v>Garowe</v>
      </c>
      <c r="J103" s="6" t="str">
        <f t="shared" si="6"/>
        <v>Business Owner</v>
      </c>
      <c r="K103" s="6" t="str">
        <f t="shared" si="7"/>
        <v>Medium</v>
      </c>
    </row>
    <row r="104" spans="1:11">
      <c r="A104" s="6" t="s">
        <v>121</v>
      </c>
      <c r="B104" s="7">
        <v>46094</v>
      </c>
      <c r="C104" s="6" t="s">
        <v>8</v>
      </c>
      <c r="D104" s="6">
        <v>43</v>
      </c>
      <c r="E104" s="6" t="s">
        <v>9</v>
      </c>
      <c r="F104" s="6" t="s">
        <v>30</v>
      </c>
      <c r="G104" s="8">
        <v>1377.65</v>
      </c>
      <c r="H104" s="6" t="str">
        <f t="shared" si="4"/>
        <v>Male</v>
      </c>
      <c r="I104" s="6" t="str">
        <f t="shared" si="5"/>
        <v>Mogadishu</v>
      </c>
      <c r="J104" s="6" t="str">
        <f t="shared" si="6"/>
        <v>Business Owner</v>
      </c>
      <c r="K104" s="6" t="str">
        <f t="shared" si="7"/>
        <v>Medium</v>
      </c>
    </row>
    <row r="105" spans="1:11">
      <c r="A105" s="6" t="s">
        <v>122</v>
      </c>
      <c r="B105" s="7">
        <v>45950</v>
      </c>
      <c r="C105" s="6" t="s">
        <v>312</v>
      </c>
      <c r="D105" s="6">
        <v>21</v>
      </c>
      <c r="E105" s="6" t="s">
        <v>9</v>
      </c>
      <c r="F105" s="6" t="s">
        <v>30</v>
      </c>
      <c r="G105" s="8">
        <v>1996.92</v>
      </c>
      <c r="H105" s="6" t="str">
        <f t="shared" si="4"/>
        <v>Missing</v>
      </c>
      <c r="I105" s="6" t="str">
        <f t="shared" si="5"/>
        <v>Mogadishu</v>
      </c>
      <c r="J105" s="6" t="str">
        <f t="shared" si="6"/>
        <v>Business Owner</v>
      </c>
      <c r="K105" s="6" t="str">
        <f t="shared" si="7"/>
        <v>High</v>
      </c>
    </row>
    <row r="106" spans="1:11">
      <c r="A106" s="6" t="s">
        <v>123</v>
      </c>
      <c r="B106" s="7">
        <v>46124</v>
      </c>
      <c r="C106" s="6" t="s">
        <v>8</v>
      </c>
      <c r="D106" s="6">
        <v>24</v>
      </c>
      <c r="E106" s="6" t="s">
        <v>9</v>
      </c>
      <c r="F106" s="6" t="s">
        <v>44</v>
      </c>
      <c r="G106" s="8">
        <v>1411.64</v>
      </c>
      <c r="H106" s="6" t="str">
        <f t="shared" si="4"/>
        <v>Male</v>
      </c>
      <c r="I106" s="6" t="str">
        <f t="shared" si="5"/>
        <v>Mogadishu</v>
      </c>
      <c r="J106" s="6" t="str">
        <f t="shared" si="6"/>
        <v>Engineer</v>
      </c>
      <c r="K106" s="6" t="str">
        <f t="shared" si="7"/>
        <v>Medium</v>
      </c>
    </row>
    <row r="107" spans="1:11">
      <c r="A107" s="6" t="s">
        <v>124</v>
      </c>
      <c r="B107" s="7">
        <v>45802</v>
      </c>
      <c r="C107" s="6" t="s">
        <v>17</v>
      </c>
      <c r="D107" s="6">
        <v>38</v>
      </c>
      <c r="E107" s="6" t="s">
        <v>9</v>
      </c>
      <c r="F107" s="6" t="s">
        <v>44</v>
      </c>
      <c r="G107" s="8">
        <v>836.33</v>
      </c>
      <c r="H107" s="6" t="str">
        <f t="shared" si="4"/>
        <v>Female</v>
      </c>
      <c r="I107" s="6" t="str">
        <f t="shared" si="5"/>
        <v>Mogadishu</v>
      </c>
      <c r="J107" s="6" t="str">
        <f t="shared" si="6"/>
        <v>Engineer</v>
      </c>
      <c r="K107" s="6" t="str">
        <f t="shared" si="7"/>
        <v>Medium</v>
      </c>
    </row>
    <row r="108" spans="1:11">
      <c r="A108" s="6" t="s">
        <v>125</v>
      </c>
      <c r="B108" s="7">
        <v>46070</v>
      </c>
      <c r="C108" s="6" t="s">
        <v>17</v>
      </c>
      <c r="D108" s="6">
        <v>55</v>
      </c>
      <c r="E108" s="6" t="s">
        <v>15</v>
      </c>
      <c r="F108" s="6" t="s">
        <v>23</v>
      </c>
      <c r="G108" s="8">
        <v>1021.22</v>
      </c>
      <c r="H108" s="6" t="str">
        <f t="shared" si="4"/>
        <v>Female</v>
      </c>
      <c r="I108" s="6" t="str">
        <f t="shared" si="5"/>
        <v>Hargeisa</v>
      </c>
      <c r="J108" s="6" t="str">
        <f t="shared" si="6"/>
        <v>Civil Servant</v>
      </c>
      <c r="K108" s="6" t="str">
        <f t="shared" si="7"/>
        <v>Medium</v>
      </c>
    </row>
    <row r="109" spans="1:11">
      <c r="A109" s="6" t="s">
        <v>126</v>
      </c>
      <c r="B109" s="7">
        <v>45735</v>
      </c>
      <c r="C109" s="6" t="s">
        <v>17</v>
      </c>
      <c r="D109" s="6">
        <v>61</v>
      </c>
      <c r="E109" s="6" t="s">
        <v>312</v>
      </c>
      <c r="F109" s="6" t="s">
        <v>18</v>
      </c>
      <c r="G109" s="8">
        <v>265.87</v>
      </c>
      <c r="H109" s="6" t="str">
        <f t="shared" si="4"/>
        <v>Female</v>
      </c>
      <c r="I109" s="6" t="str">
        <f t="shared" si="5"/>
        <v>Missing</v>
      </c>
      <c r="J109" s="6" t="str">
        <f t="shared" si="6"/>
        <v>Student</v>
      </c>
      <c r="K109" s="6" t="str">
        <f t="shared" si="7"/>
        <v>Low</v>
      </c>
    </row>
    <row r="110" spans="1:11">
      <c r="A110" s="6" t="s">
        <v>127</v>
      </c>
      <c r="B110" s="7">
        <v>46146</v>
      </c>
      <c r="C110" s="6" t="s">
        <v>17</v>
      </c>
      <c r="D110" s="6">
        <v>43</v>
      </c>
      <c r="E110" s="6" t="s">
        <v>20</v>
      </c>
      <c r="F110" s="6" t="s">
        <v>18</v>
      </c>
      <c r="G110" s="8">
        <v>169.21</v>
      </c>
      <c r="H110" s="6" t="str">
        <f t="shared" si="4"/>
        <v>Female</v>
      </c>
      <c r="I110" s="6" t="str">
        <f t="shared" si="5"/>
        <v>Bosaso</v>
      </c>
      <c r="J110" s="6" t="str">
        <f t="shared" si="6"/>
        <v>Student</v>
      </c>
      <c r="K110" s="6" t="str">
        <f t="shared" si="7"/>
        <v>Low</v>
      </c>
    </row>
    <row r="111" spans="1:11">
      <c r="A111" s="6" t="s">
        <v>128</v>
      </c>
      <c r="B111" s="7">
        <v>45763</v>
      </c>
      <c r="C111" s="6" t="s">
        <v>17</v>
      </c>
      <c r="D111" s="6">
        <v>65</v>
      </c>
      <c r="E111" s="6" t="s">
        <v>9</v>
      </c>
      <c r="F111" s="6" t="s">
        <v>13</v>
      </c>
      <c r="G111" s="8">
        <v>799.53</v>
      </c>
      <c r="H111" s="6" t="str">
        <f t="shared" si="4"/>
        <v>Female</v>
      </c>
      <c r="I111" s="6" t="str">
        <f t="shared" si="5"/>
        <v>Mogadishu</v>
      </c>
      <c r="J111" s="6" t="str">
        <f t="shared" si="6"/>
        <v>Teacher</v>
      </c>
      <c r="K111" s="6" t="str">
        <f t="shared" si="7"/>
        <v>Low</v>
      </c>
    </row>
    <row r="112" spans="1:11">
      <c r="A112" s="6" t="s">
        <v>129</v>
      </c>
      <c r="B112" s="7">
        <v>45777</v>
      </c>
      <c r="C112" s="6" t="s">
        <v>17</v>
      </c>
      <c r="D112" s="6">
        <v>41</v>
      </c>
      <c r="E112" s="6" t="s">
        <v>312</v>
      </c>
      <c r="F112" s="6" t="s">
        <v>10</v>
      </c>
      <c r="G112" s="8">
        <v>1081.02</v>
      </c>
      <c r="H112" s="6" t="str">
        <f t="shared" si="4"/>
        <v>Female</v>
      </c>
      <c r="I112" s="6" t="str">
        <f t="shared" si="5"/>
        <v>Missing</v>
      </c>
      <c r="J112" s="6" t="str">
        <f t="shared" si="6"/>
        <v>Healthcare</v>
      </c>
      <c r="K112" s="6" t="str">
        <f t="shared" si="7"/>
        <v>Medium</v>
      </c>
    </row>
    <row r="113" spans="1:11">
      <c r="B113" s="7">
        <v>45908</v>
      </c>
      <c r="C113" s="6" t="s">
        <v>17</v>
      </c>
      <c r="D113" s="6">
        <v>32</v>
      </c>
      <c r="E113" s="6" t="s">
        <v>74</v>
      </c>
      <c r="F113" s="6" t="s">
        <v>30</v>
      </c>
      <c r="G113" s="8">
        <v>1614.28</v>
      </c>
      <c r="H113" s="6" t="str">
        <f t="shared" si="4"/>
        <v>Female</v>
      </c>
      <c r="I113" s="6" t="str">
        <f t="shared" si="5"/>
        <v>Garowe</v>
      </c>
      <c r="J113" s="6" t="str">
        <f t="shared" si="6"/>
        <v>Business Owner</v>
      </c>
      <c r="K113" s="6" t="str">
        <f t="shared" si="7"/>
        <v>High</v>
      </c>
    </row>
    <row r="114" spans="1:11">
      <c r="A114" s="6" t="s">
        <v>130</v>
      </c>
      <c r="B114" s="7">
        <v>45847</v>
      </c>
      <c r="C114" s="6" t="s">
        <v>17</v>
      </c>
      <c r="D114" s="6">
        <v>42</v>
      </c>
      <c r="E114" s="6" t="s">
        <v>9</v>
      </c>
      <c r="F114" s="6" t="s">
        <v>13</v>
      </c>
      <c r="G114" s="8">
        <v>648.44000000000005</v>
      </c>
      <c r="H114" s="6" t="str">
        <f t="shared" si="4"/>
        <v>Female</v>
      </c>
      <c r="I114" s="6" t="str">
        <f t="shared" si="5"/>
        <v>Mogadishu</v>
      </c>
      <c r="J114" s="6" t="str">
        <f t="shared" si="6"/>
        <v>Teacher</v>
      </c>
      <c r="K114" s="6" t="str">
        <f t="shared" si="7"/>
        <v>Low</v>
      </c>
    </row>
    <row r="115" spans="1:11">
      <c r="A115" s="6" t="s">
        <v>131</v>
      </c>
      <c r="B115" s="7">
        <v>45846</v>
      </c>
      <c r="C115" s="6" t="s">
        <v>17</v>
      </c>
      <c r="D115" s="6">
        <v>18</v>
      </c>
      <c r="E115" s="6" t="s">
        <v>12</v>
      </c>
      <c r="F115" s="6" t="s">
        <v>18</v>
      </c>
      <c r="G115" s="8">
        <v>275.93</v>
      </c>
      <c r="H115" s="6" t="str">
        <f t="shared" si="4"/>
        <v>Female</v>
      </c>
      <c r="I115" s="6" t="str">
        <f t="shared" si="5"/>
        <v>Baidoa</v>
      </c>
      <c r="J115" s="6" t="str">
        <f t="shared" si="6"/>
        <v>Student</v>
      </c>
      <c r="K115" s="6" t="str">
        <f t="shared" si="7"/>
        <v>Low</v>
      </c>
    </row>
    <row r="116" spans="1:11">
      <c r="A116" s="6" t="s">
        <v>132</v>
      </c>
      <c r="B116" s="7">
        <v>46065</v>
      </c>
      <c r="C116" s="6" t="s">
        <v>17</v>
      </c>
      <c r="D116" s="6">
        <v>22</v>
      </c>
      <c r="E116" s="6" t="s">
        <v>9</v>
      </c>
      <c r="F116" s="6" t="s">
        <v>21</v>
      </c>
      <c r="G116" s="8">
        <v>1281</v>
      </c>
      <c r="H116" s="6" t="str">
        <f t="shared" si="4"/>
        <v>Female</v>
      </c>
      <c r="I116" s="6" t="str">
        <f t="shared" si="5"/>
        <v>Mogadishu</v>
      </c>
      <c r="J116" s="6" t="str">
        <f t="shared" si="6"/>
        <v>Self-Employed</v>
      </c>
      <c r="K116" s="6" t="str">
        <f t="shared" si="7"/>
        <v>Medium</v>
      </c>
    </row>
    <row r="117" spans="1:11">
      <c r="A117" s="6" t="s">
        <v>133</v>
      </c>
      <c r="B117" s="7">
        <v>45943</v>
      </c>
      <c r="C117" s="6" t="s">
        <v>8</v>
      </c>
      <c r="D117" s="6">
        <v>123</v>
      </c>
      <c r="E117" s="6" t="s">
        <v>9</v>
      </c>
      <c r="F117" s="6" t="s">
        <v>44</v>
      </c>
      <c r="G117" s="8">
        <v>796.52</v>
      </c>
      <c r="H117" s="6" t="str">
        <f t="shared" si="4"/>
        <v>Male</v>
      </c>
      <c r="I117" s="6" t="str">
        <f t="shared" si="5"/>
        <v>Mogadishu</v>
      </c>
      <c r="J117" s="6" t="str">
        <f t="shared" si="6"/>
        <v>Engineer</v>
      </c>
      <c r="K117" s="6" t="str">
        <f t="shared" si="7"/>
        <v>Low</v>
      </c>
    </row>
    <row r="118" spans="1:11">
      <c r="A118" s="6" t="s">
        <v>134</v>
      </c>
      <c r="B118" s="7">
        <v>45681</v>
      </c>
      <c r="C118" s="6" t="s">
        <v>17</v>
      </c>
      <c r="D118" s="6">
        <v>19</v>
      </c>
      <c r="E118" s="6" t="s">
        <v>74</v>
      </c>
      <c r="F118" s="6" t="s">
        <v>13</v>
      </c>
      <c r="G118" s="8">
        <v>579.54999999999995</v>
      </c>
      <c r="H118" s="6" t="str">
        <f t="shared" si="4"/>
        <v>Female</v>
      </c>
      <c r="I118" s="6" t="str">
        <f t="shared" si="5"/>
        <v>Garowe</v>
      </c>
      <c r="J118" s="6" t="str">
        <f t="shared" si="6"/>
        <v>Teacher</v>
      </c>
      <c r="K118" s="6" t="str">
        <f t="shared" si="7"/>
        <v>Low</v>
      </c>
    </row>
    <row r="119" spans="1:11">
      <c r="A119" s="6" t="s">
        <v>135</v>
      </c>
      <c r="B119" s="7">
        <v>45886</v>
      </c>
      <c r="C119" s="6" t="s">
        <v>17</v>
      </c>
      <c r="D119" s="6">
        <v>60</v>
      </c>
      <c r="E119" s="6" t="s">
        <v>15</v>
      </c>
      <c r="F119" s="6" t="s">
        <v>21</v>
      </c>
      <c r="G119" s="8">
        <v>712.55</v>
      </c>
      <c r="H119" s="6" t="str">
        <f t="shared" si="4"/>
        <v>Female</v>
      </c>
      <c r="I119" s="6" t="str">
        <f t="shared" si="5"/>
        <v>Hargeisa</v>
      </c>
      <c r="J119" s="6" t="str">
        <f t="shared" si="6"/>
        <v>Self-Employed</v>
      </c>
      <c r="K119" s="6" t="str">
        <f t="shared" si="7"/>
        <v>Low</v>
      </c>
    </row>
    <row r="120" spans="1:11">
      <c r="B120" s="7">
        <v>46151</v>
      </c>
      <c r="C120" s="6" t="s">
        <v>17</v>
      </c>
      <c r="D120" s="6">
        <v>50</v>
      </c>
      <c r="E120" s="6" t="s">
        <v>9</v>
      </c>
      <c r="F120" s="6" t="s">
        <v>21</v>
      </c>
      <c r="G120" s="8">
        <v>917.25</v>
      </c>
      <c r="H120" s="6" t="str">
        <f t="shared" si="4"/>
        <v>Female</v>
      </c>
      <c r="I120" s="6" t="str">
        <f t="shared" si="5"/>
        <v>Mogadishu</v>
      </c>
      <c r="J120" s="6" t="str">
        <f t="shared" si="6"/>
        <v>Self-Employed</v>
      </c>
      <c r="K120" s="6" t="str">
        <f t="shared" si="7"/>
        <v>Medium</v>
      </c>
    </row>
    <row r="121" spans="1:11">
      <c r="A121" s="6" t="s">
        <v>136</v>
      </c>
      <c r="B121" s="7">
        <v>45801</v>
      </c>
      <c r="C121" s="6" t="s">
        <v>8</v>
      </c>
      <c r="D121" s="6">
        <v>21</v>
      </c>
      <c r="E121" s="6" t="s">
        <v>12</v>
      </c>
      <c r="F121" s="6" t="s">
        <v>44</v>
      </c>
      <c r="G121" s="8">
        <v>890.48</v>
      </c>
      <c r="H121" s="6" t="str">
        <f t="shared" si="4"/>
        <v>Male</v>
      </c>
      <c r="I121" s="6" t="str">
        <f t="shared" si="5"/>
        <v>Baidoa</v>
      </c>
      <c r="J121" s="6" t="str">
        <f t="shared" si="6"/>
        <v>Engineer</v>
      </c>
      <c r="K121" s="6" t="str">
        <f t="shared" si="7"/>
        <v>Medium</v>
      </c>
    </row>
    <row r="122" spans="1:11">
      <c r="A122" s="6" t="s">
        <v>137</v>
      </c>
      <c r="B122" s="7">
        <v>46157</v>
      </c>
      <c r="C122" s="6" t="s">
        <v>17</v>
      </c>
      <c r="D122" s="6">
        <v>61</v>
      </c>
      <c r="E122" s="6" t="s">
        <v>15</v>
      </c>
      <c r="F122" s="6" t="s">
        <v>18</v>
      </c>
      <c r="G122" s="8">
        <v>294.94</v>
      </c>
      <c r="H122" s="6" t="str">
        <f t="shared" si="4"/>
        <v>Female</v>
      </c>
      <c r="I122" s="6" t="str">
        <f t="shared" si="5"/>
        <v>Hargeisa</v>
      </c>
      <c r="J122" s="6" t="str">
        <f t="shared" si="6"/>
        <v>Student</v>
      </c>
      <c r="K122" s="6" t="str">
        <f t="shared" si="7"/>
        <v>Low</v>
      </c>
    </row>
    <row r="123" spans="1:11">
      <c r="A123" s="6" t="s">
        <v>138</v>
      </c>
      <c r="B123" s="7">
        <v>45840</v>
      </c>
      <c r="C123" s="6" t="s">
        <v>17</v>
      </c>
      <c r="D123" s="6">
        <v>44</v>
      </c>
      <c r="E123" s="6" t="s">
        <v>15</v>
      </c>
      <c r="F123" s="6" t="s">
        <v>21</v>
      </c>
      <c r="G123" s="8">
        <v>756.75</v>
      </c>
      <c r="H123" s="6" t="str">
        <f t="shared" si="4"/>
        <v>Female</v>
      </c>
      <c r="I123" s="6" t="str">
        <f t="shared" si="5"/>
        <v>Hargeisa</v>
      </c>
      <c r="J123" s="6" t="str">
        <f t="shared" si="6"/>
        <v>Self-Employed</v>
      </c>
      <c r="K123" s="6" t="str">
        <f t="shared" si="7"/>
        <v>Low</v>
      </c>
    </row>
    <row r="124" spans="1:11">
      <c r="A124" s="6" t="s">
        <v>139</v>
      </c>
      <c r="B124" s="7">
        <v>45820</v>
      </c>
      <c r="C124" s="6" t="s">
        <v>17</v>
      </c>
      <c r="D124" s="6">
        <v>58</v>
      </c>
      <c r="E124" s="6" t="s">
        <v>39</v>
      </c>
      <c r="F124" s="6" t="s">
        <v>30</v>
      </c>
      <c r="G124" s="8">
        <v>1316.09</v>
      </c>
      <c r="H124" s="6" t="str">
        <f t="shared" si="4"/>
        <v>Female</v>
      </c>
      <c r="I124" s="6" t="str">
        <f t="shared" si="5"/>
        <v>Kismayo</v>
      </c>
      <c r="J124" s="6" t="str">
        <f t="shared" si="6"/>
        <v>Business Owner</v>
      </c>
      <c r="K124" s="6" t="str">
        <f t="shared" si="7"/>
        <v>Medium</v>
      </c>
    </row>
    <row r="125" spans="1:11">
      <c r="A125" s="6" t="s">
        <v>140</v>
      </c>
      <c r="B125" s="7" t="s">
        <v>312</v>
      </c>
      <c r="C125" s="6" t="s">
        <v>8</v>
      </c>
      <c r="D125" s="6">
        <v>33</v>
      </c>
      <c r="E125" s="6" t="s">
        <v>39</v>
      </c>
      <c r="F125" s="6" t="s">
        <v>21</v>
      </c>
      <c r="G125" s="8">
        <v>753.73</v>
      </c>
      <c r="H125" s="6" t="str">
        <f t="shared" si="4"/>
        <v>Male</v>
      </c>
      <c r="I125" s="6" t="str">
        <f t="shared" si="5"/>
        <v>Kismayo</v>
      </c>
      <c r="J125" s="6" t="str">
        <f t="shared" si="6"/>
        <v>Self-Employed</v>
      </c>
      <c r="K125" s="6" t="str">
        <f t="shared" si="7"/>
        <v>Low</v>
      </c>
    </row>
    <row r="126" spans="1:11">
      <c r="A126" s="6" t="s">
        <v>141</v>
      </c>
      <c r="B126" s="7">
        <v>46052</v>
      </c>
      <c r="C126" s="6" t="s">
        <v>17</v>
      </c>
      <c r="D126" s="6">
        <v>49</v>
      </c>
      <c r="E126" s="6" t="s">
        <v>9</v>
      </c>
      <c r="F126" s="6" t="s">
        <v>21</v>
      </c>
      <c r="G126" s="8">
        <v>527.12</v>
      </c>
      <c r="H126" s="6" t="str">
        <f t="shared" si="4"/>
        <v>Female</v>
      </c>
      <c r="I126" s="6" t="str">
        <f t="shared" si="5"/>
        <v>Mogadishu</v>
      </c>
      <c r="J126" s="6" t="str">
        <f t="shared" si="6"/>
        <v>Self-Employed</v>
      </c>
      <c r="K126" s="6" t="str">
        <f t="shared" si="7"/>
        <v>Low</v>
      </c>
    </row>
    <row r="127" spans="1:11">
      <c r="A127" s="6" t="s">
        <v>142</v>
      </c>
      <c r="B127" s="7">
        <v>45706</v>
      </c>
      <c r="C127" s="6" t="s">
        <v>17</v>
      </c>
      <c r="D127" s="6">
        <v>35</v>
      </c>
      <c r="E127" s="6" t="s">
        <v>12</v>
      </c>
      <c r="F127" s="6" t="s">
        <v>143</v>
      </c>
      <c r="G127" s="8">
        <v>646.07000000000005</v>
      </c>
      <c r="H127" s="6" t="str">
        <f t="shared" si="4"/>
        <v>Female</v>
      </c>
      <c r="I127" s="6" t="str">
        <f t="shared" si="5"/>
        <v>Baidoa</v>
      </c>
      <c r="J127" s="6" t="str">
        <f t="shared" si="6"/>
        <v>Civil Servant</v>
      </c>
      <c r="K127" s="6" t="str">
        <f t="shared" si="7"/>
        <v>Low</v>
      </c>
    </row>
    <row r="128" spans="1:11">
      <c r="A128" s="6" t="s">
        <v>144</v>
      </c>
      <c r="B128" s="7">
        <v>45827</v>
      </c>
      <c r="C128" s="6" t="s">
        <v>17</v>
      </c>
      <c r="D128" s="6">
        <v>42</v>
      </c>
      <c r="E128" s="6" t="s">
        <v>15</v>
      </c>
      <c r="F128" s="6" t="s">
        <v>10</v>
      </c>
      <c r="G128" s="8">
        <v>1155.3399999999999</v>
      </c>
      <c r="H128" s="6" t="str">
        <f t="shared" si="4"/>
        <v>Female</v>
      </c>
      <c r="I128" s="6" t="str">
        <f t="shared" si="5"/>
        <v>Hargeisa</v>
      </c>
      <c r="J128" s="6" t="str">
        <f t="shared" si="6"/>
        <v>Healthcare</v>
      </c>
      <c r="K128" s="6" t="str">
        <f t="shared" si="7"/>
        <v>Medium</v>
      </c>
    </row>
    <row r="129" spans="1:11">
      <c r="A129" s="6" t="s">
        <v>145</v>
      </c>
      <c r="B129" s="7">
        <v>45983</v>
      </c>
      <c r="C129" s="6" t="s">
        <v>17</v>
      </c>
      <c r="D129" s="6">
        <v>50</v>
      </c>
      <c r="E129" s="6" t="s">
        <v>9</v>
      </c>
      <c r="F129" s="6" t="s">
        <v>30</v>
      </c>
      <c r="G129" s="8">
        <v>923.87</v>
      </c>
      <c r="H129" s="6" t="str">
        <f t="shared" si="4"/>
        <v>Female</v>
      </c>
      <c r="I129" s="6" t="str">
        <f t="shared" si="5"/>
        <v>Mogadishu</v>
      </c>
      <c r="J129" s="6" t="str">
        <f t="shared" si="6"/>
        <v>Business Owner</v>
      </c>
      <c r="K129" s="6" t="str">
        <f t="shared" si="7"/>
        <v>Medium</v>
      </c>
    </row>
    <row r="130" spans="1:11">
      <c r="A130" s="6" t="s">
        <v>146</v>
      </c>
      <c r="B130" s="7">
        <v>46037</v>
      </c>
      <c r="C130" s="6" t="s">
        <v>17</v>
      </c>
      <c r="D130" s="6">
        <v>21</v>
      </c>
      <c r="E130" s="6" t="s">
        <v>12</v>
      </c>
      <c r="F130" s="6" t="s">
        <v>10</v>
      </c>
      <c r="G130" s="8">
        <v>845.86</v>
      </c>
      <c r="H130" s="6" t="str">
        <f t="shared" si="4"/>
        <v>Female</v>
      </c>
      <c r="I130" s="6" t="str">
        <f t="shared" si="5"/>
        <v>Baidoa</v>
      </c>
      <c r="J130" s="6" t="str">
        <f t="shared" si="6"/>
        <v>Healthcare</v>
      </c>
      <c r="K130" s="6" t="str">
        <f t="shared" si="7"/>
        <v>Medium</v>
      </c>
    </row>
    <row r="131" spans="1:11">
      <c r="A131" s="6" t="s">
        <v>147</v>
      </c>
      <c r="B131" s="7">
        <v>45661</v>
      </c>
      <c r="C131" s="6" t="s">
        <v>17</v>
      </c>
      <c r="D131" s="6">
        <v>46</v>
      </c>
      <c r="E131" s="6" t="s">
        <v>312</v>
      </c>
      <c r="F131" s="6" t="s">
        <v>30</v>
      </c>
      <c r="G131" s="8">
        <v>1455.22</v>
      </c>
      <c r="H131" s="6" t="str">
        <f t="shared" ref="H131:H194" si="8">PROPER(TRIM(C131))</f>
        <v>Female</v>
      </c>
      <c r="I131" s="6" t="str">
        <f t="shared" ref="I131:I194" si="9">PROPER(TRIM(E131))</f>
        <v>Missing</v>
      </c>
      <c r="J131" s="6" t="str">
        <f t="shared" ref="J131:J194" si="10">PROPER(TRIM(SUBSTITUTE(F131,"CS","Civil Servant")))</f>
        <v>Business Owner</v>
      </c>
      <c r="K131" s="6" t="str">
        <f t="shared" ref="K131:K194" si="11">IF(G131&gt;=1500,"High",IF(G131&gt;=800,"Medium","Low"))</f>
        <v>Medium</v>
      </c>
    </row>
    <row r="132" spans="1:11">
      <c r="A132" s="6" t="s">
        <v>148</v>
      </c>
      <c r="B132" s="7">
        <v>45768</v>
      </c>
      <c r="C132" s="6" t="s">
        <v>8</v>
      </c>
      <c r="D132" s="6">
        <v>39</v>
      </c>
      <c r="E132" s="6" t="s">
        <v>39</v>
      </c>
      <c r="F132" s="6" t="s">
        <v>18</v>
      </c>
      <c r="G132" s="8">
        <v>120.06</v>
      </c>
      <c r="H132" s="6" t="str">
        <f t="shared" si="8"/>
        <v>Male</v>
      </c>
      <c r="I132" s="6" t="str">
        <f t="shared" si="9"/>
        <v>Kismayo</v>
      </c>
      <c r="J132" s="6" t="str">
        <f t="shared" si="10"/>
        <v>Student</v>
      </c>
      <c r="K132" s="6" t="str">
        <f t="shared" si="11"/>
        <v>Low</v>
      </c>
    </row>
    <row r="133" spans="1:11">
      <c r="A133" s="6" t="s">
        <v>149</v>
      </c>
      <c r="B133" s="7">
        <v>45890</v>
      </c>
      <c r="C133" s="6" t="s">
        <v>8</v>
      </c>
      <c r="D133" s="6">
        <v>60</v>
      </c>
      <c r="E133" s="6" t="s">
        <v>150</v>
      </c>
      <c r="F133" s="6" t="s">
        <v>18</v>
      </c>
      <c r="G133" s="8">
        <v>923.87</v>
      </c>
      <c r="H133" s="6" t="str">
        <f t="shared" si="8"/>
        <v>Male</v>
      </c>
      <c r="I133" s="6" t="str">
        <f t="shared" si="9"/>
        <v>-</v>
      </c>
      <c r="J133" s="6" t="str">
        <f t="shared" si="10"/>
        <v>Student</v>
      </c>
      <c r="K133" s="6" t="str">
        <f t="shared" si="11"/>
        <v>Medium</v>
      </c>
    </row>
    <row r="134" spans="1:11">
      <c r="A134" s="6" t="s">
        <v>151</v>
      </c>
      <c r="B134" s="7">
        <v>45719</v>
      </c>
      <c r="C134" s="6" t="s">
        <v>8</v>
      </c>
      <c r="D134" s="6">
        <v>46</v>
      </c>
      <c r="E134" s="6" t="s">
        <v>312</v>
      </c>
      <c r="F134" s="6" t="s">
        <v>13</v>
      </c>
      <c r="G134" s="8">
        <v>675.77</v>
      </c>
      <c r="H134" s="6" t="str">
        <f t="shared" si="8"/>
        <v>Male</v>
      </c>
      <c r="I134" s="6" t="str">
        <f t="shared" si="9"/>
        <v>Missing</v>
      </c>
      <c r="J134" s="6" t="str">
        <f t="shared" si="10"/>
        <v>Teacher</v>
      </c>
      <c r="K134" s="6" t="str">
        <f t="shared" si="11"/>
        <v>Low</v>
      </c>
    </row>
    <row r="135" spans="1:11">
      <c r="A135" s="6" t="s">
        <v>152</v>
      </c>
      <c r="B135" s="7">
        <v>45709</v>
      </c>
      <c r="C135" s="6" t="s">
        <v>8</v>
      </c>
      <c r="D135" s="6">
        <v>44</v>
      </c>
      <c r="E135" s="6" t="s">
        <v>20</v>
      </c>
      <c r="F135" s="6" t="s">
        <v>13</v>
      </c>
      <c r="G135" s="8">
        <v>409.49</v>
      </c>
      <c r="H135" s="6" t="str">
        <f t="shared" si="8"/>
        <v>Male</v>
      </c>
      <c r="I135" s="6" t="str">
        <f t="shared" si="9"/>
        <v>Bosaso</v>
      </c>
      <c r="J135" s="6" t="str">
        <f t="shared" si="10"/>
        <v>Teacher</v>
      </c>
      <c r="K135" s="6" t="str">
        <f t="shared" si="11"/>
        <v>Low</v>
      </c>
    </row>
    <row r="136" spans="1:11">
      <c r="A136" s="6" t="s">
        <v>153</v>
      </c>
      <c r="B136" s="7">
        <v>45763</v>
      </c>
      <c r="C136" s="6" t="s">
        <v>312</v>
      </c>
      <c r="D136" s="6">
        <v>41</v>
      </c>
      <c r="E136" s="6" t="s">
        <v>20</v>
      </c>
      <c r="F136" s="6" t="s">
        <v>10</v>
      </c>
      <c r="G136" s="8">
        <v>10006</v>
      </c>
      <c r="H136" s="6" t="str">
        <f t="shared" si="8"/>
        <v>Missing</v>
      </c>
      <c r="I136" s="6" t="str">
        <f t="shared" si="9"/>
        <v>Bosaso</v>
      </c>
      <c r="J136" s="6" t="str">
        <f t="shared" si="10"/>
        <v>Healthcare</v>
      </c>
      <c r="K136" s="6" t="str">
        <f t="shared" si="11"/>
        <v>High</v>
      </c>
    </row>
    <row r="137" spans="1:11">
      <c r="A137" s="6" t="s">
        <v>154</v>
      </c>
      <c r="B137" s="7">
        <v>46033</v>
      </c>
      <c r="C137" s="6" t="s">
        <v>17</v>
      </c>
      <c r="D137" s="6">
        <v>70</v>
      </c>
      <c r="E137" s="6" t="s">
        <v>20</v>
      </c>
      <c r="F137" s="6" t="s">
        <v>30</v>
      </c>
      <c r="G137" s="8">
        <v>1956.52</v>
      </c>
      <c r="H137" s="6" t="str">
        <f t="shared" si="8"/>
        <v>Female</v>
      </c>
      <c r="I137" s="6" t="str">
        <f t="shared" si="9"/>
        <v>Bosaso</v>
      </c>
      <c r="J137" s="6" t="str">
        <f t="shared" si="10"/>
        <v>Business Owner</v>
      </c>
      <c r="K137" s="6" t="str">
        <f t="shared" si="11"/>
        <v>High</v>
      </c>
    </row>
    <row r="138" spans="1:11">
      <c r="A138" s="6" t="s">
        <v>155</v>
      </c>
      <c r="B138" s="7">
        <v>45812</v>
      </c>
      <c r="C138" s="6" t="s">
        <v>17</v>
      </c>
      <c r="D138" s="6">
        <v>19</v>
      </c>
      <c r="E138" s="6" t="s">
        <v>9</v>
      </c>
      <c r="F138" s="6" t="s">
        <v>23</v>
      </c>
      <c r="G138" s="8">
        <v>923.87</v>
      </c>
      <c r="H138" s="6" t="str">
        <f t="shared" si="8"/>
        <v>Female</v>
      </c>
      <c r="I138" s="6" t="str">
        <f t="shared" si="9"/>
        <v>Mogadishu</v>
      </c>
      <c r="J138" s="6" t="str">
        <f t="shared" si="10"/>
        <v>Civil Servant</v>
      </c>
      <c r="K138" s="6" t="str">
        <f t="shared" si="11"/>
        <v>Medium</v>
      </c>
    </row>
    <row r="139" spans="1:11">
      <c r="A139" s="6" t="s">
        <v>156</v>
      </c>
      <c r="B139" s="7">
        <v>45875</v>
      </c>
      <c r="C139" s="6" t="s">
        <v>8</v>
      </c>
      <c r="D139" s="6">
        <v>59</v>
      </c>
      <c r="E139" s="6" t="s">
        <v>20</v>
      </c>
      <c r="F139" s="6" t="s">
        <v>13</v>
      </c>
      <c r="G139" s="8">
        <v>923.87</v>
      </c>
      <c r="H139" s="6" t="str">
        <f t="shared" si="8"/>
        <v>Male</v>
      </c>
      <c r="I139" s="6" t="str">
        <f t="shared" si="9"/>
        <v>Bosaso</v>
      </c>
      <c r="J139" s="6" t="str">
        <f t="shared" si="10"/>
        <v>Teacher</v>
      </c>
      <c r="K139" s="6" t="str">
        <f t="shared" si="11"/>
        <v>Medium</v>
      </c>
    </row>
    <row r="140" spans="1:11">
      <c r="A140" s="6" t="s">
        <v>157</v>
      </c>
      <c r="B140" s="7">
        <v>46026</v>
      </c>
      <c r="C140" s="6" t="s">
        <v>17</v>
      </c>
      <c r="D140" s="6">
        <v>65</v>
      </c>
      <c r="E140" s="6" t="s">
        <v>312</v>
      </c>
      <c r="F140" s="6" t="s">
        <v>21</v>
      </c>
      <c r="G140" s="8">
        <v>810.64</v>
      </c>
      <c r="H140" s="6" t="str">
        <f t="shared" si="8"/>
        <v>Female</v>
      </c>
      <c r="I140" s="6" t="str">
        <f t="shared" si="9"/>
        <v>Missing</v>
      </c>
      <c r="J140" s="6" t="str">
        <f t="shared" si="10"/>
        <v>Self-Employed</v>
      </c>
      <c r="K140" s="6" t="str">
        <f t="shared" si="11"/>
        <v>Medium</v>
      </c>
    </row>
    <row r="141" spans="1:11">
      <c r="A141" s="6" t="s">
        <v>158</v>
      </c>
      <c r="B141" s="7">
        <v>46064</v>
      </c>
      <c r="C141" s="6" t="s">
        <v>17</v>
      </c>
      <c r="D141" s="6">
        <v>30</v>
      </c>
      <c r="E141" s="6" t="s">
        <v>312</v>
      </c>
      <c r="F141" s="6" t="s">
        <v>13</v>
      </c>
      <c r="G141" s="8">
        <v>855.02</v>
      </c>
      <c r="H141" s="6" t="str">
        <f t="shared" si="8"/>
        <v>Female</v>
      </c>
      <c r="I141" s="6" t="str">
        <f t="shared" si="9"/>
        <v>Missing</v>
      </c>
      <c r="J141" s="6" t="str">
        <f t="shared" si="10"/>
        <v>Teacher</v>
      </c>
      <c r="K141" s="6" t="str">
        <f t="shared" si="11"/>
        <v>Medium</v>
      </c>
    </row>
    <row r="142" spans="1:11">
      <c r="A142" s="6" t="s">
        <v>159</v>
      </c>
      <c r="B142" s="7">
        <v>45938</v>
      </c>
      <c r="C142" s="6" t="s">
        <v>8</v>
      </c>
      <c r="D142" s="6">
        <v>52</v>
      </c>
      <c r="E142" s="6" t="s">
        <v>39</v>
      </c>
      <c r="F142" s="6" t="s">
        <v>18</v>
      </c>
      <c r="G142" s="8">
        <v>316.74</v>
      </c>
      <c r="H142" s="6" t="str">
        <f t="shared" si="8"/>
        <v>Male</v>
      </c>
      <c r="I142" s="6" t="str">
        <f t="shared" si="9"/>
        <v>Kismayo</v>
      </c>
      <c r="J142" s="6" t="str">
        <f t="shared" si="10"/>
        <v>Student</v>
      </c>
      <c r="K142" s="6" t="str">
        <f t="shared" si="11"/>
        <v>Low</v>
      </c>
    </row>
    <row r="143" spans="1:11">
      <c r="A143" s="6" t="s">
        <v>160</v>
      </c>
      <c r="B143" s="7" t="s">
        <v>312</v>
      </c>
      <c r="C143" s="6" t="s">
        <v>8</v>
      </c>
      <c r="D143" s="6">
        <v>31</v>
      </c>
      <c r="E143" s="6" t="s">
        <v>9</v>
      </c>
      <c r="F143" s="6" t="s">
        <v>30</v>
      </c>
      <c r="G143" s="8">
        <v>1961.76</v>
      </c>
      <c r="H143" s="6" t="str">
        <f t="shared" si="8"/>
        <v>Male</v>
      </c>
      <c r="I143" s="6" t="str">
        <f t="shared" si="9"/>
        <v>Mogadishu</v>
      </c>
      <c r="J143" s="6" t="str">
        <f t="shared" si="10"/>
        <v>Business Owner</v>
      </c>
      <c r="K143" s="6" t="str">
        <f t="shared" si="11"/>
        <v>High</v>
      </c>
    </row>
    <row r="144" spans="1:11">
      <c r="A144" s="6" t="s">
        <v>161</v>
      </c>
      <c r="B144" s="7">
        <v>46173</v>
      </c>
      <c r="C144" s="6" t="s">
        <v>17</v>
      </c>
      <c r="D144" s="6">
        <v>34</v>
      </c>
      <c r="E144" s="6" t="s">
        <v>15</v>
      </c>
      <c r="F144" s="6" t="s">
        <v>44</v>
      </c>
      <c r="G144" s="8">
        <v>1390.38</v>
      </c>
      <c r="H144" s="6" t="str">
        <f t="shared" si="8"/>
        <v>Female</v>
      </c>
      <c r="I144" s="6" t="str">
        <f t="shared" si="9"/>
        <v>Hargeisa</v>
      </c>
      <c r="J144" s="6" t="str">
        <f t="shared" si="10"/>
        <v>Engineer</v>
      </c>
      <c r="K144" s="6" t="str">
        <f t="shared" si="11"/>
        <v>Medium</v>
      </c>
    </row>
    <row r="145" spans="1:11">
      <c r="A145" s="6" t="s">
        <v>162</v>
      </c>
      <c r="B145" s="7">
        <v>45752</v>
      </c>
      <c r="C145" s="6" t="s">
        <v>8</v>
      </c>
      <c r="D145" s="6">
        <v>44</v>
      </c>
      <c r="E145" s="6" t="s">
        <v>39</v>
      </c>
      <c r="F145" s="6" t="s">
        <v>30</v>
      </c>
      <c r="G145" s="8">
        <v>1852.82</v>
      </c>
      <c r="H145" s="6" t="str">
        <f t="shared" si="8"/>
        <v>Male</v>
      </c>
      <c r="I145" s="6" t="str">
        <f t="shared" si="9"/>
        <v>Kismayo</v>
      </c>
      <c r="J145" s="6" t="str">
        <f t="shared" si="10"/>
        <v>Business Owner</v>
      </c>
      <c r="K145" s="6" t="str">
        <f t="shared" si="11"/>
        <v>High</v>
      </c>
    </row>
    <row r="146" spans="1:11">
      <c r="A146" s="6" t="s">
        <v>163</v>
      </c>
      <c r="B146" s="7">
        <v>45931</v>
      </c>
      <c r="C146" s="6" t="s">
        <v>8</v>
      </c>
      <c r="D146" s="6">
        <v>68</v>
      </c>
      <c r="E146" s="6" t="s">
        <v>9</v>
      </c>
      <c r="F146" s="6" t="s">
        <v>313</v>
      </c>
      <c r="G146" s="8">
        <v>843.99</v>
      </c>
      <c r="H146" s="6" t="str">
        <f t="shared" si="8"/>
        <v>Male</v>
      </c>
      <c r="I146" s="6" t="str">
        <f t="shared" si="9"/>
        <v>Mogadishu</v>
      </c>
      <c r="J146" s="6" t="str">
        <f t="shared" si="10"/>
        <v>Missing</v>
      </c>
      <c r="K146" s="6" t="str">
        <f t="shared" si="11"/>
        <v>Medium</v>
      </c>
    </row>
    <row r="147" spans="1:11">
      <c r="B147" s="7" t="s">
        <v>312</v>
      </c>
      <c r="C147" s="6" t="s">
        <v>8</v>
      </c>
      <c r="D147" s="6">
        <v>50</v>
      </c>
      <c r="E147" s="6" t="s">
        <v>15</v>
      </c>
      <c r="F147" s="6" t="s">
        <v>30</v>
      </c>
      <c r="G147" s="8">
        <v>1828.2</v>
      </c>
      <c r="H147" s="6" t="str">
        <f t="shared" si="8"/>
        <v>Male</v>
      </c>
      <c r="I147" s="6" t="str">
        <f t="shared" si="9"/>
        <v>Hargeisa</v>
      </c>
      <c r="J147" s="6" t="str">
        <f t="shared" si="10"/>
        <v>Business Owner</v>
      </c>
      <c r="K147" s="6" t="str">
        <f t="shared" si="11"/>
        <v>High</v>
      </c>
    </row>
    <row r="148" spans="1:11">
      <c r="A148" s="6" t="s">
        <v>164</v>
      </c>
      <c r="B148" s="7">
        <v>45864</v>
      </c>
      <c r="C148" s="6" t="s">
        <v>17</v>
      </c>
      <c r="D148" s="6">
        <v>60</v>
      </c>
      <c r="E148" s="6" t="s">
        <v>15</v>
      </c>
      <c r="F148" s="6" t="s">
        <v>30</v>
      </c>
      <c r="G148" s="8">
        <v>785.37</v>
      </c>
      <c r="H148" s="6" t="str">
        <f t="shared" si="8"/>
        <v>Female</v>
      </c>
      <c r="I148" s="6" t="str">
        <f t="shared" si="9"/>
        <v>Hargeisa</v>
      </c>
      <c r="J148" s="6" t="str">
        <f t="shared" si="10"/>
        <v>Business Owner</v>
      </c>
      <c r="K148" s="6" t="str">
        <f t="shared" si="11"/>
        <v>Low</v>
      </c>
    </row>
    <row r="149" spans="1:11">
      <c r="A149" s="6" t="s">
        <v>165</v>
      </c>
      <c r="B149" s="7">
        <v>46020</v>
      </c>
      <c r="C149" s="6" t="s">
        <v>17</v>
      </c>
      <c r="D149" s="6">
        <v>70</v>
      </c>
      <c r="E149" s="6" t="s">
        <v>20</v>
      </c>
      <c r="F149" s="6" t="s">
        <v>30</v>
      </c>
      <c r="G149" s="8">
        <v>924.95</v>
      </c>
      <c r="H149" s="6" t="str">
        <f t="shared" si="8"/>
        <v>Female</v>
      </c>
      <c r="I149" s="6" t="str">
        <f t="shared" si="9"/>
        <v>Bosaso</v>
      </c>
      <c r="J149" s="6" t="str">
        <f t="shared" si="10"/>
        <v>Business Owner</v>
      </c>
      <c r="K149" s="6" t="str">
        <f t="shared" si="11"/>
        <v>Medium</v>
      </c>
    </row>
    <row r="150" spans="1:11">
      <c r="A150" s="6" t="s">
        <v>166</v>
      </c>
      <c r="B150" s="7">
        <v>45771</v>
      </c>
      <c r="C150" s="6" t="s">
        <v>17</v>
      </c>
      <c r="D150" s="6">
        <v>44</v>
      </c>
      <c r="E150" s="6" t="s">
        <v>74</v>
      </c>
      <c r="F150" s="6" t="s">
        <v>13</v>
      </c>
      <c r="G150" s="8">
        <v>758.44</v>
      </c>
      <c r="H150" s="6" t="str">
        <f t="shared" si="8"/>
        <v>Female</v>
      </c>
      <c r="I150" s="6" t="str">
        <f t="shared" si="9"/>
        <v>Garowe</v>
      </c>
      <c r="J150" s="6" t="str">
        <f t="shared" si="10"/>
        <v>Teacher</v>
      </c>
      <c r="K150" s="6" t="str">
        <f t="shared" si="11"/>
        <v>Low</v>
      </c>
    </row>
    <row r="151" spans="1:11">
      <c r="A151" s="6" t="s">
        <v>167</v>
      </c>
      <c r="B151" s="7">
        <v>45982</v>
      </c>
      <c r="C151" s="6" t="s">
        <v>8</v>
      </c>
      <c r="D151" s="6">
        <v>35</v>
      </c>
      <c r="E151" s="6" t="s">
        <v>9</v>
      </c>
      <c r="F151" s="6" t="s">
        <v>30</v>
      </c>
      <c r="G151" s="8">
        <v>1086.6400000000001</v>
      </c>
      <c r="H151" s="6" t="str">
        <f t="shared" si="8"/>
        <v>Male</v>
      </c>
      <c r="I151" s="6" t="str">
        <f t="shared" si="9"/>
        <v>Mogadishu</v>
      </c>
      <c r="J151" s="6" t="str">
        <f t="shared" si="10"/>
        <v>Business Owner</v>
      </c>
      <c r="K151" s="6" t="str">
        <f t="shared" si="11"/>
        <v>Medium</v>
      </c>
    </row>
    <row r="152" spans="1:11">
      <c r="A152" s="6" t="s">
        <v>168</v>
      </c>
      <c r="B152" s="7">
        <v>46000</v>
      </c>
      <c r="C152" s="6" t="s">
        <v>17</v>
      </c>
      <c r="D152" s="6">
        <v>43</v>
      </c>
      <c r="E152" s="6" t="s">
        <v>9</v>
      </c>
      <c r="F152" s="6" t="s">
        <v>44</v>
      </c>
      <c r="G152" s="8">
        <v>624.91999999999996</v>
      </c>
      <c r="H152" s="6" t="str">
        <f t="shared" si="8"/>
        <v>Female</v>
      </c>
      <c r="I152" s="6" t="str">
        <f t="shared" si="9"/>
        <v>Mogadishu</v>
      </c>
      <c r="J152" s="6" t="str">
        <f t="shared" si="10"/>
        <v>Engineer</v>
      </c>
      <c r="K152" s="6" t="str">
        <f t="shared" si="11"/>
        <v>Low</v>
      </c>
    </row>
    <row r="153" spans="1:11">
      <c r="A153" s="6" t="s">
        <v>169</v>
      </c>
      <c r="B153" s="7">
        <v>45676</v>
      </c>
      <c r="C153" s="6" t="s">
        <v>8</v>
      </c>
      <c r="D153" s="6">
        <v>44</v>
      </c>
      <c r="E153" s="6" t="s">
        <v>9</v>
      </c>
      <c r="F153" s="6" t="s">
        <v>30</v>
      </c>
      <c r="G153" s="8">
        <v>1015.92</v>
      </c>
      <c r="H153" s="6" t="str">
        <f t="shared" si="8"/>
        <v>Male</v>
      </c>
      <c r="I153" s="6" t="str">
        <f t="shared" si="9"/>
        <v>Mogadishu</v>
      </c>
      <c r="J153" s="6" t="str">
        <f t="shared" si="10"/>
        <v>Business Owner</v>
      </c>
      <c r="K153" s="6" t="str">
        <f t="shared" si="11"/>
        <v>Medium</v>
      </c>
    </row>
    <row r="154" spans="1:11">
      <c r="A154" s="6" t="s">
        <v>170</v>
      </c>
      <c r="B154" s="7">
        <v>46081</v>
      </c>
      <c r="C154" s="6" t="s">
        <v>17</v>
      </c>
      <c r="D154" s="6">
        <v>62</v>
      </c>
      <c r="E154" s="6" t="s">
        <v>9</v>
      </c>
      <c r="F154" s="6" t="s">
        <v>44</v>
      </c>
      <c r="G154" s="8">
        <v>1371.98</v>
      </c>
      <c r="H154" s="6" t="str">
        <f t="shared" si="8"/>
        <v>Female</v>
      </c>
      <c r="I154" s="6" t="str">
        <f t="shared" si="9"/>
        <v>Mogadishu</v>
      </c>
      <c r="J154" s="6" t="str">
        <f t="shared" si="10"/>
        <v>Engineer</v>
      </c>
      <c r="K154" s="6" t="str">
        <f t="shared" si="11"/>
        <v>Medium</v>
      </c>
    </row>
    <row r="155" spans="1:11">
      <c r="A155" s="6" t="s">
        <v>171</v>
      </c>
      <c r="B155" s="7">
        <v>45680</v>
      </c>
      <c r="C155" s="6" t="s">
        <v>17</v>
      </c>
      <c r="D155" s="6">
        <v>28</v>
      </c>
      <c r="E155" s="6" t="s">
        <v>12</v>
      </c>
      <c r="F155" s="6" t="s">
        <v>10</v>
      </c>
      <c r="G155" s="8">
        <v>836.87</v>
      </c>
      <c r="H155" s="6" t="str">
        <f t="shared" si="8"/>
        <v>Female</v>
      </c>
      <c r="I155" s="6" t="str">
        <f t="shared" si="9"/>
        <v>Baidoa</v>
      </c>
      <c r="J155" s="6" t="str">
        <f t="shared" si="10"/>
        <v>Healthcare</v>
      </c>
      <c r="K155" s="6" t="str">
        <f t="shared" si="11"/>
        <v>Medium</v>
      </c>
    </row>
    <row r="156" spans="1:11">
      <c r="A156" s="6" t="s">
        <v>172</v>
      </c>
      <c r="B156" s="7">
        <v>45892</v>
      </c>
      <c r="C156" s="6" t="s">
        <v>8</v>
      </c>
      <c r="D156" s="6">
        <v>44</v>
      </c>
      <c r="E156" s="6" t="s">
        <v>20</v>
      </c>
      <c r="F156" s="6" t="s">
        <v>30</v>
      </c>
      <c r="G156" s="8">
        <v>895.93</v>
      </c>
      <c r="H156" s="6" t="str">
        <f t="shared" si="8"/>
        <v>Male</v>
      </c>
      <c r="I156" s="6" t="str">
        <f t="shared" si="9"/>
        <v>Bosaso</v>
      </c>
      <c r="J156" s="6" t="str">
        <f t="shared" si="10"/>
        <v>Business Owner</v>
      </c>
      <c r="K156" s="6" t="str">
        <f t="shared" si="11"/>
        <v>Medium</v>
      </c>
    </row>
    <row r="157" spans="1:11">
      <c r="A157" s="6" t="s">
        <v>173</v>
      </c>
      <c r="B157" s="7">
        <v>46157</v>
      </c>
      <c r="C157" s="6" t="s">
        <v>312</v>
      </c>
      <c r="D157" s="6">
        <v>65</v>
      </c>
      <c r="E157" s="6" t="s">
        <v>12</v>
      </c>
      <c r="F157" s="6" t="s">
        <v>30</v>
      </c>
      <c r="G157" s="8">
        <v>1137.32</v>
      </c>
      <c r="H157" s="6" t="str">
        <f t="shared" si="8"/>
        <v>Missing</v>
      </c>
      <c r="I157" s="6" t="str">
        <f t="shared" si="9"/>
        <v>Baidoa</v>
      </c>
      <c r="J157" s="6" t="str">
        <f t="shared" si="10"/>
        <v>Business Owner</v>
      </c>
      <c r="K157" s="6" t="str">
        <f t="shared" si="11"/>
        <v>Medium</v>
      </c>
    </row>
    <row r="158" spans="1:11">
      <c r="A158" s="6" t="s">
        <v>175</v>
      </c>
      <c r="B158" s="7">
        <v>46230</v>
      </c>
      <c r="C158" s="6" t="s">
        <v>312</v>
      </c>
      <c r="D158" s="6">
        <v>70</v>
      </c>
      <c r="E158" s="6" t="s">
        <v>9</v>
      </c>
      <c r="F158" s="6" t="s">
        <v>10</v>
      </c>
      <c r="G158" s="8">
        <v>1087.08</v>
      </c>
      <c r="H158" s="6" t="str">
        <f t="shared" si="8"/>
        <v>Missing</v>
      </c>
      <c r="I158" s="6" t="str">
        <f t="shared" si="9"/>
        <v>Mogadishu</v>
      </c>
      <c r="J158" s="6" t="str">
        <f t="shared" si="10"/>
        <v>Healthcare</v>
      </c>
      <c r="K158" s="6" t="str">
        <f t="shared" si="11"/>
        <v>Medium</v>
      </c>
    </row>
    <row r="159" spans="1:11">
      <c r="A159" s="6" t="s">
        <v>176</v>
      </c>
      <c r="B159" s="7">
        <v>45839</v>
      </c>
      <c r="C159" s="6" t="s">
        <v>17</v>
      </c>
      <c r="D159" s="6">
        <v>44</v>
      </c>
      <c r="E159" s="6" t="s">
        <v>15</v>
      </c>
      <c r="F159" s="6" t="s">
        <v>13</v>
      </c>
      <c r="G159" s="8">
        <v>648.57000000000005</v>
      </c>
      <c r="H159" s="6" t="str">
        <f t="shared" si="8"/>
        <v>Female</v>
      </c>
      <c r="I159" s="6" t="str">
        <f t="shared" si="9"/>
        <v>Hargeisa</v>
      </c>
      <c r="J159" s="6" t="str">
        <f t="shared" si="10"/>
        <v>Teacher</v>
      </c>
      <c r="K159" s="6" t="str">
        <f t="shared" si="11"/>
        <v>Low</v>
      </c>
    </row>
    <row r="160" spans="1:11">
      <c r="A160" s="6" t="s">
        <v>177</v>
      </c>
      <c r="B160" s="7">
        <v>45873</v>
      </c>
      <c r="C160" s="6" t="s">
        <v>8</v>
      </c>
      <c r="D160" s="6">
        <v>52</v>
      </c>
      <c r="E160" s="6" t="s">
        <v>39</v>
      </c>
      <c r="F160" s="6" t="s">
        <v>10</v>
      </c>
      <c r="G160" s="8">
        <v>1064.4100000000001</v>
      </c>
      <c r="H160" s="6" t="str">
        <f t="shared" si="8"/>
        <v>Male</v>
      </c>
      <c r="I160" s="6" t="str">
        <f t="shared" si="9"/>
        <v>Kismayo</v>
      </c>
      <c r="J160" s="6" t="str">
        <f t="shared" si="10"/>
        <v>Healthcare</v>
      </c>
      <c r="K160" s="6" t="str">
        <f t="shared" si="11"/>
        <v>Medium</v>
      </c>
    </row>
    <row r="161" spans="1:11">
      <c r="B161" s="7">
        <v>45878</v>
      </c>
      <c r="C161" s="6" t="s">
        <v>8</v>
      </c>
      <c r="D161" s="6">
        <v>53</v>
      </c>
      <c r="E161" s="6" t="s">
        <v>9</v>
      </c>
      <c r="F161" s="6" t="s">
        <v>21</v>
      </c>
      <c r="G161" s="8">
        <v>944.96</v>
      </c>
      <c r="H161" s="6" t="str">
        <f t="shared" si="8"/>
        <v>Male</v>
      </c>
      <c r="I161" s="6" t="str">
        <f t="shared" si="9"/>
        <v>Mogadishu</v>
      </c>
      <c r="J161" s="6" t="str">
        <f t="shared" si="10"/>
        <v>Self-Employed</v>
      </c>
      <c r="K161" s="6" t="str">
        <f t="shared" si="11"/>
        <v>Medium</v>
      </c>
    </row>
    <row r="162" spans="1:11">
      <c r="A162" s="6" t="s">
        <v>178</v>
      </c>
      <c r="B162" s="7">
        <v>46059</v>
      </c>
      <c r="C162" s="6" t="s">
        <v>8</v>
      </c>
      <c r="D162" s="6">
        <v>36</v>
      </c>
      <c r="E162" s="6" t="s">
        <v>15</v>
      </c>
      <c r="F162" s="6" t="s">
        <v>10</v>
      </c>
      <c r="G162" s="8">
        <v>508.34</v>
      </c>
      <c r="H162" s="6" t="str">
        <f t="shared" si="8"/>
        <v>Male</v>
      </c>
      <c r="I162" s="6" t="str">
        <f t="shared" si="9"/>
        <v>Hargeisa</v>
      </c>
      <c r="J162" s="6" t="str">
        <f t="shared" si="10"/>
        <v>Healthcare</v>
      </c>
      <c r="K162" s="6" t="str">
        <f t="shared" si="11"/>
        <v>Low</v>
      </c>
    </row>
    <row r="163" spans="1:11">
      <c r="A163" s="6" t="s">
        <v>179</v>
      </c>
      <c r="B163" s="7">
        <v>46148</v>
      </c>
      <c r="C163" s="6" t="s">
        <v>8</v>
      </c>
      <c r="D163" s="6">
        <v>52</v>
      </c>
      <c r="E163" s="6" t="s">
        <v>9</v>
      </c>
      <c r="F163" s="6" t="s">
        <v>10</v>
      </c>
      <c r="G163" s="8">
        <v>934.22</v>
      </c>
      <c r="H163" s="6" t="str">
        <f t="shared" si="8"/>
        <v>Male</v>
      </c>
      <c r="I163" s="6" t="str">
        <f t="shared" si="9"/>
        <v>Mogadishu</v>
      </c>
      <c r="J163" s="6" t="str">
        <f t="shared" si="10"/>
        <v>Healthcare</v>
      </c>
      <c r="K163" s="6" t="str">
        <f t="shared" si="11"/>
        <v>Medium</v>
      </c>
    </row>
    <row r="164" spans="1:11">
      <c r="A164" s="6" t="s">
        <v>180</v>
      </c>
      <c r="B164" s="7">
        <v>45795</v>
      </c>
      <c r="C164" s="6" t="s">
        <v>8</v>
      </c>
      <c r="D164" s="6">
        <v>26</v>
      </c>
      <c r="E164" s="6" t="s">
        <v>39</v>
      </c>
      <c r="F164" s="6" t="s">
        <v>18</v>
      </c>
      <c r="G164" s="8">
        <v>267.12</v>
      </c>
      <c r="H164" s="6" t="str">
        <f t="shared" si="8"/>
        <v>Male</v>
      </c>
      <c r="I164" s="6" t="str">
        <f t="shared" si="9"/>
        <v>Kismayo</v>
      </c>
      <c r="J164" s="6" t="str">
        <f t="shared" si="10"/>
        <v>Student</v>
      </c>
      <c r="K164" s="6" t="str">
        <f t="shared" si="11"/>
        <v>Low</v>
      </c>
    </row>
    <row r="165" spans="1:11">
      <c r="A165" s="6" t="s">
        <v>181</v>
      </c>
      <c r="B165" s="7">
        <v>45879</v>
      </c>
      <c r="C165" s="6" t="s">
        <v>8</v>
      </c>
      <c r="D165" s="6">
        <v>42</v>
      </c>
      <c r="E165" s="6" t="s">
        <v>15</v>
      </c>
      <c r="F165" s="6" t="s">
        <v>30</v>
      </c>
      <c r="G165" s="8">
        <v>1672.71</v>
      </c>
      <c r="H165" s="6" t="str">
        <f t="shared" si="8"/>
        <v>Male</v>
      </c>
      <c r="I165" s="6" t="str">
        <f t="shared" si="9"/>
        <v>Hargeisa</v>
      </c>
      <c r="J165" s="6" t="str">
        <f t="shared" si="10"/>
        <v>Business Owner</v>
      </c>
      <c r="K165" s="6" t="str">
        <f t="shared" si="11"/>
        <v>High</v>
      </c>
    </row>
    <row r="166" spans="1:11">
      <c r="A166" s="6" t="s">
        <v>182</v>
      </c>
      <c r="B166" s="7">
        <v>46094</v>
      </c>
      <c r="C166" s="6" t="s">
        <v>17</v>
      </c>
      <c r="D166" s="6">
        <v>29</v>
      </c>
      <c r="E166" s="6" t="s">
        <v>20</v>
      </c>
      <c r="F166" s="6" t="s">
        <v>13</v>
      </c>
      <c r="G166" s="8">
        <v>794.1</v>
      </c>
      <c r="H166" s="6" t="str">
        <f t="shared" si="8"/>
        <v>Female</v>
      </c>
      <c r="I166" s="6" t="str">
        <f t="shared" si="9"/>
        <v>Bosaso</v>
      </c>
      <c r="J166" s="6" t="str">
        <f t="shared" si="10"/>
        <v>Teacher</v>
      </c>
      <c r="K166" s="6" t="str">
        <f t="shared" si="11"/>
        <v>Low</v>
      </c>
    </row>
    <row r="167" spans="1:11">
      <c r="A167" s="6" t="s">
        <v>183</v>
      </c>
      <c r="B167" s="7">
        <v>45868</v>
      </c>
      <c r="C167" s="6" t="s">
        <v>17</v>
      </c>
      <c r="D167" s="6">
        <v>59</v>
      </c>
      <c r="E167" s="6" t="s">
        <v>15</v>
      </c>
      <c r="F167" s="6" t="s">
        <v>13</v>
      </c>
      <c r="G167" s="8">
        <v>856.56</v>
      </c>
      <c r="H167" s="6" t="str">
        <f t="shared" si="8"/>
        <v>Female</v>
      </c>
      <c r="I167" s="6" t="str">
        <f t="shared" si="9"/>
        <v>Hargeisa</v>
      </c>
      <c r="J167" s="6" t="str">
        <f t="shared" si="10"/>
        <v>Teacher</v>
      </c>
      <c r="K167" s="6" t="str">
        <f t="shared" si="11"/>
        <v>Medium</v>
      </c>
    </row>
    <row r="168" spans="1:11">
      <c r="A168" s="6" t="s">
        <v>184</v>
      </c>
      <c r="B168" s="7">
        <v>45731</v>
      </c>
      <c r="C168" s="6" t="s">
        <v>17</v>
      </c>
      <c r="D168" s="6">
        <v>66</v>
      </c>
      <c r="E168" s="6" t="s">
        <v>15</v>
      </c>
      <c r="F168" s="6" t="s">
        <v>21</v>
      </c>
      <c r="G168" s="8">
        <v>457.6</v>
      </c>
      <c r="H168" s="6" t="str">
        <f t="shared" si="8"/>
        <v>Female</v>
      </c>
      <c r="I168" s="6" t="str">
        <f t="shared" si="9"/>
        <v>Hargeisa</v>
      </c>
      <c r="J168" s="6" t="str">
        <f t="shared" si="10"/>
        <v>Self-Employed</v>
      </c>
      <c r="K168" s="6" t="str">
        <f t="shared" si="11"/>
        <v>Low</v>
      </c>
    </row>
    <row r="169" spans="1:11">
      <c r="A169" s="6" t="s">
        <v>185</v>
      </c>
      <c r="B169" s="7">
        <v>46017</v>
      </c>
      <c r="C169" s="6" t="s">
        <v>8</v>
      </c>
      <c r="D169" s="6">
        <v>60</v>
      </c>
      <c r="E169" s="6" t="s">
        <v>9</v>
      </c>
      <c r="F169" s="6" t="s">
        <v>18</v>
      </c>
      <c r="G169" s="8">
        <v>175.19</v>
      </c>
      <c r="H169" s="6" t="str">
        <f t="shared" si="8"/>
        <v>Male</v>
      </c>
      <c r="I169" s="6" t="str">
        <f t="shared" si="9"/>
        <v>Mogadishu</v>
      </c>
      <c r="J169" s="6" t="str">
        <f t="shared" si="10"/>
        <v>Student</v>
      </c>
      <c r="K169" s="6" t="str">
        <f t="shared" si="11"/>
        <v>Low</v>
      </c>
    </row>
    <row r="170" spans="1:11">
      <c r="A170" s="6" t="s">
        <v>186</v>
      </c>
      <c r="B170" s="7">
        <v>45753</v>
      </c>
      <c r="C170" s="6" t="s">
        <v>17</v>
      </c>
      <c r="D170" s="6">
        <v>48</v>
      </c>
      <c r="E170" s="6" t="s">
        <v>74</v>
      </c>
      <c r="F170" s="6" t="s">
        <v>23</v>
      </c>
      <c r="G170" s="8">
        <v>746.26</v>
      </c>
      <c r="H170" s="6" t="str">
        <f t="shared" si="8"/>
        <v>Female</v>
      </c>
      <c r="I170" s="6" t="str">
        <f t="shared" si="9"/>
        <v>Garowe</v>
      </c>
      <c r="J170" s="6" t="str">
        <f t="shared" si="10"/>
        <v>Civil Servant</v>
      </c>
      <c r="K170" s="6" t="str">
        <f t="shared" si="11"/>
        <v>Low</v>
      </c>
    </row>
    <row r="171" spans="1:11">
      <c r="A171" s="6" t="s">
        <v>187</v>
      </c>
      <c r="B171" s="7">
        <v>45850</v>
      </c>
      <c r="C171" s="6" t="s">
        <v>17</v>
      </c>
      <c r="D171" s="6">
        <v>55</v>
      </c>
      <c r="E171" s="6" t="s">
        <v>9</v>
      </c>
      <c r="F171" s="6" t="s">
        <v>30</v>
      </c>
      <c r="G171" s="8">
        <v>1137.1600000000001</v>
      </c>
      <c r="H171" s="6" t="str">
        <f t="shared" si="8"/>
        <v>Female</v>
      </c>
      <c r="I171" s="6" t="str">
        <f t="shared" si="9"/>
        <v>Mogadishu</v>
      </c>
      <c r="J171" s="6" t="str">
        <f t="shared" si="10"/>
        <v>Business Owner</v>
      </c>
      <c r="K171" s="6" t="str">
        <f t="shared" si="11"/>
        <v>Medium</v>
      </c>
    </row>
    <row r="172" spans="1:11">
      <c r="A172" s="6" t="s">
        <v>188</v>
      </c>
      <c r="B172" s="7">
        <v>45871</v>
      </c>
      <c r="C172" s="6" t="s">
        <v>8</v>
      </c>
      <c r="D172" s="6">
        <v>30</v>
      </c>
      <c r="E172" s="6" t="s">
        <v>9</v>
      </c>
      <c r="F172" s="6" t="s">
        <v>18</v>
      </c>
      <c r="G172" s="8">
        <v>167.65</v>
      </c>
      <c r="H172" s="6" t="str">
        <f t="shared" si="8"/>
        <v>Male</v>
      </c>
      <c r="I172" s="6" t="str">
        <f t="shared" si="9"/>
        <v>Mogadishu</v>
      </c>
      <c r="J172" s="6" t="str">
        <f t="shared" si="10"/>
        <v>Student</v>
      </c>
      <c r="K172" s="6" t="str">
        <f t="shared" si="11"/>
        <v>Low</v>
      </c>
    </row>
    <row r="173" spans="1:11">
      <c r="A173" s="6" t="s">
        <v>189</v>
      </c>
      <c r="B173" s="7">
        <v>46189</v>
      </c>
      <c r="C173" s="6" t="s">
        <v>8</v>
      </c>
      <c r="D173" s="6">
        <v>31</v>
      </c>
      <c r="E173" s="6" t="s">
        <v>9</v>
      </c>
      <c r="F173" s="6" t="s">
        <v>13</v>
      </c>
      <c r="G173" s="8">
        <v>638.6</v>
      </c>
      <c r="H173" s="6" t="str">
        <f t="shared" si="8"/>
        <v>Male</v>
      </c>
      <c r="I173" s="6" t="str">
        <f t="shared" si="9"/>
        <v>Mogadishu</v>
      </c>
      <c r="J173" s="6" t="str">
        <f t="shared" si="10"/>
        <v>Teacher</v>
      </c>
      <c r="K173" s="6" t="str">
        <f t="shared" si="11"/>
        <v>Low</v>
      </c>
    </row>
    <row r="174" spans="1:11">
      <c r="A174" s="6" t="s">
        <v>190</v>
      </c>
      <c r="B174" s="7">
        <v>45696</v>
      </c>
      <c r="C174" s="6" t="s">
        <v>17</v>
      </c>
      <c r="D174" s="6">
        <v>62</v>
      </c>
      <c r="E174" s="6" t="s">
        <v>15</v>
      </c>
      <c r="F174" s="6" t="s">
        <v>18</v>
      </c>
      <c r="G174" s="8">
        <v>210.96</v>
      </c>
      <c r="H174" s="6" t="str">
        <f t="shared" si="8"/>
        <v>Female</v>
      </c>
      <c r="I174" s="6" t="str">
        <f t="shared" si="9"/>
        <v>Hargeisa</v>
      </c>
      <c r="J174" s="6" t="str">
        <f t="shared" si="10"/>
        <v>Student</v>
      </c>
      <c r="K174" s="6" t="str">
        <f t="shared" si="11"/>
        <v>Low</v>
      </c>
    </row>
    <row r="175" spans="1:11">
      <c r="A175" s="6" t="s">
        <v>191</v>
      </c>
      <c r="B175" s="7">
        <v>45857</v>
      </c>
      <c r="C175" s="6" t="s">
        <v>192</v>
      </c>
      <c r="D175" s="6">
        <v>28</v>
      </c>
      <c r="E175" s="6" t="s">
        <v>12</v>
      </c>
      <c r="F175" s="6" t="s">
        <v>18</v>
      </c>
      <c r="G175" s="8">
        <v>152.91999999999999</v>
      </c>
      <c r="H175" s="6" t="str">
        <f t="shared" si="8"/>
        <v>Male</v>
      </c>
      <c r="I175" s="6" t="str">
        <f t="shared" si="9"/>
        <v>Baidoa</v>
      </c>
      <c r="J175" s="6" t="str">
        <f t="shared" si="10"/>
        <v>Student</v>
      </c>
      <c r="K175" s="6" t="str">
        <f t="shared" si="11"/>
        <v>Low</v>
      </c>
    </row>
    <row r="176" spans="1:11">
      <c r="A176" s="6" t="s">
        <v>193</v>
      </c>
      <c r="B176" s="7">
        <v>45896</v>
      </c>
      <c r="C176" s="6" t="s">
        <v>8</v>
      </c>
      <c r="D176" s="6">
        <v>26</v>
      </c>
      <c r="E176" s="6" t="s">
        <v>20</v>
      </c>
      <c r="F176" s="6" t="s">
        <v>44</v>
      </c>
      <c r="G176" s="8">
        <v>1481.76</v>
      </c>
      <c r="H176" s="6" t="str">
        <f t="shared" si="8"/>
        <v>Male</v>
      </c>
      <c r="I176" s="6" t="str">
        <f t="shared" si="9"/>
        <v>Bosaso</v>
      </c>
      <c r="J176" s="6" t="str">
        <f t="shared" si="10"/>
        <v>Engineer</v>
      </c>
      <c r="K176" s="6" t="str">
        <f t="shared" si="11"/>
        <v>Medium</v>
      </c>
    </row>
    <row r="177" spans="1:11">
      <c r="A177" s="6" t="s">
        <v>194</v>
      </c>
      <c r="B177" s="7" t="s">
        <v>312</v>
      </c>
      <c r="C177" s="6" t="s">
        <v>17</v>
      </c>
      <c r="D177" s="6">
        <v>33</v>
      </c>
      <c r="E177" s="6" t="s">
        <v>9</v>
      </c>
      <c r="F177" s="6" t="s">
        <v>195</v>
      </c>
      <c r="G177" s="8">
        <v>964.35</v>
      </c>
      <c r="H177" s="6" t="str">
        <f t="shared" si="8"/>
        <v>Female</v>
      </c>
      <c r="I177" s="6" t="str">
        <f t="shared" si="9"/>
        <v>Mogadishu</v>
      </c>
      <c r="J177" s="6" t="str">
        <f t="shared" si="10"/>
        <v>Civil Servant</v>
      </c>
      <c r="K177" s="6" t="str">
        <f t="shared" si="11"/>
        <v>Medium</v>
      </c>
    </row>
    <row r="178" spans="1:11">
      <c r="A178" s="6" t="s">
        <v>196</v>
      </c>
      <c r="B178" s="7">
        <v>46166</v>
      </c>
      <c r="C178" s="6" t="s">
        <v>8</v>
      </c>
      <c r="D178" s="6">
        <v>69</v>
      </c>
      <c r="E178" s="6" t="s">
        <v>9</v>
      </c>
      <c r="F178" s="6" t="s">
        <v>10</v>
      </c>
      <c r="G178" s="8">
        <v>1244.97</v>
      </c>
      <c r="H178" s="6" t="str">
        <f t="shared" si="8"/>
        <v>Male</v>
      </c>
      <c r="I178" s="6" t="str">
        <f t="shared" si="9"/>
        <v>Mogadishu</v>
      </c>
      <c r="J178" s="6" t="str">
        <f t="shared" si="10"/>
        <v>Healthcare</v>
      </c>
      <c r="K178" s="6" t="str">
        <f t="shared" si="11"/>
        <v>Medium</v>
      </c>
    </row>
    <row r="179" spans="1:11">
      <c r="A179" s="6" t="s">
        <v>197</v>
      </c>
      <c r="B179" s="7">
        <v>46146</v>
      </c>
      <c r="C179" s="6" t="s">
        <v>17</v>
      </c>
      <c r="D179" s="6">
        <v>18</v>
      </c>
      <c r="E179" s="6" t="s">
        <v>9</v>
      </c>
      <c r="F179" s="6" t="s">
        <v>30</v>
      </c>
      <c r="G179" s="8">
        <v>721.99</v>
      </c>
      <c r="H179" s="6" t="str">
        <f t="shared" si="8"/>
        <v>Female</v>
      </c>
      <c r="I179" s="6" t="str">
        <f t="shared" si="9"/>
        <v>Mogadishu</v>
      </c>
      <c r="J179" s="6" t="str">
        <f t="shared" si="10"/>
        <v>Business Owner</v>
      </c>
      <c r="K179" s="6" t="str">
        <f t="shared" si="11"/>
        <v>Low</v>
      </c>
    </row>
    <row r="180" spans="1:11">
      <c r="A180" s="6" t="s">
        <v>198</v>
      </c>
      <c r="B180" s="7">
        <v>45932</v>
      </c>
      <c r="C180" s="6" t="s">
        <v>17</v>
      </c>
      <c r="D180" s="6">
        <v>33</v>
      </c>
      <c r="E180" s="6" t="s">
        <v>74</v>
      </c>
      <c r="F180" s="6" t="s">
        <v>10</v>
      </c>
      <c r="G180" s="8">
        <v>1332.38</v>
      </c>
      <c r="H180" s="6" t="str">
        <f t="shared" si="8"/>
        <v>Female</v>
      </c>
      <c r="I180" s="6" t="str">
        <f t="shared" si="9"/>
        <v>Garowe</v>
      </c>
      <c r="J180" s="6" t="str">
        <f t="shared" si="10"/>
        <v>Healthcare</v>
      </c>
      <c r="K180" s="6" t="str">
        <f t="shared" si="11"/>
        <v>Medium</v>
      </c>
    </row>
    <row r="181" spans="1:11">
      <c r="A181" s="6" t="s">
        <v>199</v>
      </c>
      <c r="B181" s="7">
        <v>45930</v>
      </c>
      <c r="C181" s="6" t="s">
        <v>17</v>
      </c>
      <c r="D181" s="6">
        <v>66</v>
      </c>
      <c r="E181" s="6" t="s">
        <v>9</v>
      </c>
      <c r="F181" s="6" t="s">
        <v>30</v>
      </c>
      <c r="G181" s="8">
        <v>969.34</v>
      </c>
      <c r="H181" s="6" t="str">
        <f t="shared" si="8"/>
        <v>Female</v>
      </c>
      <c r="I181" s="6" t="str">
        <f t="shared" si="9"/>
        <v>Mogadishu</v>
      </c>
      <c r="J181" s="6" t="str">
        <f t="shared" si="10"/>
        <v>Business Owner</v>
      </c>
      <c r="K181" s="6" t="str">
        <f t="shared" si="11"/>
        <v>Medium</v>
      </c>
    </row>
    <row r="182" spans="1:11">
      <c r="A182" s="6" t="s">
        <v>200</v>
      </c>
      <c r="B182" s="7">
        <v>45804</v>
      </c>
      <c r="C182" s="6" t="s">
        <v>17</v>
      </c>
      <c r="D182" s="6">
        <v>65</v>
      </c>
      <c r="E182" s="6" t="s">
        <v>9</v>
      </c>
      <c r="F182" s="6" t="s">
        <v>44</v>
      </c>
      <c r="G182" s="8">
        <v>790.75</v>
      </c>
      <c r="H182" s="6" t="str">
        <f t="shared" si="8"/>
        <v>Female</v>
      </c>
      <c r="I182" s="6" t="str">
        <f t="shared" si="9"/>
        <v>Mogadishu</v>
      </c>
      <c r="J182" s="6" t="str">
        <f t="shared" si="10"/>
        <v>Engineer</v>
      </c>
      <c r="K182" s="6" t="str">
        <f t="shared" si="11"/>
        <v>Low</v>
      </c>
    </row>
    <row r="183" spans="1:11">
      <c r="A183" s="6" t="s">
        <v>201</v>
      </c>
      <c r="B183" s="7">
        <v>45899</v>
      </c>
      <c r="C183" s="6" t="s">
        <v>8</v>
      </c>
      <c r="D183" s="6">
        <v>67</v>
      </c>
      <c r="E183" s="6" t="s">
        <v>39</v>
      </c>
      <c r="F183" s="6" t="s">
        <v>13</v>
      </c>
      <c r="G183" s="8">
        <v>828.77</v>
      </c>
      <c r="H183" s="6" t="str">
        <f t="shared" si="8"/>
        <v>Male</v>
      </c>
      <c r="I183" s="6" t="str">
        <f t="shared" si="9"/>
        <v>Kismayo</v>
      </c>
      <c r="J183" s="6" t="str">
        <f t="shared" si="10"/>
        <v>Teacher</v>
      </c>
      <c r="K183" s="6" t="str">
        <f t="shared" si="11"/>
        <v>Medium</v>
      </c>
    </row>
    <row r="184" spans="1:11">
      <c r="A184" s="6" t="s">
        <v>202</v>
      </c>
      <c r="B184" s="7">
        <v>45720</v>
      </c>
      <c r="C184" s="6" t="s">
        <v>17</v>
      </c>
      <c r="D184" s="6">
        <v>37</v>
      </c>
      <c r="E184" s="6" t="s">
        <v>9</v>
      </c>
      <c r="F184" s="6" t="s">
        <v>30</v>
      </c>
      <c r="G184" s="8">
        <v>1800.86</v>
      </c>
      <c r="H184" s="6" t="str">
        <f t="shared" si="8"/>
        <v>Female</v>
      </c>
      <c r="I184" s="6" t="str">
        <f t="shared" si="9"/>
        <v>Mogadishu</v>
      </c>
      <c r="J184" s="6" t="str">
        <f t="shared" si="10"/>
        <v>Business Owner</v>
      </c>
      <c r="K184" s="6" t="str">
        <f t="shared" si="11"/>
        <v>High</v>
      </c>
    </row>
    <row r="185" spans="1:11">
      <c r="B185" s="7">
        <v>45945</v>
      </c>
      <c r="C185" s="6" t="s">
        <v>17</v>
      </c>
      <c r="D185" s="6">
        <v>41</v>
      </c>
      <c r="E185" s="6" t="s">
        <v>20</v>
      </c>
      <c r="F185" s="6" t="s">
        <v>10</v>
      </c>
      <c r="G185" s="8">
        <v>1200.17</v>
      </c>
      <c r="H185" s="6" t="str">
        <f t="shared" si="8"/>
        <v>Female</v>
      </c>
      <c r="I185" s="6" t="str">
        <f t="shared" si="9"/>
        <v>Bosaso</v>
      </c>
      <c r="J185" s="6" t="str">
        <f t="shared" si="10"/>
        <v>Healthcare</v>
      </c>
      <c r="K185" s="6" t="str">
        <f t="shared" si="11"/>
        <v>Medium</v>
      </c>
    </row>
    <row r="186" spans="1:11">
      <c r="A186" s="6" t="s">
        <v>203</v>
      </c>
      <c r="B186" s="7">
        <v>45780</v>
      </c>
      <c r="C186" s="6" t="s">
        <v>8</v>
      </c>
      <c r="D186" s="6">
        <v>67</v>
      </c>
      <c r="E186" s="6" t="s">
        <v>9</v>
      </c>
      <c r="F186" s="6" t="s">
        <v>23</v>
      </c>
      <c r="G186" s="8">
        <v>923.87</v>
      </c>
      <c r="H186" s="6" t="str">
        <f t="shared" si="8"/>
        <v>Male</v>
      </c>
      <c r="I186" s="6" t="str">
        <f t="shared" si="9"/>
        <v>Mogadishu</v>
      </c>
      <c r="J186" s="6" t="str">
        <f t="shared" si="10"/>
        <v>Civil Servant</v>
      </c>
      <c r="K186" s="6" t="str">
        <f t="shared" si="11"/>
        <v>Medium</v>
      </c>
    </row>
    <row r="187" spans="1:11">
      <c r="A187" s="6" t="s">
        <v>204</v>
      </c>
      <c r="B187" s="7">
        <v>46021</v>
      </c>
      <c r="C187" s="6" t="s">
        <v>8</v>
      </c>
      <c r="D187" s="6">
        <v>44</v>
      </c>
      <c r="E187" s="6" t="s">
        <v>74</v>
      </c>
      <c r="F187" s="6" t="s">
        <v>10</v>
      </c>
      <c r="G187" s="8">
        <v>853.76</v>
      </c>
      <c r="H187" s="6" t="str">
        <f t="shared" si="8"/>
        <v>Male</v>
      </c>
      <c r="I187" s="6" t="str">
        <f t="shared" si="9"/>
        <v>Garowe</v>
      </c>
      <c r="J187" s="6" t="str">
        <f t="shared" si="10"/>
        <v>Healthcare</v>
      </c>
      <c r="K187" s="6" t="str">
        <f t="shared" si="11"/>
        <v>Medium</v>
      </c>
    </row>
    <row r="188" spans="1:11">
      <c r="B188" s="7">
        <v>45728</v>
      </c>
      <c r="C188" s="6" t="s">
        <v>8</v>
      </c>
      <c r="D188" s="6">
        <v>21</v>
      </c>
      <c r="E188" s="6" t="s">
        <v>39</v>
      </c>
      <c r="F188" s="6" t="s">
        <v>10</v>
      </c>
      <c r="G188" s="8">
        <v>1144.9100000000001</v>
      </c>
      <c r="H188" s="6" t="str">
        <f t="shared" si="8"/>
        <v>Male</v>
      </c>
      <c r="I188" s="6" t="str">
        <f t="shared" si="9"/>
        <v>Kismayo</v>
      </c>
      <c r="J188" s="6" t="str">
        <f t="shared" si="10"/>
        <v>Healthcare</v>
      </c>
      <c r="K188" s="6" t="str">
        <f t="shared" si="11"/>
        <v>Medium</v>
      </c>
    </row>
    <row r="189" spans="1:11">
      <c r="A189" s="6" t="s">
        <v>205</v>
      </c>
      <c r="B189" s="7">
        <v>45845</v>
      </c>
      <c r="C189" s="6" t="s">
        <v>17</v>
      </c>
      <c r="D189" s="6">
        <v>56</v>
      </c>
      <c r="E189" s="6" t="s">
        <v>39</v>
      </c>
      <c r="F189" s="6" t="s">
        <v>30</v>
      </c>
      <c r="G189" s="8">
        <v>660.22</v>
      </c>
      <c r="H189" s="6" t="str">
        <f t="shared" si="8"/>
        <v>Female</v>
      </c>
      <c r="I189" s="6" t="str">
        <f t="shared" si="9"/>
        <v>Kismayo</v>
      </c>
      <c r="J189" s="6" t="str">
        <f t="shared" si="10"/>
        <v>Business Owner</v>
      </c>
      <c r="K189" s="6" t="str">
        <f t="shared" si="11"/>
        <v>Low</v>
      </c>
    </row>
    <row r="190" spans="1:11">
      <c r="A190" s="6" t="s">
        <v>206</v>
      </c>
      <c r="B190" s="7">
        <v>45805</v>
      </c>
      <c r="C190" s="6" t="s">
        <v>8</v>
      </c>
      <c r="D190" s="6">
        <v>41</v>
      </c>
      <c r="E190" s="6" t="s">
        <v>9</v>
      </c>
      <c r="F190" s="6" t="s">
        <v>13</v>
      </c>
      <c r="G190" s="8">
        <v>868.55</v>
      </c>
      <c r="H190" s="6" t="str">
        <f t="shared" si="8"/>
        <v>Male</v>
      </c>
      <c r="I190" s="6" t="str">
        <f t="shared" si="9"/>
        <v>Mogadishu</v>
      </c>
      <c r="J190" s="6" t="str">
        <f t="shared" si="10"/>
        <v>Teacher</v>
      </c>
      <c r="K190" s="6" t="str">
        <f t="shared" si="11"/>
        <v>Medium</v>
      </c>
    </row>
    <row r="191" spans="1:11">
      <c r="A191" s="6" t="s">
        <v>207</v>
      </c>
      <c r="B191" s="7">
        <v>45665</v>
      </c>
      <c r="C191" s="6" t="s">
        <v>17</v>
      </c>
      <c r="D191" s="6">
        <v>40</v>
      </c>
      <c r="E191" s="6" t="s">
        <v>20</v>
      </c>
      <c r="F191" s="6" t="s">
        <v>23</v>
      </c>
      <c r="G191" s="8">
        <v>789.1</v>
      </c>
      <c r="H191" s="6" t="str">
        <f t="shared" si="8"/>
        <v>Female</v>
      </c>
      <c r="I191" s="6" t="str">
        <f t="shared" si="9"/>
        <v>Bosaso</v>
      </c>
      <c r="J191" s="6" t="str">
        <f t="shared" si="10"/>
        <v>Civil Servant</v>
      </c>
      <c r="K191" s="6" t="str">
        <f t="shared" si="11"/>
        <v>Low</v>
      </c>
    </row>
    <row r="192" spans="1:11">
      <c r="A192" s="6" t="s">
        <v>208</v>
      </c>
      <c r="B192" s="7">
        <v>46019</v>
      </c>
      <c r="C192" s="6" t="s">
        <v>17</v>
      </c>
      <c r="D192" s="6">
        <v>38</v>
      </c>
      <c r="E192" s="6" t="s">
        <v>9</v>
      </c>
      <c r="F192" s="6" t="s">
        <v>21</v>
      </c>
      <c r="G192" s="8">
        <v>748.35</v>
      </c>
      <c r="H192" s="6" t="str">
        <f t="shared" si="8"/>
        <v>Female</v>
      </c>
      <c r="I192" s="6" t="str">
        <f t="shared" si="9"/>
        <v>Mogadishu</v>
      </c>
      <c r="J192" s="6" t="str">
        <f t="shared" si="10"/>
        <v>Self-Employed</v>
      </c>
      <c r="K192" s="6" t="str">
        <f t="shared" si="11"/>
        <v>Low</v>
      </c>
    </row>
    <row r="193" spans="1:11">
      <c r="A193" s="6" t="s">
        <v>209</v>
      </c>
      <c r="B193" s="7">
        <v>45998</v>
      </c>
      <c r="C193" s="6" t="s">
        <v>17</v>
      </c>
      <c r="D193" s="6">
        <v>37</v>
      </c>
      <c r="E193" s="6" t="s">
        <v>74</v>
      </c>
      <c r="F193" s="6" t="s">
        <v>13</v>
      </c>
      <c r="G193" s="8">
        <v>853.86</v>
      </c>
      <c r="H193" s="6" t="str">
        <f t="shared" si="8"/>
        <v>Female</v>
      </c>
      <c r="I193" s="6" t="str">
        <f t="shared" si="9"/>
        <v>Garowe</v>
      </c>
      <c r="J193" s="6" t="str">
        <f t="shared" si="10"/>
        <v>Teacher</v>
      </c>
      <c r="K193" s="6" t="str">
        <f t="shared" si="11"/>
        <v>Medium</v>
      </c>
    </row>
    <row r="194" spans="1:11">
      <c r="A194" s="6" t="s">
        <v>210</v>
      </c>
      <c r="B194" s="7">
        <v>46073</v>
      </c>
      <c r="C194" s="6" t="s">
        <v>8</v>
      </c>
      <c r="D194" s="6">
        <v>30</v>
      </c>
      <c r="E194" s="6" t="s">
        <v>20</v>
      </c>
      <c r="F194" s="6" t="s">
        <v>10</v>
      </c>
      <c r="G194" s="8">
        <v>1315.27</v>
      </c>
      <c r="H194" s="6" t="str">
        <f t="shared" si="8"/>
        <v>Male</v>
      </c>
      <c r="I194" s="6" t="str">
        <f t="shared" si="9"/>
        <v>Bosaso</v>
      </c>
      <c r="J194" s="6" t="str">
        <f t="shared" si="10"/>
        <v>Healthcare</v>
      </c>
      <c r="K194" s="6" t="str">
        <f t="shared" si="11"/>
        <v>Medium</v>
      </c>
    </row>
    <row r="195" spans="1:11">
      <c r="A195" s="6" t="s">
        <v>211</v>
      </c>
      <c r="B195" s="7">
        <v>46014</v>
      </c>
      <c r="C195" s="6" t="s">
        <v>8</v>
      </c>
      <c r="D195" s="6">
        <v>55</v>
      </c>
      <c r="E195" s="6" t="s">
        <v>15</v>
      </c>
      <c r="F195" s="6" t="s">
        <v>10</v>
      </c>
      <c r="G195" s="8">
        <v>775.19</v>
      </c>
      <c r="H195" s="6" t="str">
        <f t="shared" ref="H195:H258" si="12">PROPER(TRIM(C195))</f>
        <v>Male</v>
      </c>
      <c r="I195" s="6" t="str">
        <f t="shared" ref="I195:I258" si="13">PROPER(TRIM(E195))</f>
        <v>Hargeisa</v>
      </c>
      <c r="J195" s="6" t="str">
        <f t="shared" ref="J195:J258" si="14">PROPER(TRIM(SUBSTITUTE(F195,"CS","Civil Servant")))</f>
        <v>Healthcare</v>
      </c>
      <c r="K195" s="6" t="str">
        <f t="shared" ref="K195:K258" si="15">IF(G195&gt;=1500,"High",IF(G195&gt;=800,"Medium","Low"))</f>
        <v>Low</v>
      </c>
    </row>
    <row r="196" spans="1:11">
      <c r="A196" s="6" t="s">
        <v>212</v>
      </c>
      <c r="B196" s="7">
        <v>45734</v>
      </c>
      <c r="C196" s="6" t="s">
        <v>8</v>
      </c>
      <c r="D196" s="6">
        <v>32</v>
      </c>
      <c r="E196" s="6" t="s">
        <v>12</v>
      </c>
      <c r="F196" s="6" t="s">
        <v>23</v>
      </c>
      <c r="G196" s="8">
        <v>707.01</v>
      </c>
      <c r="H196" s="6" t="str">
        <f t="shared" si="12"/>
        <v>Male</v>
      </c>
      <c r="I196" s="6" t="str">
        <f t="shared" si="13"/>
        <v>Baidoa</v>
      </c>
      <c r="J196" s="6" t="str">
        <f t="shared" si="14"/>
        <v>Civil Servant</v>
      </c>
      <c r="K196" s="6" t="str">
        <f t="shared" si="15"/>
        <v>Low</v>
      </c>
    </row>
    <row r="197" spans="1:11">
      <c r="A197" s="6" t="s">
        <v>213</v>
      </c>
      <c r="B197" s="7">
        <v>46183</v>
      </c>
      <c r="C197" s="6" t="s">
        <v>8</v>
      </c>
      <c r="D197" s="6">
        <v>65</v>
      </c>
      <c r="E197" s="6" t="s">
        <v>9</v>
      </c>
      <c r="F197" s="6" t="s">
        <v>10</v>
      </c>
      <c r="G197" s="8">
        <v>742.69</v>
      </c>
      <c r="H197" s="6" t="str">
        <f t="shared" si="12"/>
        <v>Male</v>
      </c>
      <c r="I197" s="6" t="str">
        <f t="shared" si="13"/>
        <v>Mogadishu</v>
      </c>
      <c r="J197" s="6" t="str">
        <f t="shared" si="14"/>
        <v>Healthcare</v>
      </c>
      <c r="K197" s="6" t="str">
        <f t="shared" si="15"/>
        <v>Low</v>
      </c>
    </row>
    <row r="198" spans="1:11">
      <c r="A198" s="6" t="s">
        <v>214</v>
      </c>
      <c r="B198" s="7">
        <v>46014</v>
      </c>
      <c r="C198" s="6" t="s">
        <v>17</v>
      </c>
      <c r="D198" s="6">
        <v>60</v>
      </c>
      <c r="E198" s="6" t="s">
        <v>12</v>
      </c>
      <c r="F198" s="6" t="s">
        <v>44</v>
      </c>
      <c r="G198" s="8">
        <v>599.34</v>
      </c>
      <c r="H198" s="6" t="str">
        <f t="shared" si="12"/>
        <v>Female</v>
      </c>
      <c r="I198" s="6" t="str">
        <f t="shared" si="13"/>
        <v>Baidoa</v>
      </c>
      <c r="J198" s="6" t="str">
        <f t="shared" si="14"/>
        <v>Engineer</v>
      </c>
      <c r="K198" s="6" t="str">
        <f t="shared" si="15"/>
        <v>Low</v>
      </c>
    </row>
    <row r="199" spans="1:11">
      <c r="A199" s="6" t="s">
        <v>215</v>
      </c>
      <c r="B199" s="7">
        <v>45984</v>
      </c>
      <c r="C199" s="6" t="s">
        <v>17</v>
      </c>
      <c r="D199" s="6">
        <v>39</v>
      </c>
      <c r="E199" s="6" t="s">
        <v>39</v>
      </c>
      <c r="F199" s="6" t="s">
        <v>44</v>
      </c>
      <c r="G199" s="8">
        <v>797.52</v>
      </c>
      <c r="H199" s="6" t="str">
        <f t="shared" si="12"/>
        <v>Female</v>
      </c>
      <c r="I199" s="6" t="str">
        <f t="shared" si="13"/>
        <v>Kismayo</v>
      </c>
      <c r="J199" s="6" t="str">
        <f t="shared" si="14"/>
        <v>Engineer</v>
      </c>
      <c r="K199" s="6" t="str">
        <f t="shared" si="15"/>
        <v>Low</v>
      </c>
    </row>
    <row r="200" spans="1:11">
      <c r="A200" s="6" t="s">
        <v>216</v>
      </c>
      <c r="B200" s="7">
        <v>45667</v>
      </c>
      <c r="C200" s="6" t="s">
        <v>17</v>
      </c>
      <c r="D200" s="6">
        <v>51</v>
      </c>
      <c r="E200" s="6" t="s">
        <v>9</v>
      </c>
      <c r="F200" s="6" t="s">
        <v>30</v>
      </c>
      <c r="G200" s="8">
        <v>1547.72</v>
      </c>
      <c r="H200" s="6" t="str">
        <f t="shared" si="12"/>
        <v>Female</v>
      </c>
      <c r="I200" s="6" t="str">
        <f t="shared" si="13"/>
        <v>Mogadishu</v>
      </c>
      <c r="J200" s="6" t="str">
        <f t="shared" si="14"/>
        <v>Business Owner</v>
      </c>
      <c r="K200" s="6" t="str">
        <f t="shared" si="15"/>
        <v>High</v>
      </c>
    </row>
    <row r="201" spans="1:11">
      <c r="A201" s="6" t="s">
        <v>217</v>
      </c>
      <c r="B201" s="7">
        <v>45694</v>
      </c>
      <c r="C201" s="6" t="s">
        <v>17</v>
      </c>
      <c r="D201" s="6">
        <v>20</v>
      </c>
      <c r="E201" s="6" t="s">
        <v>9</v>
      </c>
      <c r="F201" s="6" t="s">
        <v>23</v>
      </c>
      <c r="G201" s="8">
        <v>923.87</v>
      </c>
      <c r="H201" s="6" t="str">
        <f t="shared" si="12"/>
        <v>Female</v>
      </c>
      <c r="I201" s="6" t="str">
        <f t="shared" si="13"/>
        <v>Mogadishu</v>
      </c>
      <c r="J201" s="6" t="str">
        <f t="shared" si="14"/>
        <v>Civil Servant</v>
      </c>
      <c r="K201" s="6" t="str">
        <f t="shared" si="15"/>
        <v>Medium</v>
      </c>
    </row>
    <row r="202" spans="1:11">
      <c r="A202" s="6" t="s">
        <v>218</v>
      </c>
      <c r="B202" s="7">
        <v>45848</v>
      </c>
      <c r="C202" s="6" t="s">
        <v>8</v>
      </c>
      <c r="D202" s="6">
        <v>18</v>
      </c>
      <c r="E202" s="6" t="s">
        <v>20</v>
      </c>
      <c r="F202" s="6" t="s">
        <v>18</v>
      </c>
      <c r="G202" s="8">
        <v>108.23</v>
      </c>
      <c r="H202" s="6" t="str">
        <f t="shared" si="12"/>
        <v>Male</v>
      </c>
      <c r="I202" s="6" t="str">
        <f t="shared" si="13"/>
        <v>Bosaso</v>
      </c>
      <c r="J202" s="6" t="str">
        <f t="shared" si="14"/>
        <v>Student</v>
      </c>
      <c r="K202" s="6" t="str">
        <f t="shared" si="15"/>
        <v>Low</v>
      </c>
    </row>
    <row r="203" spans="1:11">
      <c r="A203" s="6" t="s">
        <v>219</v>
      </c>
      <c r="B203" s="7">
        <v>45833</v>
      </c>
      <c r="C203" s="6" t="s">
        <v>8</v>
      </c>
      <c r="D203" s="6">
        <v>28</v>
      </c>
      <c r="E203" s="6" t="s">
        <v>74</v>
      </c>
      <c r="F203" s="6" t="s">
        <v>13</v>
      </c>
      <c r="G203" s="8">
        <v>919.61</v>
      </c>
      <c r="H203" s="6" t="str">
        <f t="shared" si="12"/>
        <v>Male</v>
      </c>
      <c r="I203" s="6" t="str">
        <f t="shared" si="13"/>
        <v>Garowe</v>
      </c>
      <c r="J203" s="6" t="str">
        <f t="shared" si="14"/>
        <v>Teacher</v>
      </c>
      <c r="K203" s="6" t="str">
        <f t="shared" si="15"/>
        <v>Medium</v>
      </c>
    </row>
    <row r="204" spans="1:11">
      <c r="A204" s="6" t="s">
        <v>220</v>
      </c>
      <c r="B204" s="7">
        <v>45765</v>
      </c>
      <c r="C204" s="6" t="s">
        <v>8</v>
      </c>
      <c r="D204" s="6">
        <v>44</v>
      </c>
      <c r="E204" s="6" t="s">
        <v>20</v>
      </c>
      <c r="F204" s="6" t="s">
        <v>21</v>
      </c>
      <c r="G204" s="8">
        <v>923.87</v>
      </c>
      <c r="H204" s="6" t="str">
        <f t="shared" si="12"/>
        <v>Male</v>
      </c>
      <c r="I204" s="6" t="str">
        <f t="shared" si="13"/>
        <v>Bosaso</v>
      </c>
      <c r="J204" s="6" t="str">
        <f t="shared" si="14"/>
        <v>Self-Employed</v>
      </c>
      <c r="K204" s="6" t="str">
        <f t="shared" si="15"/>
        <v>Medium</v>
      </c>
    </row>
    <row r="205" spans="1:11">
      <c r="A205" s="6" t="s">
        <v>221</v>
      </c>
      <c r="B205" s="7">
        <v>45932</v>
      </c>
      <c r="C205" s="6" t="s">
        <v>8</v>
      </c>
      <c r="D205" s="6">
        <v>54</v>
      </c>
      <c r="E205" s="6" t="s">
        <v>39</v>
      </c>
      <c r="F205" s="6" t="s">
        <v>23</v>
      </c>
      <c r="G205" s="8">
        <v>1108.6199999999999</v>
      </c>
      <c r="H205" s="6" t="str">
        <f t="shared" si="12"/>
        <v>Male</v>
      </c>
      <c r="I205" s="6" t="str">
        <f t="shared" si="13"/>
        <v>Kismayo</v>
      </c>
      <c r="J205" s="6" t="str">
        <f t="shared" si="14"/>
        <v>Civil Servant</v>
      </c>
      <c r="K205" s="6" t="str">
        <f t="shared" si="15"/>
        <v>Medium</v>
      </c>
    </row>
    <row r="206" spans="1:11">
      <c r="A206" s="6" t="s">
        <v>222</v>
      </c>
      <c r="B206" s="7">
        <v>46060</v>
      </c>
      <c r="C206" s="6" t="s">
        <v>312</v>
      </c>
      <c r="D206" s="6">
        <v>33</v>
      </c>
      <c r="E206" s="6" t="s">
        <v>9</v>
      </c>
      <c r="F206" s="6" t="s">
        <v>23</v>
      </c>
      <c r="G206" s="8">
        <v>930.02</v>
      </c>
      <c r="H206" s="6" t="str">
        <f t="shared" si="12"/>
        <v>Missing</v>
      </c>
      <c r="I206" s="6" t="str">
        <f t="shared" si="13"/>
        <v>Mogadishu</v>
      </c>
      <c r="J206" s="6" t="str">
        <f t="shared" si="14"/>
        <v>Civil Servant</v>
      </c>
      <c r="K206" s="6" t="str">
        <f t="shared" si="15"/>
        <v>Medium</v>
      </c>
    </row>
    <row r="207" spans="1:11">
      <c r="A207" s="6" t="s">
        <v>223</v>
      </c>
      <c r="B207" s="7" t="s">
        <v>312</v>
      </c>
      <c r="C207" s="6" t="s">
        <v>17</v>
      </c>
      <c r="D207" s="6">
        <v>55</v>
      </c>
      <c r="E207" s="6" t="s">
        <v>39</v>
      </c>
      <c r="F207" s="6" t="s">
        <v>44</v>
      </c>
      <c r="G207" s="8">
        <v>1603.75</v>
      </c>
      <c r="H207" s="6" t="str">
        <f t="shared" si="12"/>
        <v>Female</v>
      </c>
      <c r="I207" s="6" t="str">
        <f t="shared" si="13"/>
        <v>Kismayo</v>
      </c>
      <c r="J207" s="6" t="str">
        <f t="shared" si="14"/>
        <v>Engineer</v>
      </c>
      <c r="K207" s="6" t="str">
        <f t="shared" si="15"/>
        <v>High</v>
      </c>
    </row>
    <row r="208" spans="1:11">
      <c r="A208" s="6" t="s">
        <v>224</v>
      </c>
      <c r="B208" s="7">
        <v>46014</v>
      </c>
      <c r="C208" s="6" t="s">
        <v>8</v>
      </c>
      <c r="D208" s="6">
        <v>46</v>
      </c>
      <c r="E208" s="6" t="s">
        <v>312</v>
      </c>
      <c r="F208" s="6" t="s">
        <v>30</v>
      </c>
      <c r="G208" s="8">
        <v>1509.47</v>
      </c>
      <c r="H208" s="6" t="str">
        <f t="shared" si="12"/>
        <v>Male</v>
      </c>
      <c r="I208" s="6" t="str">
        <f t="shared" si="13"/>
        <v>Missing</v>
      </c>
      <c r="J208" s="6" t="str">
        <f t="shared" si="14"/>
        <v>Business Owner</v>
      </c>
      <c r="K208" s="6" t="str">
        <f t="shared" si="15"/>
        <v>High</v>
      </c>
    </row>
    <row r="209" spans="1:11">
      <c r="A209" s="6" t="s">
        <v>225</v>
      </c>
      <c r="B209" s="7">
        <v>45821</v>
      </c>
      <c r="C209" s="6" t="s">
        <v>226</v>
      </c>
      <c r="D209" s="6">
        <v>48</v>
      </c>
      <c r="E209" s="6" t="s">
        <v>9</v>
      </c>
      <c r="F209" s="6" t="s">
        <v>13</v>
      </c>
      <c r="G209" s="8">
        <v>921.62</v>
      </c>
      <c r="H209" s="6" t="str">
        <f t="shared" si="12"/>
        <v>Female</v>
      </c>
      <c r="I209" s="6" t="str">
        <f t="shared" si="13"/>
        <v>Mogadishu</v>
      </c>
      <c r="J209" s="6" t="str">
        <f t="shared" si="14"/>
        <v>Teacher</v>
      </c>
      <c r="K209" s="6" t="str">
        <f t="shared" si="15"/>
        <v>Medium</v>
      </c>
    </row>
    <row r="210" spans="1:11">
      <c r="A210" s="6" t="s">
        <v>227</v>
      </c>
      <c r="B210" s="7" t="s">
        <v>312</v>
      </c>
      <c r="C210" s="6" t="s">
        <v>8</v>
      </c>
      <c r="D210" s="6">
        <v>57</v>
      </c>
      <c r="E210" s="6" t="s">
        <v>9</v>
      </c>
      <c r="F210" s="6" t="s">
        <v>10</v>
      </c>
      <c r="G210" s="8">
        <v>502.04</v>
      </c>
      <c r="H210" s="6" t="str">
        <f t="shared" si="12"/>
        <v>Male</v>
      </c>
      <c r="I210" s="6" t="str">
        <f t="shared" si="13"/>
        <v>Mogadishu</v>
      </c>
      <c r="J210" s="6" t="str">
        <f t="shared" si="14"/>
        <v>Healthcare</v>
      </c>
      <c r="K210" s="6" t="str">
        <f t="shared" si="15"/>
        <v>Low</v>
      </c>
    </row>
    <row r="211" spans="1:11">
      <c r="A211" s="6" t="s">
        <v>228</v>
      </c>
      <c r="B211" s="7">
        <v>45749</v>
      </c>
      <c r="C211" s="6" t="s">
        <v>8</v>
      </c>
      <c r="D211" s="6">
        <v>42</v>
      </c>
      <c r="E211" s="6" t="s">
        <v>9</v>
      </c>
      <c r="F211" s="6" t="s">
        <v>30</v>
      </c>
      <c r="G211" s="8">
        <v>1091.0999999999999</v>
      </c>
      <c r="H211" s="6" t="str">
        <f t="shared" si="12"/>
        <v>Male</v>
      </c>
      <c r="I211" s="6" t="str">
        <f t="shared" si="13"/>
        <v>Mogadishu</v>
      </c>
      <c r="J211" s="6" t="str">
        <f t="shared" si="14"/>
        <v>Business Owner</v>
      </c>
      <c r="K211" s="6" t="str">
        <f t="shared" si="15"/>
        <v>Medium</v>
      </c>
    </row>
    <row r="212" spans="1:11">
      <c r="A212" s="6" t="s">
        <v>229</v>
      </c>
      <c r="B212" s="7">
        <v>45925</v>
      </c>
      <c r="C212" s="6" t="s">
        <v>17</v>
      </c>
      <c r="D212" s="6">
        <v>58</v>
      </c>
      <c r="E212" s="6" t="s">
        <v>9</v>
      </c>
      <c r="F212" s="6" t="s">
        <v>30</v>
      </c>
      <c r="G212" s="8">
        <v>1013.28</v>
      </c>
      <c r="H212" s="6" t="str">
        <f t="shared" si="12"/>
        <v>Female</v>
      </c>
      <c r="I212" s="6" t="str">
        <f t="shared" si="13"/>
        <v>Mogadishu</v>
      </c>
      <c r="J212" s="6" t="str">
        <f t="shared" si="14"/>
        <v>Business Owner</v>
      </c>
      <c r="K212" s="6" t="str">
        <f t="shared" si="15"/>
        <v>Medium</v>
      </c>
    </row>
    <row r="213" spans="1:11">
      <c r="A213" s="6" t="s">
        <v>230</v>
      </c>
      <c r="B213" s="7">
        <v>45960</v>
      </c>
      <c r="C213" s="6" t="s">
        <v>17</v>
      </c>
      <c r="D213" s="6">
        <v>30</v>
      </c>
      <c r="E213" s="6" t="s">
        <v>15</v>
      </c>
      <c r="F213" s="6" t="s">
        <v>21</v>
      </c>
      <c r="G213" s="8">
        <v>728.45</v>
      </c>
      <c r="H213" s="6" t="str">
        <f t="shared" si="12"/>
        <v>Female</v>
      </c>
      <c r="I213" s="6" t="str">
        <f t="shared" si="13"/>
        <v>Hargeisa</v>
      </c>
      <c r="J213" s="6" t="str">
        <f t="shared" si="14"/>
        <v>Self-Employed</v>
      </c>
      <c r="K213" s="6" t="str">
        <f t="shared" si="15"/>
        <v>Low</v>
      </c>
    </row>
    <row r="214" spans="1:11">
      <c r="A214" s="6" t="s">
        <v>231</v>
      </c>
      <c r="B214" s="7">
        <v>45830</v>
      </c>
      <c r="C214" s="6" t="s">
        <v>17</v>
      </c>
      <c r="D214" s="6">
        <v>67</v>
      </c>
      <c r="E214" s="6" t="s">
        <v>9</v>
      </c>
      <c r="F214" s="6" t="s">
        <v>44</v>
      </c>
      <c r="G214" s="8">
        <v>923.87</v>
      </c>
      <c r="H214" s="6" t="str">
        <f t="shared" si="12"/>
        <v>Female</v>
      </c>
      <c r="I214" s="6" t="str">
        <f t="shared" si="13"/>
        <v>Mogadishu</v>
      </c>
      <c r="J214" s="6" t="str">
        <f t="shared" si="14"/>
        <v>Engineer</v>
      </c>
      <c r="K214" s="6" t="str">
        <f t="shared" si="15"/>
        <v>Medium</v>
      </c>
    </row>
    <row r="215" spans="1:11">
      <c r="A215" s="6" t="s">
        <v>232</v>
      </c>
      <c r="B215" s="7">
        <v>45832</v>
      </c>
      <c r="C215" s="6" t="s">
        <v>17</v>
      </c>
      <c r="D215" s="6">
        <v>39</v>
      </c>
      <c r="E215" s="6" t="s">
        <v>39</v>
      </c>
      <c r="F215" s="6" t="s">
        <v>313</v>
      </c>
      <c r="G215" s="8">
        <v>838.84</v>
      </c>
      <c r="H215" s="6" t="str">
        <f t="shared" si="12"/>
        <v>Female</v>
      </c>
      <c r="I215" s="6" t="str">
        <f t="shared" si="13"/>
        <v>Kismayo</v>
      </c>
      <c r="J215" s="6" t="str">
        <f t="shared" si="14"/>
        <v>Missing</v>
      </c>
      <c r="K215" s="6" t="str">
        <f t="shared" si="15"/>
        <v>Medium</v>
      </c>
    </row>
    <row r="216" spans="1:11">
      <c r="A216" s="6" t="s">
        <v>233</v>
      </c>
      <c r="B216" s="7">
        <v>45919</v>
      </c>
      <c r="C216" s="6" t="s">
        <v>17</v>
      </c>
      <c r="D216" s="6">
        <v>19</v>
      </c>
      <c r="E216" s="6" t="s">
        <v>15</v>
      </c>
      <c r="F216" s="6" t="s">
        <v>23</v>
      </c>
      <c r="G216" s="8">
        <v>916.62</v>
      </c>
      <c r="H216" s="6" t="str">
        <f t="shared" si="12"/>
        <v>Female</v>
      </c>
      <c r="I216" s="6" t="str">
        <f t="shared" si="13"/>
        <v>Hargeisa</v>
      </c>
      <c r="J216" s="6" t="str">
        <f t="shared" si="14"/>
        <v>Civil Servant</v>
      </c>
      <c r="K216" s="6" t="str">
        <f t="shared" si="15"/>
        <v>Medium</v>
      </c>
    </row>
    <row r="217" spans="1:11">
      <c r="A217" s="6" t="s">
        <v>234</v>
      </c>
      <c r="B217" s="7">
        <v>45682</v>
      </c>
      <c r="C217" s="6" t="s">
        <v>17</v>
      </c>
      <c r="D217" s="6">
        <v>63</v>
      </c>
      <c r="E217" s="6" t="s">
        <v>9</v>
      </c>
      <c r="F217" s="6" t="s">
        <v>10</v>
      </c>
      <c r="G217" s="8">
        <v>954.9</v>
      </c>
      <c r="H217" s="6" t="str">
        <f t="shared" si="12"/>
        <v>Female</v>
      </c>
      <c r="I217" s="6" t="str">
        <f t="shared" si="13"/>
        <v>Mogadishu</v>
      </c>
      <c r="J217" s="6" t="str">
        <f t="shared" si="14"/>
        <v>Healthcare</v>
      </c>
      <c r="K217" s="6" t="str">
        <f t="shared" si="15"/>
        <v>Medium</v>
      </c>
    </row>
    <row r="218" spans="1:11">
      <c r="A218" s="6" t="s">
        <v>235</v>
      </c>
      <c r="B218" s="7">
        <v>45792</v>
      </c>
      <c r="C218" s="6" t="s">
        <v>8</v>
      </c>
      <c r="D218" s="6">
        <v>33</v>
      </c>
      <c r="E218" s="6" t="s">
        <v>9</v>
      </c>
      <c r="F218" s="6" t="s">
        <v>313</v>
      </c>
      <c r="G218" s="8">
        <v>519</v>
      </c>
      <c r="H218" s="6" t="str">
        <f t="shared" si="12"/>
        <v>Male</v>
      </c>
      <c r="I218" s="6" t="str">
        <f t="shared" si="13"/>
        <v>Mogadishu</v>
      </c>
      <c r="J218" s="6" t="str">
        <f t="shared" si="14"/>
        <v>Missing</v>
      </c>
      <c r="K218" s="6" t="str">
        <f t="shared" si="15"/>
        <v>Low</v>
      </c>
    </row>
    <row r="219" spans="1:11">
      <c r="A219" s="6" t="s">
        <v>236</v>
      </c>
      <c r="B219" s="7">
        <v>45900</v>
      </c>
      <c r="C219" s="6" t="s">
        <v>17</v>
      </c>
      <c r="D219" s="6">
        <v>22</v>
      </c>
      <c r="E219" s="6" t="s">
        <v>15</v>
      </c>
      <c r="F219" s="6" t="s">
        <v>313</v>
      </c>
      <c r="G219" s="8">
        <v>721.11</v>
      </c>
      <c r="H219" s="6" t="str">
        <f t="shared" si="12"/>
        <v>Female</v>
      </c>
      <c r="I219" s="6" t="str">
        <f t="shared" si="13"/>
        <v>Hargeisa</v>
      </c>
      <c r="J219" s="6" t="str">
        <f t="shared" si="14"/>
        <v>Missing</v>
      </c>
      <c r="K219" s="6" t="str">
        <f t="shared" si="15"/>
        <v>Low</v>
      </c>
    </row>
    <row r="220" spans="1:11">
      <c r="A220" s="6" t="s">
        <v>237</v>
      </c>
      <c r="B220" s="7">
        <v>45875</v>
      </c>
      <c r="C220" s="6" t="s">
        <v>8</v>
      </c>
      <c r="D220" s="6">
        <v>48</v>
      </c>
      <c r="E220" s="6" t="s">
        <v>15</v>
      </c>
      <c r="F220" s="6" t="s">
        <v>195</v>
      </c>
      <c r="G220" s="8">
        <v>923.87</v>
      </c>
      <c r="H220" s="6" t="str">
        <f t="shared" si="12"/>
        <v>Male</v>
      </c>
      <c r="I220" s="6" t="str">
        <f t="shared" si="13"/>
        <v>Hargeisa</v>
      </c>
      <c r="J220" s="6" t="str">
        <f t="shared" si="14"/>
        <v>Civil Servant</v>
      </c>
      <c r="K220" s="6" t="str">
        <f t="shared" si="15"/>
        <v>Medium</v>
      </c>
    </row>
    <row r="221" spans="1:11">
      <c r="A221" s="6" t="s">
        <v>238</v>
      </c>
      <c r="B221" s="7">
        <v>46190</v>
      </c>
      <c r="C221" s="6" t="s">
        <v>8</v>
      </c>
      <c r="D221" s="6">
        <v>32</v>
      </c>
      <c r="E221" s="6" t="s">
        <v>74</v>
      </c>
      <c r="F221" s="6" t="s">
        <v>30</v>
      </c>
      <c r="G221" s="8">
        <v>2091.58</v>
      </c>
      <c r="H221" s="6" t="str">
        <f t="shared" si="12"/>
        <v>Male</v>
      </c>
      <c r="I221" s="6" t="str">
        <f t="shared" si="13"/>
        <v>Garowe</v>
      </c>
      <c r="J221" s="6" t="str">
        <f t="shared" si="14"/>
        <v>Business Owner</v>
      </c>
      <c r="K221" s="6" t="str">
        <f t="shared" si="15"/>
        <v>High</v>
      </c>
    </row>
    <row r="222" spans="1:11">
      <c r="A222" s="6" t="s">
        <v>239</v>
      </c>
      <c r="B222" s="7">
        <v>46225</v>
      </c>
      <c r="C222" s="6" t="s">
        <v>8</v>
      </c>
      <c r="D222" s="6">
        <v>53</v>
      </c>
      <c r="E222" s="6" t="s">
        <v>15</v>
      </c>
      <c r="F222" s="6" t="s">
        <v>30</v>
      </c>
      <c r="G222" s="8">
        <v>901.36</v>
      </c>
      <c r="H222" s="6" t="str">
        <f t="shared" si="12"/>
        <v>Male</v>
      </c>
      <c r="I222" s="6" t="str">
        <f t="shared" si="13"/>
        <v>Hargeisa</v>
      </c>
      <c r="J222" s="6" t="str">
        <f t="shared" si="14"/>
        <v>Business Owner</v>
      </c>
      <c r="K222" s="6" t="str">
        <f t="shared" si="15"/>
        <v>Medium</v>
      </c>
    </row>
    <row r="223" spans="1:11">
      <c r="A223" s="6" t="s">
        <v>240</v>
      </c>
      <c r="B223" s="7">
        <v>45893</v>
      </c>
      <c r="C223" s="6" t="s">
        <v>8</v>
      </c>
      <c r="D223" s="6">
        <v>39</v>
      </c>
      <c r="E223" s="6" t="s">
        <v>15</v>
      </c>
      <c r="F223" s="6" t="s">
        <v>44</v>
      </c>
      <c r="G223" s="8">
        <v>1386</v>
      </c>
      <c r="H223" s="6" t="str">
        <f t="shared" si="12"/>
        <v>Male</v>
      </c>
      <c r="I223" s="6" t="str">
        <f t="shared" si="13"/>
        <v>Hargeisa</v>
      </c>
      <c r="J223" s="6" t="str">
        <f t="shared" si="14"/>
        <v>Engineer</v>
      </c>
      <c r="K223" s="6" t="str">
        <f t="shared" si="15"/>
        <v>Medium</v>
      </c>
    </row>
    <row r="224" spans="1:11">
      <c r="A224" s="6" t="s">
        <v>241</v>
      </c>
      <c r="B224" s="7">
        <v>45884</v>
      </c>
      <c r="C224" s="6" t="s">
        <v>8</v>
      </c>
      <c r="D224" s="6">
        <v>59</v>
      </c>
      <c r="E224" s="6" t="s">
        <v>15</v>
      </c>
      <c r="F224" s="6" t="s">
        <v>13</v>
      </c>
      <c r="G224" s="8">
        <v>508.66</v>
      </c>
      <c r="H224" s="6" t="str">
        <f t="shared" si="12"/>
        <v>Male</v>
      </c>
      <c r="I224" s="6" t="str">
        <f t="shared" si="13"/>
        <v>Hargeisa</v>
      </c>
      <c r="J224" s="6" t="str">
        <f t="shared" si="14"/>
        <v>Teacher</v>
      </c>
      <c r="K224" s="6" t="str">
        <f t="shared" si="15"/>
        <v>Low</v>
      </c>
    </row>
    <row r="225" spans="1:11">
      <c r="A225" s="6" t="s">
        <v>242</v>
      </c>
      <c r="B225" s="7">
        <v>46090</v>
      </c>
      <c r="C225" s="6" t="s">
        <v>17</v>
      </c>
      <c r="D225" s="6">
        <v>43</v>
      </c>
      <c r="E225" s="6" t="s">
        <v>9</v>
      </c>
      <c r="F225" s="6" t="s">
        <v>13</v>
      </c>
      <c r="G225" s="8">
        <v>778.23</v>
      </c>
      <c r="H225" s="6" t="str">
        <f t="shared" si="12"/>
        <v>Female</v>
      </c>
      <c r="I225" s="6" t="str">
        <f t="shared" si="13"/>
        <v>Mogadishu</v>
      </c>
      <c r="J225" s="6" t="str">
        <f t="shared" si="14"/>
        <v>Teacher</v>
      </c>
      <c r="K225" s="6" t="str">
        <f t="shared" si="15"/>
        <v>Low</v>
      </c>
    </row>
    <row r="226" spans="1:11">
      <c r="B226" s="7">
        <v>46211</v>
      </c>
      <c r="C226" s="6" t="s">
        <v>17</v>
      </c>
      <c r="D226" s="6">
        <v>61</v>
      </c>
      <c r="E226" s="6" t="s">
        <v>15</v>
      </c>
      <c r="F226" s="6" t="s">
        <v>18</v>
      </c>
      <c r="G226" s="8">
        <v>176.82</v>
      </c>
      <c r="H226" s="6" t="str">
        <f t="shared" si="12"/>
        <v>Female</v>
      </c>
      <c r="I226" s="6" t="str">
        <f t="shared" si="13"/>
        <v>Hargeisa</v>
      </c>
      <c r="J226" s="6" t="str">
        <f t="shared" si="14"/>
        <v>Student</v>
      </c>
      <c r="K226" s="6" t="str">
        <f t="shared" si="15"/>
        <v>Low</v>
      </c>
    </row>
    <row r="227" spans="1:11">
      <c r="A227" s="6" t="s">
        <v>243</v>
      </c>
      <c r="B227" s="7">
        <v>45895</v>
      </c>
      <c r="C227" s="6" t="s">
        <v>17</v>
      </c>
      <c r="D227" s="6">
        <v>61</v>
      </c>
      <c r="E227" s="6" t="s">
        <v>9</v>
      </c>
      <c r="F227" s="6" t="s">
        <v>13</v>
      </c>
      <c r="G227" s="8">
        <v>923.87</v>
      </c>
      <c r="H227" s="6" t="str">
        <f t="shared" si="12"/>
        <v>Female</v>
      </c>
      <c r="I227" s="6" t="str">
        <f t="shared" si="13"/>
        <v>Mogadishu</v>
      </c>
      <c r="J227" s="6" t="str">
        <f t="shared" si="14"/>
        <v>Teacher</v>
      </c>
      <c r="K227" s="6" t="str">
        <f t="shared" si="15"/>
        <v>Medium</v>
      </c>
    </row>
    <row r="228" spans="1:11">
      <c r="A228" s="6" t="s">
        <v>244</v>
      </c>
      <c r="B228" s="7">
        <v>45874</v>
      </c>
      <c r="C228" s="6" t="s">
        <v>8</v>
      </c>
      <c r="D228" s="6">
        <v>52</v>
      </c>
      <c r="E228" s="6" t="s">
        <v>12</v>
      </c>
      <c r="F228" s="6" t="s">
        <v>313</v>
      </c>
      <c r="G228" s="8">
        <v>481.21</v>
      </c>
      <c r="H228" s="6" t="str">
        <f t="shared" si="12"/>
        <v>Male</v>
      </c>
      <c r="I228" s="6" t="str">
        <f t="shared" si="13"/>
        <v>Baidoa</v>
      </c>
      <c r="J228" s="6" t="str">
        <f t="shared" si="14"/>
        <v>Missing</v>
      </c>
      <c r="K228" s="6" t="str">
        <f t="shared" si="15"/>
        <v>Low</v>
      </c>
    </row>
    <row r="229" spans="1:11">
      <c r="A229" s="6" t="s">
        <v>245</v>
      </c>
      <c r="B229" s="7">
        <v>45771</v>
      </c>
      <c r="C229" s="6" t="s">
        <v>8</v>
      </c>
      <c r="D229" s="6">
        <v>47</v>
      </c>
      <c r="E229" s="6" t="s">
        <v>39</v>
      </c>
      <c r="F229" s="6" t="s">
        <v>18</v>
      </c>
      <c r="G229" s="8">
        <v>129.81</v>
      </c>
      <c r="H229" s="6" t="str">
        <f t="shared" si="12"/>
        <v>Male</v>
      </c>
      <c r="I229" s="6" t="str">
        <f t="shared" si="13"/>
        <v>Kismayo</v>
      </c>
      <c r="J229" s="6" t="str">
        <f t="shared" si="14"/>
        <v>Student</v>
      </c>
      <c r="K229" s="6" t="str">
        <f t="shared" si="15"/>
        <v>Low</v>
      </c>
    </row>
    <row r="230" spans="1:11">
      <c r="A230" s="6" t="s">
        <v>246</v>
      </c>
      <c r="B230" s="7">
        <v>45778</v>
      </c>
      <c r="C230" s="6" t="s">
        <v>8</v>
      </c>
      <c r="D230" s="6">
        <v>55</v>
      </c>
      <c r="E230" s="6" t="s">
        <v>312</v>
      </c>
      <c r="F230" s="6" t="s">
        <v>44</v>
      </c>
      <c r="G230" s="8">
        <v>1436.28</v>
      </c>
      <c r="H230" s="6" t="str">
        <f t="shared" si="12"/>
        <v>Male</v>
      </c>
      <c r="I230" s="6" t="str">
        <f t="shared" si="13"/>
        <v>Missing</v>
      </c>
      <c r="J230" s="6" t="str">
        <f t="shared" si="14"/>
        <v>Engineer</v>
      </c>
      <c r="K230" s="6" t="str">
        <f t="shared" si="15"/>
        <v>Medium</v>
      </c>
    </row>
    <row r="231" spans="1:11">
      <c r="B231" s="7">
        <v>45773</v>
      </c>
      <c r="C231" s="6" t="s">
        <v>8</v>
      </c>
      <c r="D231" s="6">
        <v>38</v>
      </c>
      <c r="E231" s="6" t="s">
        <v>9</v>
      </c>
      <c r="F231" s="6" t="s">
        <v>13</v>
      </c>
      <c r="G231" s="8">
        <v>920.19</v>
      </c>
      <c r="H231" s="6" t="str">
        <f t="shared" si="12"/>
        <v>Male</v>
      </c>
      <c r="I231" s="6" t="str">
        <f t="shared" si="13"/>
        <v>Mogadishu</v>
      </c>
      <c r="J231" s="6" t="str">
        <f t="shared" si="14"/>
        <v>Teacher</v>
      </c>
      <c r="K231" s="6" t="str">
        <f t="shared" si="15"/>
        <v>Medium</v>
      </c>
    </row>
    <row r="232" spans="1:11">
      <c r="A232" s="6" t="s">
        <v>247</v>
      </c>
      <c r="B232" s="7">
        <v>46116</v>
      </c>
      <c r="C232" s="6" t="s">
        <v>17</v>
      </c>
      <c r="D232" s="6">
        <v>40</v>
      </c>
      <c r="E232" s="6" t="s">
        <v>312</v>
      </c>
      <c r="F232" s="6" t="s">
        <v>21</v>
      </c>
      <c r="G232" s="8">
        <v>727.06</v>
      </c>
      <c r="H232" s="6" t="str">
        <f t="shared" si="12"/>
        <v>Female</v>
      </c>
      <c r="I232" s="6" t="str">
        <f t="shared" si="13"/>
        <v>Missing</v>
      </c>
      <c r="J232" s="6" t="str">
        <f t="shared" si="14"/>
        <v>Self-Employed</v>
      </c>
      <c r="K232" s="6" t="str">
        <f t="shared" si="15"/>
        <v>Low</v>
      </c>
    </row>
    <row r="233" spans="1:11">
      <c r="A233" s="6" t="s">
        <v>248</v>
      </c>
      <c r="B233" s="7">
        <v>46037</v>
      </c>
      <c r="C233" s="6" t="s">
        <v>8</v>
      </c>
      <c r="D233" s="6">
        <v>63</v>
      </c>
      <c r="E233" s="6" t="s">
        <v>74</v>
      </c>
      <c r="F233" s="6" t="s">
        <v>249</v>
      </c>
      <c r="G233" s="8">
        <v>306.45999999999998</v>
      </c>
      <c r="H233" s="6" t="str">
        <f t="shared" si="12"/>
        <v>Male</v>
      </c>
      <c r="I233" s="6" t="str">
        <f t="shared" si="13"/>
        <v>Garowe</v>
      </c>
      <c r="J233" s="6" t="str">
        <f t="shared" si="14"/>
        <v>Teacher</v>
      </c>
      <c r="K233" s="6" t="str">
        <f t="shared" si="15"/>
        <v>Low</v>
      </c>
    </row>
    <row r="234" spans="1:11">
      <c r="A234" s="6" t="s">
        <v>250</v>
      </c>
      <c r="B234" s="7">
        <v>45876</v>
      </c>
      <c r="C234" s="6" t="s">
        <v>8</v>
      </c>
      <c r="D234" s="6">
        <v>50</v>
      </c>
      <c r="E234" s="6" t="s">
        <v>39</v>
      </c>
      <c r="F234" s="6" t="s">
        <v>13</v>
      </c>
      <c r="G234" s="8">
        <v>818.19</v>
      </c>
      <c r="H234" s="6" t="str">
        <f t="shared" si="12"/>
        <v>Male</v>
      </c>
      <c r="I234" s="6" t="str">
        <f t="shared" si="13"/>
        <v>Kismayo</v>
      </c>
      <c r="J234" s="6" t="str">
        <f t="shared" si="14"/>
        <v>Teacher</v>
      </c>
      <c r="K234" s="6" t="str">
        <f t="shared" si="15"/>
        <v>Medium</v>
      </c>
    </row>
    <row r="235" spans="1:11">
      <c r="A235" s="6" t="s">
        <v>251</v>
      </c>
      <c r="B235" s="7">
        <v>46157</v>
      </c>
      <c r="C235" s="6" t="s">
        <v>8</v>
      </c>
      <c r="D235" s="6">
        <v>42</v>
      </c>
      <c r="E235" s="6" t="s">
        <v>20</v>
      </c>
      <c r="F235" s="6" t="s">
        <v>30</v>
      </c>
      <c r="G235" s="8">
        <v>923.87</v>
      </c>
      <c r="H235" s="6" t="str">
        <f t="shared" si="12"/>
        <v>Male</v>
      </c>
      <c r="I235" s="6" t="str">
        <f t="shared" si="13"/>
        <v>Bosaso</v>
      </c>
      <c r="J235" s="6" t="str">
        <f t="shared" si="14"/>
        <v>Business Owner</v>
      </c>
      <c r="K235" s="6" t="str">
        <f t="shared" si="15"/>
        <v>Medium</v>
      </c>
    </row>
    <row r="236" spans="1:11">
      <c r="A236" s="6" t="s">
        <v>252</v>
      </c>
      <c r="B236" s="7">
        <v>46169</v>
      </c>
      <c r="C236" s="6" t="s">
        <v>17</v>
      </c>
      <c r="D236" s="6">
        <v>36</v>
      </c>
      <c r="E236" s="6" t="s">
        <v>15</v>
      </c>
      <c r="F236" s="6" t="s">
        <v>313</v>
      </c>
      <c r="G236" s="8">
        <v>216.82</v>
      </c>
      <c r="H236" s="6" t="str">
        <f t="shared" si="12"/>
        <v>Female</v>
      </c>
      <c r="I236" s="6" t="str">
        <f t="shared" si="13"/>
        <v>Hargeisa</v>
      </c>
      <c r="J236" s="6" t="str">
        <f t="shared" si="14"/>
        <v>Missing</v>
      </c>
      <c r="K236" s="6" t="str">
        <f t="shared" si="15"/>
        <v>Low</v>
      </c>
    </row>
    <row r="237" spans="1:11">
      <c r="B237" s="7" t="s">
        <v>312</v>
      </c>
      <c r="C237" s="6" t="s">
        <v>8</v>
      </c>
      <c r="D237" s="6">
        <v>63</v>
      </c>
      <c r="E237" s="6" t="s">
        <v>15</v>
      </c>
      <c r="F237" s="6" t="s">
        <v>18</v>
      </c>
      <c r="G237" s="8">
        <v>268.75</v>
      </c>
      <c r="H237" s="6" t="str">
        <f t="shared" si="12"/>
        <v>Male</v>
      </c>
      <c r="I237" s="6" t="str">
        <f t="shared" si="13"/>
        <v>Hargeisa</v>
      </c>
      <c r="J237" s="6" t="str">
        <f t="shared" si="14"/>
        <v>Student</v>
      </c>
      <c r="K237" s="6" t="str">
        <f t="shared" si="15"/>
        <v>Low</v>
      </c>
    </row>
    <row r="238" spans="1:11">
      <c r="A238" s="6" t="s">
        <v>253</v>
      </c>
      <c r="B238" s="7">
        <v>45776</v>
      </c>
      <c r="C238" s="6" t="s">
        <v>17</v>
      </c>
      <c r="D238" s="6">
        <v>43</v>
      </c>
      <c r="E238" s="6" t="s">
        <v>39</v>
      </c>
      <c r="F238" s="6" t="s">
        <v>44</v>
      </c>
      <c r="G238" s="8">
        <v>781.63</v>
      </c>
      <c r="H238" s="6" t="str">
        <f t="shared" si="12"/>
        <v>Female</v>
      </c>
      <c r="I238" s="6" t="str">
        <f t="shared" si="13"/>
        <v>Kismayo</v>
      </c>
      <c r="J238" s="6" t="str">
        <f t="shared" si="14"/>
        <v>Engineer</v>
      </c>
      <c r="K238" s="6" t="str">
        <f t="shared" si="15"/>
        <v>Low</v>
      </c>
    </row>
    <row r="239" spans="1:11">
      <c r="A239" s="6" t="s">
        <v>254</v>
      </c>
      <c r="B239" s="7">
        <v>45758</v>
      </c>
      <c r="C239" s="6" t="s">
        <v>312</v>
      </c>
      <c r="D239" s="6">
        <v>40</v>
      </c>
      <c r="E239" s="6" t="s">
        <v>39</v>
      </c>
      <c r="F239" s="6" t="s">
        <v>23</v>
      </c>
      <c r="G239" s="8">
        <v>641.59</v>
      </c>
      <c r="H239" s="6" t="str">
        <f t="shared" si="12"/>
        <v>Missing</v>
      </c>
      <c r="I239" s="6" t="str">
        <f t="shared" si="13"/>
        <v>Kismayo</v>
      </c>
      <c r="J239" s="6" t="str">
        <f t="shared" si="14"/>
        <v>Civil Servant</v>
      </c>
      <c r="K239" s="6" t="str">
        <f t="shared" si="15"/>
        <v>Low</v>
      </c>
    </row>
    <row r="240" spans="1:11">
      <c r="A240" s="6" t="s">
        <v>255</v>
      </c>
      <c r="B240" s="7">
        <v>45670</v>
      </c>
      <c r="C240" s="6" t="s">
        <v>8</v>
      </c>
      <c r="D240" s="6">
        <v>19</v>
      </c>
      <c r="E240" s="6" t="s">
        <v>39</v>
      </c>
      <c r="F240" s="6" t="s">
        <v>256</v>
      </c>
      <c r="G240" s="8">
        <v>278.61</v>
      </c>
      <c r="H240" s="6" t="str">
        <f t="shared" si="12"/>
        <v>Male</v>
      </c>
      <c r="I240" s="6" t="str">
        <f t="shared" si="13"/>
        <v>Kismayo</v>
      </c>
      <c r="J240" s="6" t="str">
        <f t="shared" si="14"/>
        <v>Student</v>
      </c>
      <c r="K240" s="6" t="str">
        <f t="shared" si="15"/>
        <v>Low</v>
      </c>
    </row>
    <row r="241" spans="1:11">
      <c r="A241" s="6" t="s">
        <v>257</v>
      </c>
      <c r="B241" s="7">
        <v>45744</v>
      </c>
      <c r="C241" s="6" t="s">
        <v>8</v>
      </c>
      <c r="D241" s="6">
        <v>20</v>
      </c>
      <c r="E241" s="6" t="s">
        <v>15</v>
      </c>
      <c r="F241" s="6" t="s">
        <v>23</v>
      </c>
      <c r="G241" s="8">
        <v>389.22</v>
      </c>
      <c r="H241" s="6" t="str">
        <f t="shared" si="12"/>
        <v>Male</v>
      </c>
      <c r="I241" s="6" t="str">
        <f t="shared" si="13"/>
        <v>Hargeisa</v>
      </c>
      <c r="J241" s="6" t="str">
        <f t="shared" si="14"/>
        <v>Civil Servant</v>
      </c>
      <c r="K241" s="6" t="str">
        <f t="shared" si="15"/>
        <v>Low</v>
      </c>
    </row>
    <row r="242" spans="1:11">
      <c r="A242" s="6" t="s">
        <v>258</v>
      </c>
      <c r="B242" s="7">
        <v>46226</v>
      </c>
      <c r="C242" s="6" t="s">
        <v>8</v>
      </c>
      <c r="D242" s="6">
        <v>19</v>
      </c>
      <c r="E242" s="6" t="s">
        <v>9</v>
      </c>
      <c r="F242" s="6" t="s">
        <v>44</v>
      </c>
      <c r="G242" s="8">
        <v>1315.74</v>
      </c>
      <c r="H242" s="6" t="str">
        <f t="shared" si="12"/>
        <v>Male</v>
      </c>
      <c r="I242" s="6" t="str">
        <f t="shared" si="13"/>
        <v>Mogadishu</v>
      </c>
      <c r="J242" s="6" t="str">
        <f t="shared" si="14"/>
        <v>Engineer</v>
      </c>
      <c r="K242" s="6" t="str">
        <f t="shared" si="15"/>
        <v>Medium</v>
      </c>
    </row>
    <row r="243" spans="1:11">
      <c r="A243" s="6" t="s">
        <v>259</v>
      </c>
      <c r="B243" s="7">
        <v>46127</v>
      </c>
      <c r="C243" s="6" t="s">
        <v>8</v>
      </c>
      <c r="D243" s="6">
        <v>70</v>
      </c>
      <c r="E243" s="6" t="s">
        <v>39</v>
      </c>
      <c r="F243" s="6" t="s">
        <v>30</v>
      </c>
      <c r="G243" s="8">
        <v>891.18</v>
      </c>
      <c r="H243" s="6" t="str">
        <f t="shared" si="12"/>
        <v>Male</v>
      </c>
      <c r="I243" s="6" t="str">
        <f t="shared" si="13"/>
        <v>Kismayo</v>
      </c>
      <c r="J243" s="6" t="str">
        <f t="shared" si="14"/>
        <v>Business Owner</v>
      </c>
      <c r="K243" s="6" t="str">
        <f t="shared" si="15"/>
        <v>Medium</v>
      </c>
    </row>
    <row r="244" spans="1:11">
      <c r="A244" s="6" t="s">
        <v>260</v>
      </c>
      <c r="B244" s="7" t="s">
        <v>312</v>
      </c>
      <c r="C244" s="6" t="s">
        <v>8</v>
      </c>
      <c r="D244" s="6">
        <v>24</v>
      </c>
      <c r="E244" s="6" t="s">
        <v>20</v>
      </c>
      <c r="F244" s="6" t="s">
        <v>44</v>
      </c>
      <c r="G244" s="8">
        <v>608.08000000000004</v>
      </c>
      <c r="H244" s="6" t="str">
        <f t="shared" si="12"/>
        <v>Male</v>
      </c>
      <c r="I244" s="6" t="str">
        <f t="shared" si="13"/>
        <v>Bosaso</v>
      </c>
      <c r="J244" s="6" t="str">
        <f t="shared" si="14"/>
        <v>Engineer</v>
      </c>
      <c r="K244" s="6" t="str">
        <f t="shared" si="15"/>
        <v>Low</v>
      </c>
    </row>
    <row r="245" spans="1:11">
      <c r="A245" s="6" t="s">
        <v>261</v>
      </c>
      <c r="B245" s="7">
        <v>45664</v>
      </c>
      <c r="C245" s="6" t="s">
        <v>8</v>
      </c>
      <c r="D245" s="6">
        <v>30</v>
      </c>
      <c r="E245" s="6" t="s">
        <v>12</v>
      </c>
      <c r="F245" s="6" t="s">
        <v>44</v>
      </c>
      <c r="G245" s="8">
        <v>602</v>
      </c>
      <c r="H245" s="6" t="str">
        <f t="shared" si="12"/>
        <v>Male</v>
      </c>
      <c r="I245" s="6" t="str">
        <f t="shared" si="13"/>
        <v>Baidoa</v>
      </c>
      <c r="J245" s="6" t="str">
        <f t="shared" si="14"/>
        <v>Engineer</v>
      </c>
      <c r="K245" s="6" t="str">
        <f t="shared" si="15"/>
        <v>Low</v>
      </c>
    </row>
    <row r="246" spans="1:11">
      <c r="A246" s="6" t="s">
        <v>262</v>
      </c>
      <c r="B246" s="7">
        <v>45917</v>
      </c>
      <c r="C246" s="6" t="s">
        <v>17</v>
      </c>
      <c r="D246" s="6">
        <v>32</v>
      </c>
      <c r="E246" s="6" t="s">
        <v>12</v>
      </c>
      <c r="F246" s="6" t="s">
        <v>44</v>
      </c>
      <c r="G246" s="8">
        <v>1425.97</v>
      </c>
      <c r="H246" s="6" t="str">
        <f t="shared" si="12"/>
        <v>Female</v>
      </c>
      <c r="I246" s="6" t="str">
        <f t="shared" si="13"/>
        <v>Baidoa</v>
      </c>
      <c r="J246" s="6" t="str">
        <f t="shared" si="14"/>
        <v>Engineer</v>
      </c>
      <c r="K246" s="6" t="str">
        <f t="shared" si="15"/>
        <v>Medium</v>
      </c>
    </row>
    <row r="247" spans="1:11">
      <c r="A247" s="6" t="s">
        <v>263</v>
      </c>
      <c r="B247" s="7">
        <v>46212</v>
      </c>
      <c r="C247" s="6" t="s">
        <v>17</v>
      </c>
      <c r="D247" s="6">
        <v>45</v>
      </c>
      <c r="E247" s="6" t="s">
        <v>20</v>
      </c>
      <c r="F247" s="6" t="s">
        <v>21</v>
      </c>
      <c r="G247" s="8">
        <v>671.87</v>
      </c>
      <c r="H247" s="6" t="str">
        <f t="shared" si="12"/>
        <v>Female</v>
      </c>
      <c r="I247" s="6" t="str">
        <f t="shared" si="13"/>
        <v>Bosaso</v>
      </c>
      <c r="J247" s="6" t="str">
        <f t="shared" si="14"/>
        <v>Self-Employed</v>
      </c>
      <c r="K247" s="6" t="str">
        <f t="shared" si="15"/>
        <v>Low</v>
      </c>
    </row>
    <row r="248" spans="1:11">
      <c r="A248" s="6" t="s">
        <v>264</v>
      </c>
      <c r="B248" s="7">
        <v>45833</v>
      </c>
      <c r="C248" s="6" t="s">
        <v>312</v>
      </c>
      <c r="D248" s="6">
        <v>43</v>
      </c>
      <c r="E248" s="6" t="s">
        <v>9</v>
      </c>
      <c r="F248" s="6" t="s">
        <v>23</v>
      </c>
      <c r="G248" s="8">
        <v>885.26</v>
      </c>
      <c r="H248" s="6" t="str">
        <f t="shared" si="12"/>
        <v>Missing</v>
      </c>
      <c r="I248" s="6" t="str">
        <f t="shared" si="13"/>
        <v>Mogadishu</v>
      </c>
      <c r="J248" s="6" t="str">
        <f t="shared" si="14"/>
        <v>Civil Servant</v>
      </c>
      <c r="K248" s="6" t="str">
        <f t="shared" si="15"/>
        <v>Medium</v>
      </c>
    </row>
    <row r="249" spans="1:11">
      <c r="A249" s="6" t="s">
        <v>265</v>
      </c>
      <c r="B249" s="7">
        <v>45963</v>
      </c>
      <c r="C249" s="6" t="s">
        <v>17</v>
      </c>
      <c r="D249" s="6">
        <v>40</v>
      </c>
      <c r="E249" s="6" t="s">
        <v>20</v>
      </c>
      <c r="F249" s="6" t="s">
        <v>21</v>
      </c>
      <c r="G249" s="8">
        <v>463.46</v>
      </c>
      <c r="H249" s="6" t="str">
        <f t="shared" si="12"/>
        <v>Female</v>
      </c>
      <c r="I249" s="6" t="str">
        <f t="shared" si="13"/>
        <v>Bosaso</v>
      </c>
      <c r="J249" s="6" t="str">
        <f t="shared" si="14"/>
        <v>Self-Employed</v>
      </c>
      <c r="K249" s="6" t="str">
        <f t="shared" si="15"/>
        <v>Low</v>
      </c>
    </row>
    <row r="250" spans="1:11">
      <c r="A250" s="6" t="s">
        <v>266</v>
      </c>
      <c r="B250" s="7">
        <v>45837</v>
      </c>
      <c r="C250" s="6" t="s">
        <v>8</v>
      </c>
      <c r="D250" s="6">
        <v>54</v>
      </c>
      <c r="E250" s="6" t="s">
        <v>39</v>
      </c>
      <c r="F250" s="6" t="s">
        <v>13</v>
      </c>
      <c r="G250" s="8">
        <v>464.6</v>
      </c>
      <c r="H250" s="6" t="str">
        <f t="shared" si="12"/>
        <v>Male</v>
      </c>
      <c r="I250" s="6" t="str">
        <f t="shared" si="13"/>
        <v>Kismayo</v>
      </c>
      <c r="J250" s="6" t="str">
        <f t="shared" si="14"/>
        <v>Teacher</v>
      </c>
      <c r="K250" s="6" t="str">
        <f t="shared" si="15"/>
        <v>Low</v>
      </c>
    </row>
    <row r="251" spans="1:11">
      <c r="A251" s="6" t="s">
        <v>267</v>
      </c>
      <c r="B251" s="7">
        <v>45816</v>
      </c>
      <c r="C251" s="6" t="s">
        <v>312</v>
      </c>
      <c r="D251" s="6">
        <v>38</v>
      </c>
      <c r="E251" s="6" t="s">
        <v>12</v>
      </c>
      <c r="F251" s="6" t="s">
        <v>13</v>
      </c>
      <c r="G251" s="8">
        <v>453.74</v>
      </c>
      <c r="H251" s="6" t="str">
        <f t="shared" si="12"/>
        <v>Missing</v>
      </c>
      <c r="I251" s="6" t="str">
        <f t="shared" si="13"/>
        <v>Baidoa</v>
      </c>
      <c r="J251" s="6" t="str">
        <f t="shared" si="14"/>
        <v>Teacher</v>
      </c>
      <c r="K251" s="6" t="str">
        <f t="shared" si="15"/>
        <v>Low</v>
      </c>
    </row>
    <row r="252" spans="1:11">
      <c r="A252" s="6" t="s">
        <v>268</v>
      </c>
      <c r="B252" s="7">
        <v>45732</v>
      </c>
      <c r="C252" s="6" t="s">
        <v>8</v>
      </c>
      <c r="D252" s="6">
        <v>21</v>
      </c>
      <c r="E252" s="6" t="s">
        <v>9</v>
      </c>
      <c r="F252" s="6" t="s">
        <v>313</v>
      </c>
      <c r="G252" s="8">
        <v>1300.93</v>
      </c>
      <c r="H252" s="6" t="str">
        <f t="shared" si="12"/>
        <v>Male</v>
      </c>
      <c r="I252" s="6" t="str">
        <f t="shared" si="13"/>
        <v>Mogadishu</v>
      </c>
      <c r="J252" s="6" t="str">
        <f t="shared" si="14"/>
        <v>Missing</v>
      </c>
      <c r="K252" s="6" t="str">
        <f t="shared" si="15"/>
        <v>Medium</v>
      </c>
    </row>
    <row r="253" spans="1:11">
      <c r="A253" s="6" t="s">
        <v>269</v>
      </c>
      <c r="B253" s="7">
        <v>45892</v>
      </c>
      <c r="C253" s="6" t="s">
        <v>8</v>
      </c>
      <c r="D253" s="6">
        <v>43</v>
      </c>
      <c r="E253" s="6" t="s">
        <v>39</v>
      </c>
      <c r="F253" s="6" t="s">
        <v>10</v>
      </c>
      <c r="G253" s="8">
        <v>1126.8900000000001</v>
      </c>
      <c r="H253" s="6" t="str">
        <f t="shared" si="12"/>
        <v>Male</v>
      </c>
      <c r="I253" s="6" t="str">
        <f t="shared" si="13"/>
        <v>Kismayo</v>
      </c>
      <c r="J253" s="6" t="str">
        <f t="shared" si="14"/>
        <v>Healthcare</v>
      </c>
      <c r="K253" s="6" t="str">
        <f t="shared" si="15"/>
        <v>Medium</v>
      </c>
    </row>
    <row r="254" spans="1:11">
      <c r="A254" s="6" t="s">
        <v>270</v>
      </c>
      <c r="B254" s="7">
        <v>46210</v>
      </c>
      <c r="C254" s="6" t="s">
        <v>8</v>
      </c>
      <c r="D254" s="6">
        <v>61</v>
      </c>
      <c r="E254" s="6" t="s">
        <v>9</v>
      </c>
      <c r="F254" s="6" t="s">
        <v>23</v>
      </c>
      <c r="G254" s="8">
        <v>1071.8599999999999</v>
      </c>
      <c r="H254" s="6" t="str">
        <f t="shared" si="12"/>
        <v>Male</v>
      </c>
      <c r="I254" s="6" t="str">
        <f t="shared" si="13"/>
        <v>Mogadishu</v>
      </c>
      <c r="J254" s="6" t="str">
        <f t="shared" si="14"/>
        <v>Civil Servant</v>
      </c>
      <c r="K254" s="6" t="str">
        <f t="shared" si="15"/>
        <v>Medium</v>
      </c>
    </row>
    <row r="255" spans="1:11">
      <c r="A255" s="6" t="s">
        <v>271</v>
      </c>
      <c r="B255" s="7">
        <v>46163</v>
      </c>
      <c r="C255" s="6" t="s">
        <v>17</v>
      </c>
      <c r="D255" s="6">
        <v>29</v>
      </c>
      <c r="E255" s="6" t="s">
        <v>9</v>
      </c>
      <c r="F255" s="6" t="s">
        <v>21</v>
      </c>
      <c r="G255" s="8">
        <v>1143.8399999999999</v>
      </c>
      <c r="H255" s="6" t="str">
        <f t="shared" si="12"/>
        <v>Female</v>
      </c>
      <c r="I255" s="6" t="str">
        <f t="shared" si="13"/>
        <v>Mogadishu</v>
      </c>
      <c r="J255" s="6" t="str">
        <f t="shared" si="14"/>
        <v>Self-Employed</v>
      </c>
      <c r="K255" s="6" t="str">
        <f t="shared" si="15"/>
        <v>Medium</v>
      </c>
    </row>
    <row r="256" spans="1:11">
      <c r="A256" s="6" t="s">
        <v>272</v>
      </c>
      <c r="B256" s="7">
        <v>46057</v>
      </c>
      <c r="C256" s="6" t="s">
        <v>8</v>
      </c>
      <c r="D256" s="6">
        <v>47</v>
      </c>
      <c r="E256" s="6" t="s">
        <v>9</v>
      </c>
      <c r="F256" s="6" t="s">
        <v>44</v>
      </c>
      <c r="G256" s="8">
        <v>923.87</v>
      </c>
      <c r="H256" s="6" t="str">
        <f t="shared" si="12"/>
        <v>Male</v>
      </c>
      <c r="I256" s="6" t="str">
        <f t="shared" si="13"/>
        <v>Mogadishu</v>
      </c>
      <c r="J256" s="6" t="str">
        <f t="shared" si="14"/>
        <v>Engineer</v>
      </c>
      <c r="K256" s="6" t="str">
        <f t="shared" si="15"/>
        <v>Medium</v>
      </c>
    </row>
    <row r="257" spans="1:11">
      <c r="A257" s="6" t="s">
        <v>273</v>
      </c>
      <c r="B257" s="7">
        <v>45752</v>
      </c>
      <c r="C257" s="6" t="s">
        <v>17</v>
      </c>
      <c r="D257" s="6">
        <v>39</v>
      </c>
      <c r="E257" s="6" t="s">
        <v>74</v>
      </c>
      <c r="F257" s="6" t="s">
        <v>23</v>
      </c>
      <c r="G257" s="8">
        <v>396.11</v>
      </c>
      <c r="H257" s="6" t="str">
        <f t="shared" si="12"/>
        <v>Female</v>
      </c>
      <c r="I257" s="6" t="str">
        <f t="shared" si="13"/>
        <v>Garowe</v>
      </c>
      <c r="J257" s="6" t="str">
        <f t="shared" si="14"/>
        <v>Civil Servant</v>
      </c>
      <c r="K257" s="6" t="str">
        <f t="shared" si="15"/>
        <v>Low</v>
      </c>
    </row>
    <row r="258" spans="1:11">
      <c r="A258" s="6" t="s">
        <v>274</v>
      </c>
      <c r="B258" s="7">
        <v>46008</v>
      </c>
      <c r="C258" s="6" t="s">
        <v>312</v>
      </c>
      <c r="D258" s="6">
        <v>64</v>
      </c>
      <c r="E258" s="6" t="s">
        <v>20</v>
      </c>
      <c r="F258" s="6" t="s">
        <v>21</v>
      </c>
      <c r="G258" s="8">
        <v>638.53</v>
      </c>
      <c r="H258" s="6" t="str">
        <f t="shared" si="12"/>
        <v>Missing</v>
      </c>
      <c r="I258" s="6" t="str">
        <f t="shared" si="13"/>
        <v>Bosaso</v>
      </c>
      <c r="J258" s="6" t="str">
        <f t="shared" si="14"/>
        <v>Self-Employed</v>
      </c>
      <c r="K258" s="6" t="str">
        <f t="shared" si="15"/>
        <v>Low</v>
      </c>
    </row>
    <row r="259" spans="1:11">
      <c r="A259" s="6" t="s">
        <v>275</v>
      </c>
      <c r="B259" s="7">
        <v>45721</v>
      </c>
      <c r="C259" s="6" t="s">
        <v>312</v>
      </c>
      <c r="D259" s="6">
        <v>29</v>
      </c>
      <c r="E259" s="6" t="s">
        <v>9</v>
      </c>
      <c r="F259" s="6" t="s">
        <v>44</v>
      </c>
      <c r="G259" s="8">
        <v>1516.2</v>
      </c>
      <c r="H259" s="6" t="str">
        <f t="shared" ref="H259:H294" si="16">PROPER(TRIM(C259))</f>
        <v>Missing</v>
      </c>
      <c r="I259" s="6" t="str">
        <f t="shared" ref="I259:I294" si="17">PROPER(TRIM(E259))</f>
        <v>Mogadishu</v>
      </c>
      <c r="J259" s="6" t="str">
        <f t="shared" ref="J259:J294" si="18">PROPER(TRIM(SUBSTITUTE(F259,"CS","Civil Servant")))</f>
        <v>Engineer</v>
      </c>
      <c r="K259" s="6" t="str">
        <f t="shared" ref="K259:K294" si="19">IF(G259&gt;=1500,"High",IF(G259&gt;=800,"Medium","Low"))</f>
        <v>High</v>
      </c>
    </row>
    <row r="260" spans="1:11">
      <c r="A260" s="6" t="s">
        <v>276</v>
      </c>
      <c r="B260" s="7" t="s">
        <v>312</v>
      </c>
      <c r="C260" s="6" t="s">
        <v>17</v>
      </c>
      <c r="D260" s="6">
        <v>28</v>
      </c>
      <c r="E260" s="6" t="s">
        <v>12</v>
      </c>
      <c r="F260" s="6" t="s">
        <v>23</v>
      </c>
      <c r="G260" s="8">
        <v>647.6</v>
      </c>
      <c r="H260" s="6" t="str">
        <f t="shared" si="16"/>
        <v>Female</v>
      </c>
      <c r="I260" s="6" t="str">
        <f t="shared" si="17"/>
        <v>Baidoa</v>
      </c>
      <c r="J260" s="6" t="str">
        <f t="shared" si="18"/>
        <v>Civil Servant</v>
      </c>
      <c r="K260" s="6" t="str">
        <f t="shared" si="19"/>
        <v>Low</v>
      </c>
    </row>
    <row r="261" spans="1:11">
      <c r="A261" s="6" t="s">
        <v>277</v>
      </c>
      <c r="B261" s="7">
        <v>46039</v>
      </c>
      <c r="C261" s="6" t="s">
        <v>17</v>
      </c>
      <c r="D261" s="6">
        <v>37</v>
      </c>
      <c r="E261" s="6" t="s">
        <v>20</v>
      </c>
      <c r="F261" s="6" t="s">
        <v>18</v>
      </c>
      <c r="G261" s="8">
        <v>923.87</v>
      </c>
      <c r="H261" s="6" t="str">
        <f t="shared" si="16"/>
        <v>Female</v>
      </c>
      <c r="I261" s="6" t="str">
        <f t="shared" si="17"/>
        <v>Bosaso</v>
      </c>
      <c r="J261" s="6" t="str">
        <f t="shared" si="18"/>
        <v>Student</v>
      </c>
      <c r="K261" s="6" t="str">
        <f t="shared" si="19"/>
        <v>Medium</v>
      </c>
    </row>
    <row r="262" spans="1:11">
      <c r="A262" s="6" t="s">
        <v>278</v>
      </c>
      <c r="B262" s="7">
        <v>45674</v>
      </c>
      <c r="C262" s="6" t="s">
        <v>312</v>
      </c>
      <c r="D262" s="6">
        <v>18</v>
      </c>
      <c r="E262" s="6" t="s">
        <v>74</v>
      </c>
      <c r="F262" s="6" t="s">
        <v>18</v>
      </c>
      <c r="G262" s="8">
        <v>312.77</v>
      </c>
      <c r="H262" s="6" t="str">
        <f t="shared" si="16"/>
        <v>Missing</v>
      </c>
      <c r="I262" s="6" t="str">
        <f t="shared" si="17"/>
        <v>Garowe</v>
      </c>
      <c r="J262" s="6" t="str">
        <f t="shared" si="18"/>
        <v>Student</v>
      </c>
      <c r="K262" s="6" t="str">
        <f t="shared" si="19"/>
        <v>Low</v>
      </c>
    </row>
    <row r="263" spans="1:11">
      <c r="A263" s="6" t="s">
        <v>279</v>
      </c>
      <c r="B263" s="7">
        <v>45883</v>
      </c>
      <c r="C263" s="6" t="s">
        <v>8</v>
      </c>
      <c r="D263" s="6">
        <v>61</v>
      </c>
      <c r="E263" s="6" t="s">
        <v>9</v>
      </c>
      <c r="F263" s="6" t="s">
        <v>21</v>
      </c>
      <c r="G263" s="8">
        <v>961.13</v>
      </c>
      <c r="H263" s="6" t="str">
        <f t="shared" si="16"/>
        <v>Male</v>
      </c>
      <c r="I263" s="6" t="str">
        <f t="shared" si="17"/>
        <v>Mogadishu</v>
      </c>
      <c r="J263" s="6" t="str">
        <f t="shared" si="18"/>
        <v>Self-Employed</v>
      </c>
      <c r="K263" s="6" t="str">
        <f t="shared" si="19"/>
        <v>Medium</v>
      </c>
    </row>
    <row r="264" spans="1:11">
      <c r="A264" s="6" t="s">
        <v>280</v>
      </c>
      <c r="B264" s="7">
        <v>45884</v>
      </c>
      <c r="C264" s="6" t="s">
        <v>8</v>
      </c>
      <c r="D264" s="6">
        <v>44</v>
      </c>
      <c r="E264" s="6" t="s">
        <v>9</v>
      </c>
      <c r="F264" s="6" t="s">
        <v>30</v>
      </c>
      <c r="G264" s="8">
        <v>1300.01</v>
      </c>
      <c r="H264" s="6" t="str">
        <f t="shared" si="16"/>
        <v>Male</v>
      </c>
      <c r="I264" s="6" t="str">
        <f t="shared" si="17"/>
        <v>Mogadishu</v>
      </c>
      <c r="J264" s="6" t="str">
        <f t="shared" si="18"/>
        <v>Business Owner</v>
      </c>
      <c r="K264" s="6" t="str">
        <f t="shared" si="19"/>
        <v>Medium</v>
      </c>
    </row>
    <row r="265" spans="1:11">
      <c r="A265" s="6" t="s">
        <v>281</v>
      </c>
      <c r="B265" s="7">
        <v>45772</v>
      </c>
      <c r="C265" s="6" t="s">
        <v>8</v>
      </c>
      <c r="D265" s="6">
        <v>56</v>
      </c>
      <c r="E265" s="6" t="s">
        <v>9</v>
      </c>
      <c r="F265" s="6" t="s">
        <v>21</v>
      </c>
      <c r="G265" s="8">
        <v>1318.45</v>
      </c>
      <c r="H265" s="6" t="str">
        <f t="shared" si="16"/>
        <v>Male</v>
      </c>
      <c r="I265" s="6" t="str">
        <f t="shared" si="17"/>
        <v>Mogadishu</v>
      </c>
      <c r="J265" s="6" t="str">
        <f t="shared" si="18"/>
        <v>Self-Employed</v>
      </c>
      <c r="K265" s="6" t="str">
        <f t="shared" si="19"/>
        <v>Medium</v>
      </c>
    </row>
    <row r="266" spans="1:11">
      <c r="A266" s="6" t="s">
        <v>282</v>
      </c>
      <c r="B266" s="7">
        <v>45705</v>
      </c>
      <c r="C266" s="6" t="s">
        <v>8</v>
      </c>
      <c r="D266" s="6">
        <v>52</v>
      </c>
      <c r="E266" s="6" t="s">
        <v>74</v>
      </c>
      <c r="F266" s="6" t="s">
        <v>313</v>
      </c>
      <c r="G266" s="8">
        <v>494.83</v>
      </c>
      <c r="H266" s="6" t="str">
        <f t="shared" si="16"/>
        <v>Male</v>
      </c>
      <c r="I266" s="6" t="str">
        <f t="shared" si="17"/>
        <v>Garowe</v>
      </c>
      <c r="J266" s="6" t="str">
        <f t="shared" si="18"/>
        <v>Missing</v>
      </c>
      <c r="K266" s="6" t="str">
        <f t="shared" si="19"/>
        <v>Low</v>
      </c>
    </row>
    <row r="267" spans="1:11">
      <c r="A267" s="6" t="s">
        <v>283</v>
      </c>
      <c r="B267" s="7">
        <v>46173</v>
      </c>
      <c r="C267" s="6" t="s">
        <v>312</v>
      </c>
      <c r="D267" s="6">
        <v>49</v>
      </c>
      <c r="E267" s="6" t="s">
        <v>39</v>
      </c>
      <c r="F267" s="6" t="s">
        <v>21</v>
      </c>
      <c r="G267" s="8">
        <v>1046.17</v>
      </c>
      <c r="H267" s="6" t="str">
        <f t="shared" si="16"/>
        <v>Missing</v>
      </c>
      <c r="I267" s="6" t="str">
        <f t="shared" si="17"/>
        <v>Kismayo</v>
      </c>
      <c r="J267" s="6" t="str">
        <f t="shared" si="18"/>
        <v>Self-Employed</v>
      </c>
      <c r="K267" s="6" t="str">
        <f t="shared" si="19"/>
        <v>Medium</v>
      </c>
    </row>
    <row r="268" spans="1:11">
      <c r="A268" s="6" t="s">
        <v>284</v>
      </c>
      <c r="B268" s="7">
        <v>46157</v>
      </c>
      <c r="C268" s="6" t="s">
        <v>17</v>
      </c>
      <c r="D268" s="6">
        <v>44</v>
      </c>
      <c r="E268" s="6" t="s">
        <v>15</v>
      </c>
      <c r="F268" s="6" t="s">
        <v>30</v>
      </c>
      <c r="G268" s="8">
        <v>746.07</v>
      </c>
      <c r="H268" s="6" t="str">
        <f t="shared" si="16"/>
        <v>Female</v>
      </c>
      <c r="I268" s="6" t="str">
        <f t="shared" si="17"/>
        <v>Hargeisa</v>
      </c>
      <c r="J268" s="6" t="str">
        <f t="shared" si="18"/>
        <v>Business Owner</v>
      </c>
      <c r="K268" s="6" t="str">
        <f t="shared" si="19"/>
        <v>Low</v>
      </c>
    </row>
    <row r="269" spans="1:11">
      <c r="A269" s="6" t="s">
        <v>285</v>
      </c>
      <c r="B269" s="7">
        <v>46168</v>
      </c>
      <c r="C269" s="6" t="s">
        <v>8</v>
      </c>
      <c r="D269" s="6">
        <v>44</v>
      </c>
      <c r="E269" s="6" t="s">
        <v>15</v>
      </c>
      <c r="F269" s="6" t="s">
        <v>18</v>
      </c>
      <c r="G269" s="8">
        <v>149.24</v>
      </c>
      <c r="H269" s="6" t="str">
        <f t="shared" si="16"/>
        <v>Male</v>
      </c>
      <c r="I269" s="6" t="str">
        <f t="shared" si="17"/>
        <v>Hargeisa</v>
      </c>
      <c r="J269" s="6" t="str">
        <f t="shared" si="18"/>
        <v>Student</v>
      </c>
      <c r="K269" s="6" t="str">
        <f t="shared" si="19"/>
        <v>Low</v>
      </c>
    </row>
    <row r="270" spans="1:11">
      <c r="A270" s="6" t="s">
        <v>286</v>
      </c>
      <c r="B270" s="7">
        <v>45941</v>
      </c>
      <c r="C270" s="6" t="s">
        <v>8</v>
      </c>
      <c r="D270" s="6">
        <v>20</v>
      </c>
      <c r="E270" s="6" t="s">
        <v>15</v>
      </c>
      <c r="F270" s="6" t="s">
        <v>21</v>
      </c>
      <c r="G270" s="8">
        <v>438.08</v>
      </c>
      <c r="H270" s="6" t="str">
        <f t="shared" si="16"/>
        <v>Male</v>
      </c>
      <c r="I270" s="6" t="str">
        <f t="shared" si="17"/>
        <v>Hargeisa</v>
      </c>
      <c r="J270" s="6" t="str">
        <f t="shared" si="18"/>
        <v>Self-Employed</v>
      </c>
      <c r="K270" s="6" t="str">
        <f t="shared" si="19"/>
        <v>Low</v>
      </c>
    </row>
    <row r="271" spans="1:11">
      <c r="A271" s="6" t="s">
        <v>287</v>
      </c>
      <c r="B271" s="7" t="s">
        <v>312</v>
      </c>
      <c r="C271" s="6" t="s">
        <v>17</v>
      </c>
      <c r="D271" s="6">
        <v>53</v>
      </c>
      <c r="E271" s="6" t="s">
        <v>20</v>
      </c>
      <c r="F271" s="6" t="s">
        <v>44</v>
      </c>
      <c r="G271" s="8">
        <v>776.84</v>
      </c>
      <c r="H271" s="6" t="str">
        <f t="shared" si="16"/>
        <v>Female</v>
      </c>
      <c r="I271" s="6" t="str">
        <f t="shared" si="17"/>
        <v>Bosaso</v>
      </c>
      <c r="J271" s="6" t="str">
        <f t="shared" si="18"/>
        <v>Engineer</v>
      </c>
      <c r="K271" s="6" t="str">
        <f t="shared" si="19"/>
        <v>Low</v>
      </c>
    </row>
    <row r="272" spans="1:11">
      <c r="A272" s="6" t="s">
        <v>288</v>
      </c>
      <c r="B272" s="7">
        <v>46041</v>
      </c>
      <c r="C272" s="6" t="s">
        <v>17</v>
      </c>
      <c r="D272" s="6">
        <v>36</v>
      </c>
      <c r="E272" s="6" t="s">
        <v>312</v>
      </c>
      <c r="F272" s="6" t="s">
        <v>13</v>
      </c>
      <c r="G272" s="8">
        <v>922.87</v>
      </c>
      <c r="H272" s="6" t="str">
        <f t="shared" si="16"/>
        <v>Female</v>
      </c>
      <c r="I272" s="6" t="str">
        <f t="shared" si="17"/>
        <v>Missing</v>
      </c>
      <c r="J272" s="6" t="str">
        <f t="shared" si="18"/>
        <v>Teacher</v>
      </c>
      <c r="K272" s="6" t="str">
        <f t="shared" si="19"/>
        <v>Medium</v>
      </c>
    </row>
    <row r="273" spans="1:11">
      <c r="A273" s="6" t="s">
        <v>289</v>
      </c>
      <c r="B273" s="7">
        <v>45662</v>
      </c>
      <c r="C273" s="6" t="s">
        <v>8</v>
      </c>
      <c r="D273" s="6">
        <v>33</v>
      </c>
      <c r="E273" s="6" t="s">
        <v>9</v>
      </c>
      <c r="F273" s="6" t="s">
        <v>10</v>
      </c>
      <c r="G273" s="8">
        <v>1250.21</v>
      </c>
      <c r="H273" s="6" t="str">
        <f t="shared" si="16"/>
        <v>Male</v>
      </c>
      <c r="I273" s="6" t="str">
        <f t="shared" si="17"/>
        <v>Mogadishu</v>
      </c>
      <c r="J273" s="6" t="str">
        <f t="shared" si="18"/>
        <v>Healthcare</v>
      </c>
      <c r="K273" s="6" t="str">
        <f t="shared" si="19"/>
        <v>Medium</v>
      </c>
    </row>
    <row r="274" spans="1:11">
      <c r="A274" s="6" t="s">
        <v>290</v>
      </c>
      <c r="B274" s="7">
        <v>46080</v>
      </c>
      <c r="C274" s="6" t="s">
        <v>17</v>
      </c>
      <c r="D274" s="6">
        <v>60</v>
      </c>
      <c r="E274" s="6" t="s">
        <v>20</v>
      </c>
      <c r="F274" s="6" t="s">
        <v>10</v>
      </c>
      <c r="G274" s="8">
        <v>854.23</v>
      </c>
      <c r="H274" s="6" t="str">
        <f t="shared" si="16"/>
        <v>Female</v>
      </c>
      <c r="I274" s="6" t="str">
        <f t="shared" si="17"/>
        <v>Bosaso</v>
      </c>
      <c r="J274" s="6" t="str">
        <f t="shared" si="18"/>
        <v>Healthcare</v>
      </c>
      <c r="K274" s="6" t="str">
        <f t="shared" si="19"/>
        <v>Medium</v>
      </c>
    </row>
    <row r="275" spans="1:11">
      <c r="A275" s="6" t="s">
        <v>174</v>
      </c>
      <c r="B275" s="7">
        <v>46041</v>
      </c>
      <c r="C275" s="6" t="s">
        <v>17</v>
      </c>
      <c r="D275" s="6">
        <v>28</v>
      </c>
      <c r="E275" s="6" t="s">
        <v>312</v>
      </c>
      <c r="F275" s="6" t="s">
        <v>21</v>
      </c>
      <c r="G275" s="8">
        <v>785.95</v>
      </c>
      <c r="H275" s="6" t="str">
        <f t="shared" si="16"/>
        <v>Female</v>
      </c>
      <c r="I275" s="6" t="str">
        <f t="shared" si="17"/>
        <v>Missing</v>
      </c>
      <c r="J275" s="6" t="str">
        <f t="shared" si="18"/>
        <v>Self-Employed</v>
      </c>
      <c r="K275" s="6" t="str">
        <f t="shared" si="19"/>
        <v>Low</v>
      </c>
    </row>
    <row r="276" spans="1:11">
      <c r="A276" s="6" t="s">
        <v>291</v>
      </c>
      <c r="B276" s="7">
        <v>46022</v>
      </c>
      <c r="C276" s="6" t="s">
        <v>312</v>
      </c>
      <c r="D276" s="6">
        <v>33</v>
      </c>
      <c r="E276" s="6" t="s">
        <v>9</v>
      </c>
      <c r="F276" s="6" t="s">
        <v>13</v>
      </c>
      <c r="G276" s="8">
        <v>790.38</v>
      </c>
      <c r="H276" s="6" t="str">
        <f t="shared" si="16"/>
        <v>Missing</v>
      </c>
      <c r="I276" s="6" t="str">
        <f t="shared" si="17"/>
        <v>Mogadishu</v>
      </c>
      <c r="J276" s="6" t="str">
        <f t="shared" si="18"/>
        <v>Teacher</v>
      </c>
      <c r="K276" s="6" t="str">
        <f t="shared" si="19"/>
        <v>Low</v>
      </c>
    </row>
    <row r="277" spans="1:11">
      <c r="A277" s="6" t="s">
        <v>292</v>
      </c>
      <c r="B277" s="7">
        <v>46077</v>
      </c>
      <c r="C277" s="6" t="s">
        <v>8</v>
      </c>
      <c r="D277" s="6">
        <v>50</v>
      </c>
      <c r="E277" s="6" t="s">
        <v>74</v>
      </c>
      <c r="F277" s="6" t="s">
        <v>44</v>
      </c>
      <c r="G277" s="8">
        <v>644.80999999999995</v>
      </c>
      <c r="H277" s="6" t="str">
        <f t="shared" si="16"/>
        <v>Male</v>
      </c>
      <c r="I277" s="6" t="str">
        <f t="shared" si="17"/>
        <v>Garowe</v>
      </c>
      <c r="J277" s="6" t="str">
        <f t="shared" si="18"/>
        <v>Engineer</v>
      </c>
      <c r="K277" s="6" t="str">
        <f t="shared" si="19"/>
        <v>Low</v>
      </c>
    </row>
    <row r="278" spans="1:11">
      <c r="A278" s="6" t="s">
        <v>293</v>
      </c>
      <c r="B278" s="7" t="s">
        <v>312</v>
      </c>
      <c r="C278" s="6" t="s">
        <v>8</v>
      </c>
      <c r="D278" s="6">
        <v>107</v>
      </c>
      <c r="E278" s="6" t="s">
        <v>74</v>
      </c>
      <c r="F278" s="6" t="s">
        <v>44</v>
      </c>
      <c r="G278" s="8">
        <v>632.26</v>
      </c>
      <c r="H278" s="6" t="str">
        <f t="shared" si="16"/>
        <v>Male</v>
      </c>
      <c r="I278" s="6" t="str">
        <f t="shared" si="17"/>
        <v>Garowe</v>
      </c>
      <c r="J278" s="6" t="str">
        <f t="shared" si="18"/>
        <v>Engineer</v>
      </c>
      <c r="K278" s="6" t="str">
        <f t="shared" si="19"/>
        <v>Low</v>
      </c>
    </row>
    <row r="279" spans="1:11">
      <c r="A279" s="6" t="s">
        <v>294</v>
      </c>
      <c r="B279" s="7">
        <v>46089</v>
      </c>
      <c r="C279" s="6" t="s">
        <v>17</v>
      </c>
      <c r="D279" s="6">
        <v>43</v>
      </c>
      <c r="E279" s="6" t="s">
        <v>9</v>
      </c>
      <c r="F279" s="6" t="s">
        <v>10</v>
      </c>
      <c r="G279" s="8">
        <v>1069.08</v>
      </c>
      <c r="H279" s="6" t="str">
        <f t="shared" si="16"/>
        <v>Female</v>
      </c>
      <c r="I279" s="6" t="str">
        <f t="shared" si="17"/>
        <v>Mogadishu</v>
      </c>
      <c r="J279" s="6" t="str">
        <f t="shared" si="18"/>
        <v>Healthcare</v>
      </c>
      <c r="K279" s="6" t="str">
        <f t="shared" si="19"/>
        <v>Medium</v>
      </c>
    </row>
    <row r="280" spans="1:11">
      <c r="A280" s="6" t="s">
        <v>295</v>
      </c>
      <c r="B280" s="7">
        <v>45862</v>
      </c>
      <c r="C280" s="6" t="s">
        <v>17</v>
      </c>
      <c r="D280" s="6">
        <v>69</v>
      </c>
      <c r="E280" s="6" t="s">
        <v>296</v>
      </c>
      <c r="F280" s="6" t="s">
        <v>313</v>
      </c>
      <c r="G280" s="8">
        <v>691.63</v>
      </c>
      <c r="H280" s="6" t="str">
        <f t="shared" si="16"/>
        <v>Female</v>
      </c>
      <c r="I280" s="6" t="str">
        <f t="shared" si="17"/>
        <v>Mogadishu</v>
      </c>
      <c r="J280" s="6" t="str">
        <f t="shared" si="18"/>
        <v>Missing</v>
      </c>
      <c r="K280" s="6" t="str">
        <f t="shared" si="19"/>
        <v>Low</v>
      </c>
    </row>
    <row r="281" spans="1:11">
      <c r="A281" s="6" t="s">
        <v>297</v>
      </c>
      <c r="B281" s="7">
        <v>46137</v>
      </c>
      <c r="C281" s="6" t="s">
        <v>8</v>
      </c>
      <c r="D281" s="6">
        <v>44</v>
      </c>
      <c r="E281" s="6" t="s">
        <v>15</v>
      </c>
      <c r="F281" s="6" t="s">
        <v>10</v>
      </c>
      <c r="G281" s="8">
        <v>1263.1099999999999</v>
      </c>
      <c r="H281" s="6" t="str">
        <f t="shared" si="16"/>
        <v>Male</v>
      </c>
      <c r="I281" s="6" t="str">
        <f t="shared" si="17"/>
        <v>Hargeisa</v>
      </c>
      <c r="J281" s="6" t="str">
        <f t="shared" si="18"/>
        <v>Healthcare</v>
      </c>
      <c r="K281" s="6" t="str">
        <f t="shared" si="19"/>
        <v>Medium</v>
      </c>
    </row>
    <row r="282" spans="1:11">
      <c r="A282" s="6" t="s">
        <v>298</v>
      </c>
      <c r="B282" s="7">
        <v>45703</v>
      </c>
      <c r="C282" s="6" t="s">
        <v>8</v>
      </c>
      <c r="D282" s="6">
        <v>66</v>
      </c>
      <c r="E282" s="6" t="s">
        <v>15</v>
      </c>
      <c r="F282" s="6" t="s">
        <v>10</v>
      </c>
      <c r="G282" s="8">
        <v>1215.9100000000001</v>
      </c>
      <c r="H282" s="6" t="str">
        <f t="shared" si="16"/>
        <v>Male</v>
      </c>
      <c r="I282" s="6" t="str">
        <f t="shared" si="17"/>
        <v>Hargeisa</v>
      </c>
      <c r="J282" s="6" t="str">
        <f t="shared" si="18"/>
        <v>Healthcare</v>
      </c>
      <c r="K282" s="6" t="str">
        <f t="shared" si="19"/>
        <v>Medium</v>
      </c>
    </row>
    <row r="283" spans="1:11">
      <c r="A283" s="6" t="s">
        <v>299</v>
      </c>
      <c r="B283" s="7">
        <v>45973</v>
      </c>
      <c r="C283" s="6" t="s">
        <v>8</v>
      </c>
      <c r="D283" s="6">
        <v>20</v>
      </c>
      <c r="E283" s="6" t="s">
        <v>39</v>
      </c>
      <c r="F283" s="6" t="s">
        <v>23</v>
      </c>
      <c r="G283" s="8">
        <v>872.34</v>
      </c>
      <c r="H283" s="6" t="str">
        <f t="shared" si="16"/>
        <v>Male</v>
      </c>
      <c r="I283" s="6" t="str">
        <f t="shared" si="17"/>
        <v>Kismayo</v>
      </c>
      <c r="J283" s="6" t="str">
        <f t="shared" si="18"/>
        <v>Civil Servant</v>
      </c>
      <c r="K283" s="6" t="str">
        <f t="shared" si="19"/>
        <v>Medium</v>
      </c>
    </row>
    <row r="284" spans="1:11">
      <c r="A284" s="6" t="s">
        <v>300</v>
      </c>
      <c r="B284" s="7">
        <v>45934</v>
      </c>
      <c r="C284" s="6" t="s">
        <v>8</v>
      </c>
      <c r="D284" s="6">
        <v>27</v>
      </c>
      <c r="E284" s="6" t="s">
        <v>20</v>
      </c>
      <c r="F284" s="6" t="s">
        <v>23</v>
      </c>
      <c r="G284" s="8">
        <v>897.29</v>
      </c>
      <c r="H284" s="6" t="str">
        <f t="shared" si="16"/>
        <v>Male</v>
      </c>
      <c r="I284" s="6" t="str">
        <f t="shared" si="17"/>
        <v>Bosaso</v>
      </c>
      <c r="J284" s="6" t="str">
        <f t="shared" si="18"/>
        <v>Civil Servant</v>
      </c>
      <c r="K284" s="6" t="str">
        <f t="shared" si="19"/>
        <v>Medium</v>
      </c>
    </row>
    <row r="285" spans="1:11">
      <c r="A285" s="6" t="s">
        <v>301</v>
      </c>
      <c r="B285" s="7">
        <v>45741</v>
      </c>
      <c r="C285" s="6" t="s">
        <v>17</v>
      </c>
      <c r="D285" s="6">
        <v>48</v>
      </c>
      <c r="E285" s="6" t="s">
        <v>12</v>
      </c>
      <c r="F285" s="6" t="s">
        <v>23</v>
      </c>
      <c r="G285" s="8">
        <v>523.37</v>
      </c>
      <c r="H285" s="6" t="str">
        <f t="shared" si="16"/>
        <v>Female</v>
      </c>
      <c r="I285" s="6" t="str">
        <f t="shared" si="17"/>
        <v>Baidoa</v>
      </c>
      <c r="J285" s="6" t="str">
        <f t="shared" si="18"/>
        <v>Civil Servant</v>
      </c>
      <c r="K285" s="6" t="str">
        <f t="shared" si="19"/>
        <v>Low</v>
      </c>
    </row>
    <row r="286" spans="1:11">
      <c r="A286" s="6" t="s">
        <v>302</v>
      </c>
      <c r="B286" s="7">
        <v>45775</v>
      </c>
      <c r="C286" s="6" t="s">
        <v>17</v>
      </c>
      <c r="D286" s="6">
        <v>58</v>
      </c>
      <c r="E286" s="6" t="s">
        <v>39</v>
      </c>
      <c r="F286" s="6" t="s">
        <v>44</v>
      </c>
      <c r="G286" s="8">
        <v>622.54999999999995</v>
      </c>
      <c r="H286" s="6" t="str">
        <f t="shared" si="16"/>
        <v>Female</v>
      </c>
      <c r="I286" s="6" t="str">
        <f t="shared" si="17"/>
        <v>Kismayo</v>
      </c>
      <c r="J286" s="6" t="str">
        <f t="shared" si="18"/>
        <v>Engineer</v>
      </c>
      <c r="K286" s="6" t="str">
        <f t="shared" si="19"/>
        <v>Low</v>
      </c>
    </row>
    <row r="287" spans="1:11">
      <c r="A287" s="6" t="s">
        <v>303</v>
      </c>
      <c r="B287" s="7">
        <v>46129</v>
      </c>
      <c r="C287" s="6" t="s">
        <v>17</v>
      </c>
      <c r="D287" s="6">
        <v>18</v>
      </c>
      <c r="E287" s="6" t="s">
        <v>9</v>
      </c>
      <c r="F287" s="6" t="s">
        <v>23</v>
      </c>
      <c r="G287" s="8">
        <v>1155.56</v>
      </c>
      <c r="H287" s="6" t="str">
        <f t="shared" si="16"/>
        <v>Female</v>
      </c>
      <c r="I287" s="6" t="str">
        <f t="shared" si="17"/>
        <v>Mogadishu</v>
      </c>
      <c r="J287" s="6" t="str">
        <f t="shared" si="18"/>
        <v>Civil Servant</v>
      </c>
      <c r="K287" s="6" t="str">
        <f t="shared" si="19"/>
        <v>Medium</v>
      </c>
    </row>
    <row r="288" spans="1:11">
      <c r="A288" s="6" t="s">
        <v>304</v>
      </c>
      <c r="B288" s="7">
        <v>45956</v>
      </c>
      <c r="C288" s="6" t="s">
        <v>8</v>
      </c>
      <c r="D288" s="6">
        <v>34</v>
      </c>
      <c r="E288" s="6" t="s">
        <v>20</v>
      </c>
      <c r="F288" s="6" t="s">
        <v>23</v>
      </c>
      <c r="G288" s="8">
        <v>862.99</v>
      </c>
      <c r="H288" s="6" t="str">
        <f t="shared" si="16"/>
        <v>Male</v>
      </c>
      <c r="I288" s="6" t="str">
        <f t="shared" si="17"/>
        <v>Bosaso</v>
      </c>
      <c r="J288" s="6" t="str">
        <f t="shared" si="18"/>
        <v>Civil Servant</v>
      </c>
      <c r="K288" s="6" t="str">
        <f t="shared" si="19"/>
        <v>Medium</v>
      </c>
    </row>
    <row r="289" spans="1:11">
      <c r="A289" s="6" t="s">
        <v>305</v>
      </c>
      <c r="B289" s="7">
        <v>46150</v>
      </c>
      <c r="C289" s="6" t="s">
        <v>8</v>
      </c>
      <c r="D289" s="6">
        <v>67</v>
      </c>
      <c r="E289" s="6" t="s">
        <v>9</v>
      </c>
      <c r="F289" s="6" t="s">
        <v>23</v>
      </c>
      <c r="G289" s="8">
        <v>857.27</v>
      </c>
      <c r="H289" s="6" t="str">
        <f t="shared" si="16"/>
        <v>Male</v>
      </c>
      <c r="I289" s="6" t="str">
        <f t="shared" si="17"/>
        <v>Mogadishu</v>
      </c>
      <c r="J289" s="6" t="str">
        <f t="shared" si="18"/>
        <v>Civil Servant</v>
      </c>
      <c r="K289" s="6" t="str">
        <f t="shared" si="19"/>
        <v>Medium</v>
      </c>
    </row>
    <row r="290" spans="1:11">
      <c r="A290" s="6" t="s">
        <v>306</v>
      </c>
      <c r="B290" s="7">
        <v>45745</v>
      </c>
      <c r="C290" s="6" t="s">
        <v>17</v>
      </c>
      <c r="D290" s="6">
        <v>32</v>
      </c>
      <c r="E290" s="6" t="s">
        <v>9</v>
      </c>
      <c r="F290" s="6" t="s">
        <v>307</v>
      </c>
      <c r="G290" s="8">
        <v>1235.8900000000001</v>
      </c>
      <c r="H290" s="6" t="str">
        <f t="shared" si="16"/>
        <v>Female</v>
      </c>
      <c r="I290" s="6" t="str">
        <f t="shared" si="17"/>
        <v>Mogadishu</v>
      </c>
      <c r="J290" s="6" t="str">
        <f t="shared" si="18"/>
        <v>Self-Employed</v>
      </c>
      <c r="K290" s="6" t="str">
        <f t="shared" si="19"/>
        <v>Medium</v>
      </c>
    </row>
    <row r="291" spans="1:11">
      <c r="A291" s="6" t="s">
        <v>308</v>
      </c>
      <c r="B291" s="7">
        <v>46136</v>
      </c>
      <c r="C291" s="6" t="s">
        <v>17</v>
      </c>
      <c r="D291" s="6">
        <v>57</v>
      </c>
      <c r="E291" s="6" t="s">
        <v>39</v>
      </c>
      <c r="F291" s="6" t="s">
        <v>30</v>
      </c>
      <c r="G291" s="8">
        <v>749.33</v>
      </c>
      <c r="H291" s="6" t="str">
        <f t="shared" si="16"/>
        <v>Female</v>
      </c>
      <c r="I291" s="6" t="str">
        <f t="shared" si="17"/>
        <v>Kismayo</v>
      </c>
      <c r="J291" s="6" t="str">
        <f t="shared" si="18"/>
        <v>Business Owner</v>
      </c>
      <c r="K291" s="6" t="str">
        <f t="shared" si="19"/>
        <v>Low</v>
      </c>
    </row>
    <row r="292" spans="1:11">
      <c r="A292" s="6" t="s">
        <v>113</v>
      </c>
      <c r="B292" s="7">
        <v>45757</v>
      </c>
      <c r="C292" s="6" t="s">
        <v>17</v>
      </c>
      <c r="D292" s="6">
        <v>33</v>
      </c>
      <c r="E292" s="6" t="s">
        <v>74</v>
      </c>
      <c r="F292" s="6" t="s">
        <v>23</v>
      </c>
      <c r="G292" s="8">
        <v>661.71</v>
      </c>
      <c r="H292" s="6" t="str">
        <f t="shared" si="16"/>
        <v>Female</v>
      </c>
      <c r="I292" s="6" t="str">
        <f t="shared" si="17"/>
        <v>Garowe</v>
      </c>
      <c r="J292" s="6" t="str">
        <f t="shared" si="18"/>
        <v>Civil Servant</v>
      </c>
      <c r="K292" s="6" t="str">
        <f t="shared" si="19"/>
        <v>Low</v>
      </c>
    </row>
    <row r="293" spans="1:11">
      <c r="A293" s="6" t="s">
        <v>309</v>
      </c>
      <c r="B293" s="7">
        <v>46022</v>
      </c>
      <c r="C293" s="6" t="s">
        <v>17</v>
      </c>
      <c r="D293" s="6">
        <v>41</v>
      </c>
      <c r="E293" s="6" t="s">
        <v>12</v>
      </c>
      <c r="F293" s="6" t="s">
        <v>21</v>
      </c>
      <c r="G293" s="8">
        <v>455.83</v>
      </c>
      <c r="H293" s="6" t="str">
        <f t="shared" si="16"/>
        <v>Female</v>
      </c>
      <c r="I293" s="6" t="str">
        <f t="shared" si="17"/>
        <v>Baidoa</v>
      </c>
      <c r="J293" s="6" t="str">
        <f t="shared" si="18"/>
        <v>Self-Employed</v>
      </c>
      <c r="K293" s="6" t="str">
        <f t="shared" si="19"/>
        <v>Low</v>
      </c>
    </row>
    <row r="294" spans="1:11">
      <c r="A294" s="6" t="s">
        <v>310</v>
      </c>
      <c r="B294" s="7">
        <v>45750</v>
      </c>
      <c r="C294" s="6" t="s">
        <v>8</v>
      </c>
      <c r="D294" s="6">
        <v>49</v>
      </c>
      <c r="E294" s="6" t="s">
        <v>20</v>
      </c>
      <c r="F294" s="6" t="s">
        <v>18</v>
      </c>
      <c r="G294" s="8">
        <v>923.87</v>
      </c>
      <c r="H294" s="6" t="str">
        <f t="shared" si="16"/>
        <v>Male</v>
      </c>
      <c r="I294" s="6" t="str">
        <f t="shared" si="17"/>
        <v>Bosaso</v>
      </c>
      <c r="J294" s="6" t="str">
        <f t="shared" si="18"/>
        <v>Student</v>
      </c>
      <c r="K294" s="6" t="str">
        <f t="shared" si="19"/>
        <v>Medium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F29" sqref="F29"/>
    </sheetView>
  </sheetViews>
  <sheetFormatPr defaultRowHeight="15"/>
  <cols>
    <col min="1" max="1" width="24.5703125" bestFit="1" customWidth="1"/>
    <col min="2" max="2" width="12" bestFit="1" customWidth="1"/>
    <col min="3" max="3" width="32.7109375" bestFit="1" customWidth="1"/>
    <col min="8" max="8" width="14.42578125" bestFit="1" customWidth="1"/>
  </cols>
  <sheetData>
    <row r="1" spans="1:8" s="16" customFormat="1" ht="15.75">
      <c r="A1" s="16" t="s">
        <v>317</v>
      </c>
      <c r="H1" s="16" t="s">
        <v>347</v>
      </c>
    </row>
    <row r="2" spans="1:8">
      <c r="A2" s="9" t="s">
        <v>337</v>
      </c>
      <c r="B2" s="9" t="s">
        <v>320</v>
      </c>
      <c r="C2" s="9" t="s">
        <v>321</v>
      </c>
    </row>
    <row r="3" spans="1:8" ht="15.75">
      <c r="A3" s="14" t="s">
        <v>318</v>
      </c>
      <c r="B3" s="14">
        <f>SUM('[1]Clean_Data '!G:G)</f>
        <v>270693.18999999989</v>
      </c>
      <c r="C3" s="14" t="s">
        <v>323</v>
      </c>
    </row>
    <row r="4" spans="1:8" ht="15.75">
      <c r="A4" s="14" t="s">
        <v>319</v>
      </c>
      <c r="B4" s="14">
        <f>AVERAGE('[1]Clean_Data '!G:G)</f>
        <v>923.86754266211562</v>
      </c>
      <c r="C4" s="14" t="s">
        <v>322</v>
      </c>
    </row>
    <row r="5" spans="1:8" ht="15.75">
      <c r="A5" s="14" t="s">
        <v>324</v>
      </c>
      <c r="B5" s="14">
        <f>AVERAGE('[1]Clean_Data '!D:D)</f>
        <v>44.228668941979521</v>
      </c>
      <c r="C5" s="14" t="s">
        <v>325</v>
      </c>
    </row>
    <row r="6" spans="1:8" ht="15.75">
      <c r="A6" s="14" t="s">
        <v>326</v>
      </c>
      <c r="B6" s="14">
        <f>COUNTA('[1]Clean_Data '!A:A)-1</f>
        <v>279</v>
      </c>
      <c r="C6" s="14" t="s">
        <v>327</v>
      </c>
    </row>
    <row r="7" spans="1:8" ht="15.75">
      <c r="A7" s="14" t="s">
        <v>335</v>
      </c>
      <c r="B7" s="14">
        <f>MIN('[1]Clean_Data '!D:D)</f>
        <v>18</v>
      </c>
      <c r="C7" s="14" t="s">
        <v>328</v>
      </c>
    </row>
    <row r="8" spans="1:8" ht="15.75">
      <c r="A8" s="14" t="s">
        <v>329</v>
      </c>
      <c r="B8" s="14">
        <f>MAX('[1]Clean_Data '!D:D)</f>
        <v>123</v>
      </c>
      <c r="C8" s="14" t="s">
        <v>330</v>
      </c>
    </row>
    <row r="9" spans="1:8" ht="15.75">
      <c r="A9" s="14" t="s">
        <v>331</v>
      </c>
      <c r="B9" s="14">
        <f>MIN('[1]Clean_Data '!G:G)</f>
        <v>108.23</v>
      </c>
      <c r="C9" s="14" t="s">
        <v>332</v>
      </c>
    </row>
    <row r="10" spans="1:8" ht="15.75">
      <c r="A10" s="14" t="s">
        <v>333</v>
      </c>
      <c r="B10" s="14">
        <f>MAX('[1]Clean_Data '!G:G)</f>
        <v>10013</v>
      </c>
      <c r="C10" s="14" t="s">
        <v>334</v>
      </c>
    </row>
    <row r="11" spans="1:8">
      <c r="A11" s="13"/>
      <c r="B11" s="15"/>
      <c r="C11" s="15"/>
    </row>
    <row r="17" spans="1:3" s="10" customFormat="1">
      <c r="A17" s="10" t="s">
        <v>336</v>
      </c>
    </row>
    <row r="18" spans="1:3">
      <c r="A18" s="9" t="s">
        <v>337</v>
      </c>
      <c r="B18" s="9" t="s">
        <v>320</v>
      </c>
      <c r="C18" s="9" t="s">
        <v>321</v>
      </c>
    </row>
    <row r="19" spans="1:3">
      <c r="A19" t="s">
        <v>338</v>
      </c>
      <c r="B19">
        <f>COUNTIF(Analysis!E2:E10,"Mogadishu")</f>
        <v>0</v>
      </c>
      <c r="C19" t="s">
        <v>340</v>
      </c>
    </row>
    <row r="20" spans="1:3">
      <c r="A20" t="s">
        <v>341</v>
      </c>
      <c r="C20" t="s">
        <v>339</v>
      </c>
    </row>
    <row r="21" spans="1:3">
      <c r="A21" t="s">
        <v>342</v>
      </c>
      <c r="B21" t="e">
        <f>AVERAGEIF('[1]Clean_Data '!F:F,"Teacher",'[1]Clean_Data '!G:G)</f>
        <v>#VALUE!</v>
      </c>
      <c r="C21" t="s">
        <v>343</v>
      </c>
    </row>
    <row r="24" spans="1:3">
      <c r="C24" s="12"/>
    </row>
    <row r="25" spans="1:3" s="10" customFormat="1">
      <c r="A25" s="10" t="s">
        <v>345</v>
      </c>
    </row>
    <row r="26" spans="1:3">
      <c r="A26" s="9" t="s">
        <v>337</v>
      </c>
      <c r="B26" s="9" t="s">
        <v>320</v>
      </c>
      <c r="C26" s="9" t="s">
        <v>321</v>
      </c>
    </row>
    <row r="27" spans="1:3">
      <c r="A27" t="s">
        <v>344</v>
      </c>
      <c r="B27" t="str">
        <f>IF('[1]Clean_Data '!G2&gt;=1500,"High",IF('[1]Clean_Data '!G2&gt;=800,"Medium","Low"))</f>
        <v>Medium</v>
      </c>
      <c r="C27" s="11" t="s">
        <v>346</v>
      </c>
    </row>
    <row r="28" spans="1:3">
      <c r="A28" t="s">
        <v>348</v>
      </c>
      <c r="B28" t="str">
        <f>IF(AND('[1]Clean_Data '!C2="Female",'[1]Clean_Data '!G2&gt;=1000),"Target","Other")</f>
        <v>Other</v>
      </c>
      <c r="C28" t="s">
        <v>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 </vt:lpstr>
      <vt:lpstr>Analysis</vt:lpstr>
      <vt:lpstr>PivotTables</vt:lpstr>
      <vt:lpstr>Dashboard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2026-08-12T07:59:44Z</dcterms:created>
  <dcterms:modified xsi:type="dcterms:W3CDTF">2026-08-15T12:01:52Z</dcterms:modified>
</cp:coreProperties>
</file>