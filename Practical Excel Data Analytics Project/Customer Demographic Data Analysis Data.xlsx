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3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pivotCaches>
    <pivotCache cacheId="7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<sst xmlns="http://schemas.openxmlformats.org/spreadsheetml/2006/main" count="2409" uniqueCount="368">
  <si>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</si>
  <si>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</si>
  <si>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</si>
  <si>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</si>
  <si>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</si>
  <si>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</si>
  <si>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</si>
  <si>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</si>
  <si>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</si>
  <si>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</si>
  <si>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</si>
  <si>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</si>
  <si>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</si>
  <si>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</si>
  <si>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</si>
  <si>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</si>
  <si>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</si>
  <si>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</si>
  <si>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</si>
  <si>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</si>
  <si>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</si>
  <si>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</si>
  <si>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</si>
  <si>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</si>
  <si>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</si>
  <si>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</si>
  <si>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</si>
  <si>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</si>
  <si>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</si>
  <si>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</si>
  <si>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</si>
  <si>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</si>
  <si>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</si>
  <si>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</si>
  <si>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</si>
  <si>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</si>
  <si>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</si>
  <si>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</si>
  <si>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</si>
  <si>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</si>
  <si>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</si>
  <si>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</si>
  <si>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</si>
  <si>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</si>
  <si>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</si>
  <si>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</si>
  <si>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</si>
  <si>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</si>
  <si>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</si>
  <si>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</si>
  <si>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</si>
  <si>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</si>
  <si>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</si>
  <si>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</si>
  <si>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</si>
  <si>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</si>
  <si>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</si>
  <si>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</si>
  <si>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</si>
  <si>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</si>
  <si>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</si>
  <si>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</si>
  <si>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</si>
  <si>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</si>
  <si>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</si>
  <si>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</si>
  <si>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</si>
  <si>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</si>
  <si>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</si>
  <si>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</si>
  <si>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</si>
  <si>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</si>
  <si>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</si>
  <si>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</si>
  <si>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</si>
  <si>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</si>
  <si>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</si>
  <si>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</si>
  <si>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</si>
  <si>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</si>
  <si>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</si>
  <si>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</si>
  <si>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</si>
  <si>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</si>
  <si>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</si>
  <si>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</si>
  <si>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</si>
  <si>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</si>
  <si>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</si>
  <si>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</si>
  <si>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</si>
  <si>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</si>
  <si>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</si>
  <si>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</si>
  <si>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</si>
  <si>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</si>
  <si>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</si>
  <si>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</si>
  <si>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</si>
  <si>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</si>
  <si>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</si>
  <si>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</si>
  <si>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</si>
  <si>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</si>
  <si>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</si>
  <si>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</si>
  <si>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</si>
  <si>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</si>
  <si>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</si>
  <si>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</si>
  <si>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</si>
  <si>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</si>
  <si>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</si>
  <si>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</si>
  <si>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</si>
  <si>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</si>
  <si>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</si>
  <si>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</si>
  <si>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</si>
  <si>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</si>
  <si>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</si>
  <si>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</si>
  <si>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</si>
  <si>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</si>
  <si>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</si>
  <si>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</si>
  <si>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</si>
  <si>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</si>
  <si>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</si>
  <si>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</si>
  <si>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</si>
  <si>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</si>
  <si>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</si>
  <si>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</si>
  <si>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</si>
  <si>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</si>
  <si>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</si>
  <si>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</si>
  <si>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</si>
  <si>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</si>
  <si>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</si>
  <si>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</si>
  <si>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</si>
  <si>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</si>
  <si>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</si>
  <si>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</si>
  <si>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</si>
  <si>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</si>
  <si>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</si>
  <si>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</si>
  <si>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</si>
  <si>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</si>
  <si>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</si>
  <si>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</si>
  <si>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</si>
  <si>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</si>
  <si>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</si>
  <si>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</si>
  <si>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</si>
  <si>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</si>
  <si>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</si>
  <si>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</si>
  <si>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</si>
  <si>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</si>
  <si>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</si>
  <si>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</si>
  <si>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</si>
  <si>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</si>
  <si>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</si>
  <si>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</si>
  <si>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</si>
  <si>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</si>
  <si>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</si>
  <si>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</si>
  <si>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</si>
  <si>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</si>
  <si>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</si>
  <si>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</si>
  <si>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</si>
  <si>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</si>
  <si>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</si>
  <si>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</si>
  <si>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</si>
  <si>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</si>
  <si>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</si>
  <si>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</si>
  <si>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</si>
  <si>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</si>
  <si>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</si>
  <si>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</si>
  <si>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</si>
  <si>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</si>
  <si>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</si>
  <si>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</si>
  <si>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</si>
  <si>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</si>
  <si>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</si>
  <si>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</si>
  <si>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</si>
  <si>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</si>
  <si>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</si>
  <si>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</si>
  <si>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</si>
  <si>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</si>
  <si>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</si>
  <si>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</si>
  <si>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</si>
  <si>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</si>
  <si>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</si>
  <si>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</si>
  <si>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</si>
  <si>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</si>
  <si>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</si>
  <si>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</si>
  <si>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</si>
  <si>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</si>
  <si>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</si>
  <si>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</si>
  <si>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</si>
  <si>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</si>
  <si>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</si>
  <si>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</si>
  <si>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</si>
  <si>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</si>
  <si>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</si>
  <si>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</si>
  <si>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</si>
  <si>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</si>
  <si>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</si>
  <si>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</si>
  <si>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</si>
  <si>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</si>
  <si>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</si>
  <si>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</si>
  <si>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</si>
  <si>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</si>
  <si>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</si>
  <si>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</si>
  <si>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</si>
  <si>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</si>
  <si>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</si>
  <si>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</si>
  <si>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</si>
  <si>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</si>
  <si>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</si>
  <si>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</si>
  <si>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</si>
  <si>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</si>
  <si>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</si>
  <si>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</si>
  <si>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</si>
  <si>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</si>
  <si>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</si>
  <si>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</si>
  <si>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</si>
  <si>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</si>
  <si>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</si>
  <si>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</si>
  <si>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</si>
  <si>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</si>
  <si>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</si>
  <si>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</si>
  <si>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</si>
  <si>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</si>
  <si>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</si>
  <si>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</si>
  <si>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</si>
  <si>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</si>
  <si>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</si>
  <si>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</si>
  <si>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</si>
  <si>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</si>
  <si>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</si>
  <si>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</si>
  <si>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</si>
  <si>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</si>
  <si>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</si>
  <si>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</si>
  <si>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</si>
  <si>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</si>
  <si>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</si>
  <si>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</si>
  <si>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</si>
  <si>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</si>
  <si>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</si>
  <si>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</si>
  <si>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</si>
  <si>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</si>
  <si>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</si>
  <si>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</si>
  <si>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</si>
  <si>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</si>
  <si>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</si>
  <si>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</si>
  <si>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</si>
  <si>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</si>
  <si>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</si>
  <si>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</si>
  <si>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</si>
  <si>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</si>
  <si>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</si>
  <si>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</si>
  <si>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</si>
  <si>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</si>
  <si>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</si>
  <si>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</si>
  <si>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</si>
  <si>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</si>
  <si>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</si>
  <si>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</si>
  <si>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</si>
  <si>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</si>
  <si>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</si>
  <si>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</si>
  <si>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</si>
  <si>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</si>
  <si>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</si>
  <si>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</si>
  <si>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</si>
  <si>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</si>
  <si>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</si>
  <si>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</si>
  <si>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</si>
  <si>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</si>
  <si>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</si>
  <si>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</si>
  <si>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</si>
  <si>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</si>
  <si>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</si>
  <si>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</si>
  <si>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</si>
  <si>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</si>
  <si>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</si>
  <si>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</si>
  <si>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</si>
  <si>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</si>
  <si>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</si>
  <si>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</si>
  <si>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</si>
  <si>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</si>
  <si>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</si>
  <si>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</si>
  <si>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</si>
  <si>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</si>
  <si>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</si>
  <si>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</si>
  <si>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</si>
  <si>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</si>
  <si>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</si>
  <si>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</si>
  <si>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</si>
  <si>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</si>
  <si>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</si>
  <si>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</si>
  <si>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</si>
  <si>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</si>
  <si>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</si>
  <si>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</si>
  <si>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</si>
  <si>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</si>
  <si>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</si>
  <si>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</si>
  <si>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</si>
  <si>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</si>
  <si>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</si>
  <si>
    <t>Row Labels</t>
  </si>
  <si>
    <t>Grand Total</t>
  </si>
  <si>
    <t>Sum of Monthly_Income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</si>
</sst>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  <xf numFmtId="0" fontId="0" fillId="0" borderId="0" xfId="0" pivotButton="1"/>
    <xf numFmtId="0" fontId="0" fillId="0" borderId="0" xfId="0" applyNumberFormat="1"/>
  </cellXfs>
  <cellStyles count="3">
    <cellStyle name="60% - Accent5" xfId="2" builtinId="48"/>
    <cellStyle name="Accent5" xfId="1" builtinId="45"/>
    <cellStyle name="Normal" xfId="0" builtinId="0"/>
  </cellStyles>
  <dxfs count="6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 Demographic Data Analysis Data.xlsx]PivotTables!PivotTable2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PivotTables!$A$6:$A$13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PivotTables!$B$6:$B$13</c:f>
              <c:numCache>
                <c:formatCode>General</c:formatCode>
                <c:ptCount val="7"/>
                <c:pt idx="0">
                  <c:v>19068.93</c:v>
                </c:pt>
                <c:pt idx="1">
                  <c:v>39854.100000000006</c:v>
                </c:pt>
                <c:pt idx="2">
                  <c:v>17991.009999999998</c:v>
                </c:pt>
                <c:pt idx="3">
                  <c:v>38385.03</c:v>
                </c:pt>
                <c:pt idx="4">
                  <c:v>30250.91</c:v>
                </c:pt>
                <c:pt idx="5">
                  <c:v>13639.55</c:v>
                </c:pt>
                <c:pt idx="6">
                  <c:v>111503.65999999997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C9F-B67E-27CE8BEA77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291759"/>
        <c:axId val="1898292175"/>
      </c:barChart>
      <c:catAx>
        <c:axId val="18982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2175"/>
        <c:crosses val="autoZero"/>
        <c:auto val="1"/>
        <c:lblAlgn val="ctr"/>
        <c:lblOffset val="100"/>
        <c:noMultiLvlLbl val="0"/>
      </c:catAx>
      <c:valAx>
        <c:axId val="18982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114299</xdr:rowOff>
    </xdr:from>
    <xdr:to>
      <xdr:col>6</xdr:col>
      <xdr:colOff>195263</xdr:colOff>
      <xdr:row>21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50.677500347221" createdVersion="6" refreshedVersion="6" minRefreshableVersion="3" recordCount="293">
  <cacheSource type="worksheet">
    <worksheetSource ref="A1:K294" sheet="Clean_Data "/>
  </cacheSource>
  <cacheFields count="11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 count="9">
        <s v="Business Owner"/>
        <s v="Healthcare"/>
        <s v="Engineer"/>
        <s v="Civil Servant"/>
        <s v="student"/>
        <s v="Teacher"/>
        <s v="Self-Employed"/>
        <s v="Missing "/>
        <s v="CS"/>
      </sharedItems>
    </cacheField>
    <cacheField name="Monthly_Income" numFmtId="165">
      <sharedItems containsSemiMixedTypes="0" containsString="0" containsNumber="1" minValue="108.23" maxValue="10013" count="273">
        <n v="1455.22"/>
        <n v="1250.21"/>
        <n v="602"/>
        <n v="789.1"/>
        <n v="1964.48"/>
        <n v="1547.72"/>
        <n v="881.22"/>
        <n v="278.61"/>
        <n v="923.87"/>
        <n v="127.29"/>
        <n v="312.77"/>
        <n v="1015.92"/>
        <n v="1024.44"/>
        <n v="926.65"/>
        <n v="2040.09"/>
        <n v="836.87"/>
        <n v="579.54999999999995"/>
        <n v="954.9"/>
        <n v="526.37"/>
        <n v="1086.56"/>
        <n v="210.96"/>
        <n v="1214.6199999999999"/>
        <n v="1215.9100000000001"/>
        <n v="494.83"/>
        <n v="646.07000000000005"/>
        <n v="409.49"/>
        <n v="835.61"/>
        <n v="675.77"/>
        <n v="1800.86"/>
        <n v="1516.2"/>
        <n v="952.9"/>
        <n v="1144.9100000000001"/>
        <n v="963.66"/>
        <n v="1023.35"/>
        <n v="457.6"/>
        <n v="1300.93"/>
        <n v="707.01"/>
        <n v="265.87"/>
        <n v="523.37"/>
        <n v="1984.53"/>
        <n v="389.22"/>
        <n v="10013"/>
        <n v="1235.8900000000001"/>
        <n v="863.68"/>
        <n v="1091.0999999999999"/>
        <n v="396.11"/>
        <n v="1852.82"/>
        <n v="746.26"/>
        <n v="661.71"/>
        <n v="641.59"/>
        <n v="10006"/>
        <n v="799.53"/>
        <n v="1470.86"/>
        <n v="120.06"/>
        <n v="680.77"/>
        <n v="758.44"/>
        <n v="129.81"/>
        <n v="930.93"/>
        <n v="1318.45"/>
        <n v="920.19"/>
        <n v="998.38"/>
        <n v="622.54999999999995"/>
        <n v="781.63"/>
        <n v="1081.02"/>
        <n v="752.98"/>
        <n v="1436.28"/>
        <n v="1041.8399999999999"/>
        <n v="176.95"/>
        <n v="895.53"/>
        <n v="519"/>
        <n v="267.12"/>
        <n v="890.48"/>
        <n v="836.33"/>
        <n v="790.75"/>
        <n v="868.55"/>
        <n v="1075.0899999999999"/>
        <n v="706.35"/>
        <n v="453.74"/>
        <n v="1316.09"/>
        <n v="921.62"/>
        <n v="870.42"/>
        <n v="453.51"/>
        <n v="1155.3399999999999"/>
        <n v="256.8"/>
        <n v="838.84"/>
        <n v="919.61"/>
        <n v="885.26"/>
        <n v="464.6"/>
        <n v="648.57000000000005"/>
        <n v="756.75"/>
        <n v="660.22"/>
        <n v="275.93"/>
        <n v="1032.69"/>
        <n v="648.44000000000005"/>
        <n v="108.23"/>
        <n v="1137.1600000000001"/>
        <n v="152.91999999999999"/>
        <n v="1421.07"/>
        <n v="444.76"/>
        <n v="691.63"/>
        <n v="785.37"/>
        <n v="856.56"/>
        <n v="167.65"/>
        <n v="1064.4100000000001"/>
        <n v="839.71"/>
        <n v="481.21"/>
        <n v="818.19"/>
        <n v="944.96"/>
        <n v="1672.71"/>
        <n v="665.8"/>
        <n v="183.1"/>
        <n v="961.13"/>
        <n v="1429.26"/>
        <n v="1300.01"/>
        <n v="1610.81"/>
        <n v="508.66"/>
        <n v="712.55"/>
        <n v="1126.8900000000001"/>
        <n v="895.93"/>
        <n v="1386"/>
        <n v="1481.76"/>
        <n v="828.77"/>
        <n v="721.11"/>
        <n v="911.36"/>
        <n v="1614.28"/>
        <n v="1156.93"/>
        <n v="1425.97"/>
        <n v="677.55"/>
        <n v="916.62"/>
        <n v="1013.28"/>
        <n v="656.1"/>
        <n v="667.7"/>
        <n v="969.34"/>
        <n v="843.99"/>
        <n v="1332.38"/>
        <n v="1108.6199999999999"/>
        <n v="897.29"/>
        <n v="265.52"/>
        <n v="316.74"/>
        <n v="438.08"/>
        <n v="1155.95"/>
        <n v="796.52"/>
        <n v="1200.17"/>
        <n v="1996.92"/>
        <n v="896.23"/>
        <n v="295.45"/>
        <n v="862.99"/>
        <n v="947.64"/>
        <n v="265.83999999999997"/>
        <n v="728.45"/>
        <n v="463.46"/>
        <n v="1234.8800000000001"/>
        <n v="790.7"/>
        <n v="415.78"/>
        <n v="872.34"/>
        <n v="395.84"/>
        <n v="247.93"/>
        <n v="1045.8599999999999"/>
        <n v="1396.84"/>
        <n v="1086.6400000000001"/>
        <n v="797.52"/>
        <n v="374.63"/>
        <n v="1651.76"/>
        <n v="853.86"/>
        <n v="1210.32"/>
        <n v="624.91999999999996"/>
        <n v="1229.76"/>
        <n v="481.99"/>
        <n v="638.53"/>
        <n v="1509.47"/>
        <n v="775.19"/>
        <n v="599.34"/>
        <n v="175.19"/>
        <n v="748.35"/>
        <n v="924.95"/>
        <n v="853.76"/>
        <n v="790.38"/>
        <n v="455.83"/>
        <n v="810.64"/>
        <n v="128.41999999999999"/>
        <n v="1956.52"/>
        <n v="845.86"/>
        <n v="306.45999999999998"/>
        <n v="785.95"/>
        <n v="922.87"/>
        <n v="728.06"/>
        <n v="527.12"/>
        <n v="508.34"/>
        <n v="1067.9000000000001"/>
        <n v="528.86"/>
        <n v="930.02"/>
        <n v="253.15"/>
        <n v="855.02"/>
        <n v="1281"/>
        <n v="1164.05"/>
        <n v="1170.92"/>
        <n v="1021.22"/>
        <n v="1315.27"/>
        <n v="644.80999999999995"/>
        <n v="854.23"/>
        <n v="1371.98"/>
        <n v="558.07000000000005"/>
        <n v="1069.08"/>
        <n v="778.23"/>
        <n v="216.93"/>
        <n v="794.1"/>
        <n v="1377.65"/>
        <n v="1321.69"/>
        <n v="200.87"/>
        <n v="727.81"/>
        <n v="644.95000000000005"/>
        <n v="1127.6500000000001"/>
        <n v="727.06"/>
        <n v="1411.64"/>
        <n v="891.18"/>
        <n v="1155.56"/>
        <n v="116.1"/>
        <n v="749.33"/>
        <n v="732.86"/>
        <n v="1263.1099999999999"/>
        <n v="721.99"/>
        <n v="169.21"/>
        <n v="934.22"/>
        <n v="857.27"/>
        <n v="917.25"/>
        <n v="746.07"/>
        <n v="294.94"/>
        <n v="1137.32"/>
        <n v="2015.04"/>
        <n v="255.08"/>
        <n v="1315.07"/>
        <n v="1143.8399999999999"/>
        <n v="1244.97"/>
        <n v="149.24"/>
        <n v="216.82"/>
        <n v="1390.38"/>
        <n v="661.3"/>
        <n v="1046.17"/>
        <n v="742.69"/>
        <n v="595.70000000000005"/>
        <n v="201.16"/>
        <n v="638.6"/>
        <n v="2091.58"/>
        <n v="2156"/>
        <n v="719.42"/>
        <n v="239.25"/>
        <n v="1071.8599999999999"/>
        <n v="176.82"/>
        <n v="671.87"/>
        <n v="586.78"/>
        <n v="901.36"/>
        <n v="1315.74"/>
        <n v="632.38"/>
        <n v="1087.08"/>
        <n v="608.08000000000004"/>
        <n v="647.6"/>
        <n v="1961.76"/>
        <n v="964.35"/>
        <n v="753.73"/>
        <n v="827.25"/>
        <n v="442.74"/>
        <n v="978.74"/>
        <n v="645.54999999999995"/>
        <n v="759.9"/>
        <n v="1828.2"/>
        <n v="776.84"/>
        <n v="1603.75"/>
        <n v="618.42999999999995"/>
        <n v="325.43"/>
        <n v="502.04"/>
        <n v="268.75"/>
        <n v="1249.32"/>
        <n v="632.26"/>
      </sharedItems>
    </cacheField>
    <cacheField name="Gender_Clean" numFmtId="0">
      <sharedItems/>
    </cacheField>
    <cacheField name="City_Clean" numFmtId="0">
      <sharedItems/>
    </cacheField>
    <cacheField name="Occupation_Clean" numFmtId="0">
      <sharedItems/>
    </cacheField>
    <cacheField name="Income_Lev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x v="0"/>
    <x v="0"/>
    <s v="Female"/>
    <s v="Missing"/>
    <s v="Business Owner"/>
    <s v="Medium"/>
  </r>
  <r>
    <s v="CUS00196"/>
    <d v="2025-01-05T00:00:00"/>
    <x v="1"/>
    <n v="33"/>
    <x v="1"/>
    <x v="1"/>
    <x v="1"/>
    <s v="Male"/>
    <s v="Mogadishu"/>
    <s v="Healthcare"/>
    <s v="Medium"/>
  </r>
  <r>
    <s v="CUS00115"/>
    <d v="2025-01-07T00:00:00"/>
    <x v="1"/>
    <n v="30"/>
    <x v="2"/>
    <x v="2"/>
    <x v="2"/>
    <s v="Male"/>
    <s v="Baidoa"/>
    <s v="Engineer"/>
    <s v="Low"/>
  </r>
  <r>
    <s v="CUS00006"/>
    <d v="2025-01-08T00:00:00"/>
    <x v="0"/>
    <n v="40"/>
    <x v="3"/>
    <x v="3"/>
    <x v="3"/>
    <s v="Female"/>
    <s v="Bosaso"/>
    <s v="Civil Servant"/>
    <s v="Low"/>
  </r>
  <r>
    <s v="CUS00103"/>
    <d v="2025-01-08T00:00:00"/>
    <x v="1"/>
    <n v="66"/>
    <x v="4"/>
    <x v="0"/>
    <x v="4"/>
    <s v="Male"/>
    <s v="Hargeisa"/>
    <s v="Business Owner"/>
    <s v="High"/>
  </r>
  <r>
    <s v="CUS00157"/>
    <d v="2025-01-10T00:00:00"/>
    <x v="0"/>
    <n v="51"/>
    <x v="1"/>
    <x v="0"/>
    <x v="5"/>
    <s v="Female"/>
    <s v="Mogadishu"/>
    <s v="Business Owner"/>
    <s v="High"/>
  </r>
  <r>
    <s v="CUS00076"/>
    <d v="2025-01-10T00:00:00"/>
    <x v="1"/>
    <n v="62"/>
    <x v="1"/>
    <x v="2"/>
    <x v="6"/>
    <s v="Male"/>
    <s v="Mogadishu"/>
    <s v="Engineer"/>
    <s v="Medium"/>
  </r>
  <r>
    <s v="CUS00067"/>
    <d v="2025-01-13T00:00:00"/>
    <x v="1"/>
    <n v="19"/>
    <x v="5"/>
    <x v="4"/>
    <x v="7"/>
    <s v="Male"/>
    <s v="Kismayo"/>
    <s v="Student"/>
    <s v="Low"/>
  </r>
  <r>
    <s v="CUS00287"/>
    <d v="2025-01-14T00:00:00"/>
    <x v="0"/>
    <n v="19"/>
    <x v="1"/>
    <x v="4"/>
    <x v="8"/>
    <s v="Female"/>
    <s v="Mogadishu"/>
    <s v="Student"/>
    <s v="Medium"/>
  </r>
  <r>
    <s v="CUS00257"/>
    <d v="2025-01-16T00:00:00"/>
    <x v="1"/>
    <n v="43"/>
    <x v="4"/>
    <x v="4"/>
    <x v="9"/>
    <s v="Male"/>
    <s v="Hargeisa"/>
    <s v="Student"/>
    <s v="Low"/>
  </r>
  <r>
    <s v="CUS00279"/>
    <d v="2025-01-17T00:00:00"/>
    <x v="2"/>
    <n v="18"/>
    <x v="6"/>
    <x v="4"/>
    <x v="10"/>
    <s v="Missing"/>
    <s v="Garowe"/>
    <s v="Student"/>
    <s v="Low"/>
  </r>
  <r>
    <s v="CUS00270"/>
    <d v="2025-01-19T00:00:00"/>
    <x v="1"/>
    <n v="44"/>
    <x v="1"/>
    <x v="0"/>
    <x v="11"/>
    <s v="Male"/>
    <s v="Mogadishu"/>
    <s v="Business Owner"/>
    <s v="Medium"/>
  </r>
  <r>
    <s v="CUS00005"/>
    <d v="2025-01-20T00:00:00"/>
    <x v="1"/>
    <n v="49"/>
    <x v="1"/>
    <x v="1"/>
    <x v="12"/>
    <s v="Male"/>
    <s v="Mogadishu"/>
    <s v="Healthcare"/>
    <s v="Medium"/>
  </r>
  <r>
    <s v="CUS00186"/>
    <d v="2025-01-21T00:00:00"/>
    <x v="1"/>
    <n v="53"/>
    <x v="4"/>
    <x v="2"/>
    <x v="13"/>
    <s v="Male"/>
    <s v="Hargeisa"/>
    <s v="Engineer"/>
    <s v="Medium"/>
  </r>
  <r>
    <s v="CUS00252"/>
    <d v="2025-01-22T00:00:00"/>
    <x v="0"/>
    <n v="70"/>
    <x v="1"/>
    <x v="0"/>
    <x v="14"/>
    <s v="Female"/>
    <s v="Mogadishu"/>
    <s v="Business Owner"/>
    <s v="High"/>
  </r>
  <r>
    <s v="CUS00030"/>
    <d v="2025-01-23T00:00:00"/>
    <x v="0"/>
    <n v="28"/>
    <x v="2"/>
    <x v="1"/>
    <x v="15"/>
    <s v="Female"/>
    <s v="Baidoa"/>
    <s v="Healthcare"/>
    <s v="Medium"/>
  </r>
  <r>
    <s v="CUS00235"/>
    <d v="2025-01-24T00:00:00"/>
    <x v="0"/>
    <n v="19"/>
    <x v="6"/>
    <x v="5"/>
    <x v="16"/>
    <s v="Female"/>
    <s v="Garowe"/>
    <s v="Teacher"/>
    <s v="Low"/>
  </r>
  <r>
    <s v="CUS00052"/>
    <d v="2025-01-25T00:00:00"/>
    <x v="0"/>
    <n v="63"/>
    <x v="1"/>
    <x v="1"/>
    <x v="17"/>
    <s v="Female"/>
    <s v="Mogadishu"/>
    <s v="Healthcare"/>
    <s v="Medium"/>
  </r>
  <r>
    <s v="CUS00058"/>
    <d v="2025-02-03T00:00:00"/>
    <x v="1"/>
    <n v="20"/>
    <x v="0"/>
    <x v="5"/>
    <x v="18"/>
    <s v="Male"/>
    <s v="Missing"/>
    <s v="Teacher"/>
    <s v="Low"/>
  </r>
  <r>
    <s v="CUS00181"/>
    <d v="2025-02-03T00:00:00"/>
    <x v="1"/>
    <n v="26"/>
    <x v="1"/>
    <x v="2"/>
    <x v="19"/>
    <s v="Male"/>
    <s v="Mogadishu"/>
    <s v="Engineer"/>
    <s v="Medium"/>
  </r>
  <r>
    <s v="CUS00206"/>
    <d v="2025-02-06T00:00:00"/>
    <x v="0"/>
    <n v="20"/>
    <x v="1"/>
    <x v="3"/>
    <x v="8"/>
    <s v="Female"/>
    <s v="Mogadishu"/>
    <s v="Civil Servant"/>
    <s v="Medium"/>
  </r>
  <r>
    <s v="CUS00230"/>
    <d v="2025-02-08T00:00:00"/>
    <x v="0"/>
    <n v="62"/>
    <x v="4"/>
    <x v="4"/>
    <x v="20"/>
    <s v="Female"/>
    <s v="Hargeisa"/>
    <s v="Student"/>
    <s v="Low"/>
  </r>
  <r>
    <s v="CUS00025"/>
    <d v="2025-02-15T00:00:00"/>
    <x v="1"/>
    <n v="52"/>
    <x v="4"/>
    <x v="6"/>
    <x v="21"/>
    <s v="Male"/>
    <s v="Hargeisa"/>
    <s v="Self-Employed"/>
    <s v="Medium"/>
  </r>
  <r>
    <s v="CUS00211"/>
    <d v="2025-02-15T00:00:00"/>
    <x v="1"/>
    <n v="66"/>
    <x v="4"/>
    <x v="1"/>
    <x v="22"/>
    <s v="Male"/>
    <s v="Hargeisa"/>
    <s v="Healthcare"/>
    <s v="Medium"/>
  </r>
  <r>
    <s v="CUS00207"/>
    <d v="2025-02-17T00:00:00"/>
    <x v="1"/>
    <n v="52"/>
    <x v="6"/>
    <x v="7"/>
    <x v="23"/>
    <s v="Male"/>
    <s v="Garowe"/>
    <s v="Missing"/>
    <s v="Low"/>
  </r>
  <r>
    <s v="CUS00203"/>
    <d v="2025-02-18T00:00:00"/>
    <x v="0"/>
    <n v="35"/>
    <x v="2"/>
    <x v="3"/>
    <x v="24"/>
    <s v="Female"/>
    <s v="Baidoa"/>
    <s v="Civil Servant"/>
    <s v="Low"/>
  </r>
  <r>
    <s v="CUS00202"/>
    <d v="2025-02-21T00:00:00"/>
    <x v="1"/>
    <n v="44"/>
    <x v="3"/>
    <x v="5"/>
    <x v="25"/>
    <s v="Male"/>
    <s v="Bosaso"/>
    <s v="Teacher"/>
    <s v="Low"/>
  </r>
  <r>
    <s v="CUS00223"/>
    <d v="2025-02-27T00:00:00"/>
    <x v="0"/>
    <n v="34"/>
    <x v="5"/>
    <x v="6"/>
    <x v="26"/>
    <s v="Female"/>
    <s v="Kismayo"/>
    <s v="Self-Employed"/>
    <s v="Medium"/>
  </r>
  <r>
    <s v="CUS00231"/>
    <d v="2025-02-27T00:00:00"/>
    <x v="1"/>
    <n v="54"/>
    <x v="1"/>
    <x v="0"/>
    <x v="8"/>
    <s v="Male"/>
    <s v="Mogadishu"/>
    <s v="Business Owner"/>
    <s v="Medium"/>
  </r>
  <r>
    <s v="CUS00292"/>
    <d v="2025-03-03T00:00:00"/>
    <x v="1"/>
    <n v="46"/>
    <x v="0"/>
    <x v="5"/>
    <x v="27"/>
    <s v="Male"/>
    <s v="Missing"/>
    <s v="Teacher"/>
    <s v="Low"/>
  </r>
  <r>
    <s v="CUS00156"/>
    <d v="2025-03-04T00:00:00"/>
    <x v="0"/>
    <n v="37"/>
    <x v="1"/>
    <x v="0"/>
    <x v="28"/>
    <s v="Female"/>
    <s v="Mogadishu"/>
    <s v="Business Owner"/>
    <s v="High"/>
  </r>
  <r>
    <s v="CUS00072"/>
    <d v="2025-03-05T00:00:00"/>
    <x v="2"/>
    <n v="29"/>
    <x v="1"/>
    <x v="2"/>
    <x v="29"/>
    <s v="Missing"/>
    <s v="Mogadishu"/>
    <s v="Engineer"/>
    <s v="High"/>
  </r>
  <r>
    <s v="CUS00173"/>
    <d v="2025-03-07T00:00:00"/>
    <x v="2"/>
    <n v="59"/>
    <x v="4"/>
    <x v="6"/>
    <x v="30"/>
    <s v="Missing"/>
    <s v="Hargeisa"/>
    <s v="Self-Employed"/>
    <s v="Medium"/>
  </r>
  <r>
    <m/>
    <d v="2025-03-12T00:00:00"/>
    <x v="1"/>
    <n v="21"/>
    <x v="5"/>
    <x v="1"/>
    <x v="31"/>
    <s v="Male"/>
    <s v="Kismayo"/>
    <s v="Healthcare"/>
    <s v="Medium"/>
  </r>
  <r>
    <s v="CUS00218"/>
    <d v="2025-03-13T00:00:00"/>
    <x v="0"/>
    <n v="44"/>
    <x v="2"/>
    <x v="2"/>
    <x v="32"/>
    <s v="Female"/>
    <s v="Baidoa"/>
    <s v="Engineer"/>
    <s v="Medium"/>
  </r>
  <r>
    <s v="CUS00137"/>
    <d v="2025-03-15T00:00:00"/>
    <x v="1"/>
    <n v="42"/>
    <x v="1"/>
    <x v="1"/>
    <x v="33"/>
    <s v="Male"/>
    <s v="Mogadishu"/>
    <s v="Healthcare"/>
    <s v="Medium"/>
  </r>
  <r>
    <s v="CUS00208"/>
    <d v="2025-03-15T00:00:00"/>
    <x v="0"/>
    <n v="66"/>
    <x v="4"/>
    <x v="6"/>
    <x v="34"/>
    <s v="Female"/>
    <s v="Hargeisa"/>
    <s v="Self-Employed"/>
    <s v="Low"/>
  </r>
  <r>
    <s v="CUS00259"/>
    <d v="2025-03-16T00:00:00"/>
    <x v="1"/>
    <n v="21"/>
    <x v="1"/>
    <x v="7"/>
    <x v="35"/>
    <s v="Male"/>
    <s v="Mogadishu"/>
    <s v="Missing"/>
    <s v="Medium"/>
  </r>
  <r>
    <s v="CUS00136"/>
    <d v="2025-03-18T00:00:00"/>
    <x v="1"/>
    <n v="32"/>
    <x v="2"/>
    <x v="3"/>
    <x v="36"/>
    <s v="Male"/>
    <s v="Baidoa"/>
    <s v="Civil Servant"/>
    <s v="Low"/>
  </r>
  <r>
    <s v="CUS00081"/>
    <d v="2025-03-19T00:00:00"/>
    <x v="0"/>
    <n v="61"/>
    <x v="0"/>
    <x v="4"/>
    <x v="37"/>
    <s v="Female"/>
    <s v="Missing"/>
    <s v="Student"/>
    <s v="Low"/>
  </r>
  <r>
    <s v="CUS00111"/>
    <d v="2025-03-25T00:00:00"/>
    <x v="0"/>
    <n v="48"/>
    <x v="2"/>
    <x v="3"/>
    <x v="38"/>
    <s v="Female"/>
    <s v="Baidoa"/>
    <s v="Civil Servant"/>
    <s v="Low"/>
  </r>
  <r>
    <s v="CUS00138"/>
    <d v="2025-03-26T00:00:00"/>
    <x v="0"/>
    <n v="22"/>
    <x v="4"/>
    <x v="0"/>
    <x v="39"/>
    <s v="Female"/>
    <s v="Hargeisa"/>
    <s v="Business Owner"/>
    <s v="High"/>
  </r>
  <r>
    <s v="CUS00276"/>
    <d v="2025-03-28T00:00:00"/>
    <x v="1"/>
    <n v="20"/>
    <x v="4"/>
    <x v="3"/>
    <x v="40"/>
    <s v="Male"/>
    <s v="Hargeisa"/>
    <s v="Civil Servant"/>
    <s v="Low"/>
  </r>
  <r>
    <s v="CUS00277"/>
    <d v="2025-03-28T00:00:00"/>
    <x v="1"/>
    <n v="39"/>
    <x v="1"/>
    <x v="6"/>
    <x v="41"/>
    <s v="Male"/>
    <s v="Mogadishu"/>
    <s v="Self-Employed"/>
    <s v="High"/>
  </r>
  <r>
    <s v="CUS00080"/>
    <d v="2025-03-29T00:00:00"/>
    <x v="0"/>
    <n v="32"/>
    <x v="1"/>
    <x v="6"/>
    <x v="42"/>
    <s v="Female"/>
    <s v="Mogadishu"/>
    <s v="Self-Employed"/>
    <s v="Medium"/>
  </r>
  <r>
    <s v="CUS00124"/>
    <d v="2025-03-31T00:00:00"/>
    <x v="0"/>
    <n v="27"/>
    <x v="1"/>
    <x v="7"/>
    <x v="43"/>
    <s v="Female"/>
    <s v="Mogadishu"/>
    <s v="Missing"/>
    <s v="Medium"/>
  </r>
  <r>
    <s v="CUS00249"/>
    <d v="2025-04-02T00:00:00"/>
    <x v="1"/>
    <n v="42"/>
    <x v="1"/>
    <x v="0"/>
    <x v="44"/>
    <s v="Male"/>
    <s v="Mogadishu"/>
    <s v="Business Owner"/>
    <s v="Medium"/>
  </r>
  <r>
    <s v="CUS00097"/>
    <d v="2025-04-03T00:00:00"/>
    <x v="1"/>
    <n v="49"/>
    <x v="3"/>
    <x v="4"/>
    <x v="8"/>
    <s v="Male"/>
    <s v="Bosaso"/>
    <s v="Student"/>
    <s v="Medium"/>
  </r>
  <r>
    <s v="CUS00247"/>
    <d v="2025-04-05T00:00:00"/>
    <x v="0"/>
    <n v="39"/>
    <x v="6"/>
    <x v="3"/>
    <x v="45"/>
    <s v="Female"/>
    <s v="Garowe"/>
    <s v="Civil Servant"/>
    <s v="Low"/>
  </r>
  <r>
    <s v="CUS00169"/>
    <d v="2025-04-05T00:00:00"/>
    <x v="1"/>
    <n v="44"/>
    <x v="5"/>
    <x v="0"/>
    <x v="46"/>
    <s v="Male"/>
    <s v="Kismayo"/>
    <s v="Business Owner"/>
    <s v="High"/>
  </r>
  <r>
    <s v="CUS00271"/>
    <d v="2025-04-06T00:00:00"/>
    <x v="0"/>
    <n v="48"/>
    <x v="6"/>
    <x v="3"/>
    <x v="47"/>
    <s v="Female"/>
    <s v="Garowe"/>
    <s v="Civil Servant"/>
    <s v="Low"/>
  </r>
  <r>
    <s v="CUS00049"/>
    <d v="2025-04-10T00:00:00"/>
    <x v="0"/>
    <n v="33"/>
    <x v="6"/>
    <x v="3"/>
    <x v="48"/>
    <s v="Female"/>
    <s v="Garowe"/>
    <s v="Civil Servant"/>
    <s v="Low"/>
  </r>
  <r>
    <s v="CUS00234"/>
    <d v="2025-04-11T00:00:00"/>
    <x v="2"/>
    <n v="40"/>
    <x v="5"/>
    <x v="3"/>
    <x v="49"/>
    <s v="Missing"/>
    <s v="Kismayo"/>
    <s v="Civil Servant"/>
    <s v="Low"/>
  </r>
  <r>
    <s v="CUS00132"/>
    <d v="2025-04-16T00:00:00"/>
    <x v="2"/>
    <n v="41"/>
    <x v="3"/>
    <x v="1"/>
    <x v="50"/>
    <s v="Missing"/>
    <s v="Bosaso"/>
    <s v="Healthcare"/>
    <s v="High"/>
  </r>
  <r>
    <s v="CUS00119"/>
    <d v="2025-04-16T00:00:00"/>
    <x v="0"/>
    <n v="65"/>
    <x v="1"/>
    <x v="5"/>
    <x v="51"/>
    <s v="Female"/>
    <s v="Mogadishu"/>
    <s v="Teacher"/>
    <s v="Low"/>
  </r>
  <r>
    <s v="CUS00027"/>
    <d v="2025-04-18T00:00:00"/>
    <x v="1"/>
    <n v="44"/>
    <x v="3"/>
    <x v="6"/>
    <x v="8"/>
    <s v="Male"/>
    <s v="Bosaso"/>
    <s v="Self-Employed"/>
    <s v="Medium"/>
  </r>
  <r>
    <s v="CUS00258"/>
    <d v="2025-04-20T00:00:00"/>
    <x v="1"/>
    <n v="37"/>
    <x v="6"/>
    <x v="0"/>
    <x v="52"/>
    <s v="Male"/>
    <s v="Garowe"/>
    <s v="Business Owner"/>
    <s v="Medium"/>
  </r>
  <r>
    <s v="CUS00079"/>
    <d v="2025-04-21T00:00:00"/>
    <x v="1"/>
    <n v="39"/>
    <x v="5"/>
    <x v="4"/>
    <x v="53"/>
    <s v="Male"/>
    <s v="Kismayo"/>
    <s v="Student"/>
    <s v="Low"/>
  </r>
  <r>
    <s v="CUS00121"/>
    <d v="2025-04-24T00:00:00"/>
    <x v="1"/>
    <n v="38"/>
    <x v="1"/>
    <x v="5"/>
    <x v="54"/>
    <s v="Male"/>
    <s v="Mogadishu"/>
    <s v="Teacher"/>
    <s v="Low"/>
  </r>
  <r>
    <s v="CUS00288"/>
    <d v="2025-04-24T00:00:00"/>
    <x v="0"/>
    <n v="44"/>
    <x v="6"/>
    <x v="5"/>
    <x v="55"/>
    <s v="Female"/>
    <s v="Garowe"/>
    <s v="Teacher"/>
    <s v="Low"/>
  </r>
  <r>
    <s v="CUS00002"/>
    <d v="2025-04-24T00:00:00"/>
    <x v="1"/>
    <n v="47"/>
    <x v="5"/>
    <x v="4"/>
    <x v="56"/>
    <s v="Male"/>
    <s v="Kismayo"/>
    <s v="Student"/>
    <s v="Low"/>
  </r>
  <r>
    <s v="CUS00226"/>
    <d v="2025-04-25T00:00:00"/>
    <x v="1"/>
    <n v="25"/>
    <x v="1"/>
    <x v="0"/>
    <x v="57"/>
    <s v="Male"/>
    <s v="Mogadishu"/>
    <s v="Business Owner"/>
    <s v="Medium"/>
  </r>
  <r>
    <s v="CUS00217"/>
    <d v="2025-04-25T00:00:00"/>
    <x v="1"/>
    <n v="56"/>
    <x v="1"/>
    <x v="6"/>
    <x v="58"/>
    <s v="Male"/>
    <s v="Mogadishu"/>
    <s v="Self-Employed"/>
    <s v="Medium"/>
  </r>
  <r>
    <m/>
    <d v="2025-04-26T00:00:00"/>
    <x v="1"/>
    <n v="38"/>
    <x v="1"/>
    <x v="5"/>
    <x v="59"/>
    <s v="Male"/>
    <s v="Mogadishu"/>
    <s v="Teacher"/>
    <s v="Medium"/>
  </r>
  <r>
    <s v="CUS00146"/>
    <d v="2025-04-26T00:00:00"/>
    <x v="0"/>
    <n v="61"/>
    <x v="1"/>
    <x v="2"/>
    <x v="60"/>
    <s v="Female"/>
    <s v="Mogadishu"/>
    <s v="Engineer"/>
    <s v="Medium"/>
  </r>
  <r>
    <s v="CUS00133"/>
    <d v="2025-04-28T00:00:00"/>
    <x v="0"/>
    <n v="58"/>
    <x v="5"/>
    <x v="2"/>
    <x v="61"/>
    <s v="Female"/>
    <s v="Kismayo"/>
    <s v="Engineer"/>
    <s v="Low"/>
  </r>
  <r>
    <s v="CUS00109"/>
    <d v="2025-04-29T00:00:00"/>
    <x v="0"/>
    <n v="43"/>
    <x v="5"/>
    <x v="2"/>
    <x v="62"/>
    <s v="Female"/>
    <s v="Kismayo"/>
    <s v="Engineer"/>
    <s v="Low"/>
  </r>
  <r>
    <s v="CUS00246"/>
    <d v="2025-04-30T00:00:00"/>
    <x v="0"/>
    <n v="41"/>
    <x v="0"/>
    <x v="1"/>
    <x v="63"/>
    <s v="Female"/>
    <s v="Missing"/>
    <s v="Healthcare"/>
    <s v="Medium"/>
  </r>
  <r>
    <s v="CUS00261"/>
    <d v="2025-05-01T00:00:00"/>
    <x v="0"/>
    <n v="38"/>
    <x v="0"/>
    <x v="5"/>
    <x v="64"/>
    <s v="Female"/>
    <s v="Missing"/>
    <s v="Teacher"/>
    <s v="Low"/>
  </r>
  <r>
    <s v="CUS00149"/>
    <d v="2025-05-01T00:00:00"/>
    <x v="1"/>
    <n v="55"/>
    <x v="0"/>
    <x v="2"/>
    <x v="65"/>
    <s v="Male"/>
    <s v="Missing"/>
    <s v="Engineer"/>
    <s v="Medium"/>
  </r>
  <r>
    <s v="CUS00227"/>
    <d v="2025-05-03T00:00:00"/>
    <x v="0"/>
    <n v="37"/>
    <x v="1"/>
    <x v="3"/>
    <x v="66"/>
    <s v="Female"/>
    <s v="Mogadishu"/>
    <s v="Civil Servant"/>
    <s v="Medium"/>
  </r>
  <r>
    <s v="CUS00262"/>
    <d v="2025-05-03T00:00:00"/>
    <x v="1"/>
    <n v="67"/>
    <x v="1"/>
    <x v="3"/>
    <x v="8"/>
    <s v="Male"/>
    <s v="Mogadishu"/>
    <s v="Civil Servant"/>
    <s v="Medium"/>
  </r>
  <r>
    <s v="CUS00245"/>
    <d v="2025-05-04T00:00:00"/>
    <x v="1"/>
    <n v="32"/>
    <x v="1"/>
    <x v="7"/>
    <x v="67"/>
    <s v="Male"/>
    <s v="Mogadishu"/>
    <s v="Missing"/>
    <s v="Low"/>
  </r>
  <r>
    <s v="CUS00091"/>
    <d v="2025-05-14T00:00:00"/>
    <x v="1"/>
    <n v="20"/>
    <x v="1"/>
    <x v="6"/>
    <x v="68"/>
    <s v="Male"/>
    <s v="Mogadishu"/>
    <s v="Self-Employed"/>
    <s v="Medium"/>
  </r>
  <r>
    <s v="CUS00017"/>
    <d v="2025-05-15T00:00:00"/>
    <x v="1"/>
    <n v="33"/>
    <x v="1"/>
    <x v="7"/>
    <x v="69"/>
    <s v="Male"/>
    <s v="Mogadishu"/>
    <s v="Missing"/>
    <s v="Low"/>
  </r>
  <r>
    <s v="CUS00187"/>
    <d v="2025-05-18T00:00:00"/>
    <x v="1"/>
    <n v="26"/>
    <x v="5"/>
    <x v="4"/>
    <x v="70"/>
    <s v="Male"/>
    <s v="Kismayo"/>
    <s v="Student"/>
    <s v="Low"/>
  </r>
  <r>
    <s v="CUS00128"/>
    <d v="2025-05-24T00:00:00"/>
    <x v="1"/>
    <n v="21"/>
    <x v="2"/>
    <x v="2"/>
    <x v="71"/>
    <s v="Male"/>
    <s v="Baidoa"/>
    <s v="Engineer"/>
    <s v="Medium"/>
  </r>
  <r>
    <s v="CUS00134"/>
    <d v="2025-05-25T00:00:00"/>
    <x v="0"/>
    <n v="38"/>
    <x v="1"/>
    <x v="2"/>
    <x v="72"/>
    <s v="Female"/>
    <s v="Mogadishu"/>
    <s v="Engineer"/>
    <s v="Medium"/>
  </r>
  <r>
    <s v="CUS00012"/>
    <d v="2025-05-27T00:00:00"/>
    <x v="0"/>
    <n v="65"/>
    <x v="1"/>
    <x v="2"/>
    <x v="73"/>
    <s v="Female"/>
    <s v="Mogadishu"/>
    <s v="Engineer"/>
    <s v="Low"/>
  </r>
  <r>
    <s v="CUS00166"/>
    <d v="2025-05-28T00:00:00"/>
    <x v="1"/>
    <n v="41"/>
    <x v="1"/>
    <x v="5"/>
    <x v="74"/>
    <s v="Male"/>
    <s v="Mogadishu"/>
    <s v="Teacher"/>
    <s v="Medium"/>
  </r>
  <r>
    <s v="CUS00224"/>
    <d v="2025-05-30T00:00:00"/>
    <x v="0"/>
    <n v="48"/>
    <x v="1"/>
    <x v="0"/>
    <x v="75"/>
    <s v="Female"/>
    <s v="Mogadishu"/>
    <s v="Business Owner"/>
    <s v="Medium"/>
  </r>
  <r>
    <s v="CUS00241"/>
    <d v="2025-06-01T00:00:00"/>
    <x v="1"/>
    <n v="24"/>
    <x v="1"/>
    <x v="2"/>
    <x v="76"/>
    <s v="Male"/>
    <s v="Mogadishu"/>
    <s v="Engineer"/>
    <s v="Low"/>
  </r>
  <r>
    <s v="CUS00021"/>
    <d v="2025-06-04T00:00:00"/>
    <x v="0"/>
    <n v="19"/>
    <x v="1"/>
    <x v="3"/>
    <x v="8"/>
    <s v="Female"/>
    <s v="Mogadishu"/>
    <s v="Civil Servant"/>
    <s v="Medium"/>
  </r>
  <r>
    <s v="CUS00239"/>
    <d v="2025-06-08T00:00:00"/>
    <x v="2"/>
    <n v="38"/>
    <x v="2"/>
    <x v="5"/>
    <x v="77"/>
    <s v="Missing"/>
    <s v="Baidoa"/>
    <s v="Teacher"/>
    <s v="Low"/>
  </r>
  <r>
    <s v="CUS00222"/>
    <d v="2025-06-12T00:00:00"/>
    <x v="0"/>
    <n v="58"/>
    <x v="5"/>
    <x v="0"/>
    <x v="78"/>
    <s v="Female"/>
    <s v="Kismayo"/>
    <s v="Business Owner"/>
    <s v="Medium"/>
  </r>
  <r>
    <s v="CUS00197"/>
    <d v="2025-06-13T00:00:00"/>
    <x v="0"/>
    <n v="48"/>
    <x v="1"/>
    <x v="5"/>
    <x v="79"/>
    <s v="Female"/>
    <s v="Mogadishu"/>
    <s v="Teacher"/>
    <s v="Medium"/>
  </r>
  <r>
    <s v="CUS00083"/>
    <d v="2025-06-14T00:00:00"/>
    <x v="1"/>
    <n v="68"/>
    <x v="1"/>
    <x v="5"/>
    <x v="80"/>
    <s v="Male"/>
    <s v="Mogadishu"/>
    <s v="Teacher"/>
    <s v="Medium"/>
  </r>
  <r>
    <s v="CUS00273"/>
    <d v="2025-06-16T00:00:00"/>
    <x v="0"/>
    <n v="23"/>
    <x v="1"/>
    <x v="6"/>
    <x v="81"/>
    <s v="Female"/>
    <s v="Mogadishu"/>
    <s v="Self-Employed"/>
    <s v="Low"/>
  </r>
  <r>
    <s v="CUS00219"/>
    <d v="2025-06-19T00:00:00"/>
    <x v="0"/>
    <n v="42"/>
    <x v="4"/>
    <x v="1"/>
    <x v="82"/>
    <s v="Female"/>
    <s v="Hargeisa"/>
    <s v="Healthcare"/>
    <s v="Medium"/>
  </r>
  <r>
    <s v="CUS00048"/>
    <d v="2025-06-20T00:00:00"/>
    <x v="1"/>
    <n v="36"/>
    <x v="1"/>
    <x v="4"/>
    <x v="83"/>
    <s v="Male"/>
    <s v="Mogadishu"/>
    <s v="Student"/>
    <s v="Low"/>
  </r>
  <r>
    <s v="CUS00003"/>
    <d v="2025-06-22T00:00:00"/>
    <x v="0"/>
    <n v="67"/>
    <x v="1"/>
    <x v="2"/>
    <x v="8"/>
    <s v="Female"/>
    <s v="Mogadishu"/>
    <s v="Engineer"/>
    <s v="Medium"/>
  </r>
  <r>
    <s v="CUS00272"/>
    <d v="2025-06-24T00:00:00"/>
    <x v="0"/>
    <n v="39"/>
    <x v="5"/>
    <x v="7"/>
    <x v="84"/>
    <s v="Female"/>
    <s v="Kismayo"/>
    <s v="Missing"/>
    <s v="Medium"/>
  </r>
  <r>
    <s v="CUS00189"/>
    <d v="2025-06-25T00:00:00"/>
    <x v="1"/>
    <n v="28"/>
    <x v="6"/>
    <x v="5"/>
    <x v="85"/>
    <s v="Male"/>
    <s v="Garowe"/>
    <s v="Teacher"/>
    <s v="Medium"/>
  </r>
  <r>
    <s v="CUS00043"/>
    <d v="2025-06-25T00:00:00"/>
    <x v="2"/>
    <n v="43"/>
    <x v="1"/>
    <x v="3"/>
    <x v="86"/>
    <s v="Missing"/>
    <s v="Mogadishu"/>
    <s v="Civil Servant"/>
    <s v="Medium"/>
  </r>
  <r>
    <s v="CUS00019"/>
    <d v="2025-06-29T00:00:00"/>
    <x v="1"/>
    <n v="54"/>
    <x v="5"/>
    <x v="5"/>
    <x v="87"/>
    <s v="Male"/>
    <s v="Kismayo"/>
    <s v="Teacher"/>
    <s v="Low"/>
  </r>
  <r>
    <s v="CUS00042"/>
    <d v="2025-07-01T00:00:00"/>
    <x v="0"/>
    <n v="44"/>
    <x v="4"/>
    <x v="5"/>
    <x v="88"/>
    <s v="Female"/>
    <s v="Hargeisa"/>
    <s v="Teacher"/>
    <s v="Low"/>
  </r>
  <r>
    <s v="CUS00152"/>
    <d v="2025-07-02T00:00:00"/>
    <x v="0"/>
    <n v="44"/>
    <x v="4"/>
    <x v="6"/>
    <x v="89"/>
    <s v="Female"/>
    <s v="Hargeisa"/>
    <s v="Self-Employed"/>
    <s v="Low"/>
  </r>
  <r>
    <s v="CUS00214"/>
    <d v="2025-07-07T00:00:00"/>
    <x v="0"/>
    <n v="56"/>
    <x v="5"/>
    <x v="0"/>
    <x v="90"/>
    <s v="Female"/>
    <s v="Kismayo"/>
    <s v="Business Owner"/>
    <s v="Low"/>
  </r>
  <r>
    <s v="CUS00183"/>
    <d v="2025-07-08T00:00:00"/>
    <x v="0"/>
    <n v="18"/>
    <x v="2"/>
    <x v="4"/>
    <x v="91"/>
    <s v="Female"/>
    <s v="Baidoa"/>
    <s v="Student"/>
    <s v="Low"/>
  </r>
  <r>
    <s v="CUS00150"/>
    <d v="2025-07-08T00:00:00"/>
    <x v="1"/>
    <n v="62"/>
    <x v="4"/>
    <x v="6"/>
    <x v="92"/>
    <s v="Male"/>
    <s v="Hargeisa"/>
    <s v="Self-Employed"/>
    <s v="Medium"/>
  </r>
  <r>
    <s v="CUS00004"/>
    <d v="2025-07-09T00:00:00"/>
    <x v="0"/>
    <n v="42"/>
    <x v="1"/>
    <x v="5"/>
    <x v="93"/>
    <s v="Female"/>
    <s v="Mogadishu"/>
    <s v="Teacher"/>
    <s v="Low"/>
  </r>
  <r>
    <s v="CUS00286"/>
    <d v="2025-07-10T00:00:00"/>
    <x v="1"/>
    <n v="18"/>
    <x v="3"/>
    <x v="4"/>
    <x v="94"/>
    <s v="Male"/>
    <s v="Bosaso"/>
    <s v="Student"/>
    <s v="Low"/>
  </r>
  <r>
    <s v="CUS00135"/>
    <d v="2025-07-12T00:00:00"/>
    <x v="0"/>
    <n v="55"/>
    <x v="1"/>
    <x v="0"/>
    <x v="95"/>
    <s v="Female"/>
    <s v="Mogadishu"/>
    <s v="Business Owner"/>
    <s v="Medium"/>
  </r>
  <r>
    <s v="CUS00254"/>
    <d v="2025-07-19T00:00:00"/>
    <x v="1"/>
    <n v="28"/>
    <x v="2"/>
    <x v="4"/>
    <x v="96"/>
    <s v="Male"/>
    <s v="Baidoa"/>
    <s v="Student"/>
    <s v="Low"/>
  </r>
  <r>
    <s v="CUS00100"/>
    <d v="2025-07-20T00:00:00"/>
    <x v="0"/>
    <n v="64"/>
    <x v="1"/>
    <x v="2"/>
    <x v="97"/>
    <s v="Female"/>
    <s v="Mogadishu"/>
    <s v="Engineer"/>
    <s v="Medium"/>
  </r>
  <r>
    <s v="CUS00060"/>
    <d v="2025-07-23T00:00:00"/>
    <x v="0"/>
    <n v="47"/>
    <x v="1"/>
    <x v="6"/>
    <x v="98"/>
    <s v="Female"/>
    <s v="Mogadishu"/>
    <s v="Self-Employed"/>
    <s v="Low"/>
  </r>
  <r>
    <s v="CUS00078"/>
    <d v="2025-07-24T00:00:00"/>
    <x v="0"/>
    <n v="69"/>
    <x v="1"/>
    <x v="7"/>
    <x v="99"/>
    <s v="Female"/>
    <s v="Mogadishu"/>
    <s v="Missing"/>
    <s v="Low"/>
  </r>
  <r>
    <s v="CUS00154"/>
    <d v="2025-07-26T00:00:00"/>
    <x v="0"/>
    <n v="60"/>
    <x v="4"/>
    <x v="0"/>
    <x v="100"/>
    <s v="Female"/>
    <s v="Hargeisa"/>
    <s v="Business Owner"/>
    <s v="Low"/>
  </r>
  <r>
    <s v="CUS00175"/>
    <d v="2025-07-30T00:00:00"/>
    <x v="0"/>
    <n v="59"/>
    <x v="4"/>
    <x v="5"/>
    <x v="101"/>
    <s v="Female"/>
    <s v="Hargeisa"/>
    <s v="Teacher"/>
    <s v="Medium"/>
  </r>
  <r>
    <s v="CUS00140"/>
    <d v="2025-08-02T00:00:00"/>
    <x v="1"/>
    <n v="30"/>
    <x v="1"/>
    <x v="4"/>
    <x v="102"/>
    <s v="Male"/>
    <s v="Mogadishu"/>
    <s v="Student"/>
    <s v="Low"/>
  </r>
  <r>
    <s v="CUS00210"/>
    <d v="2025-08-04T00:00:00"/>
    <x v="1"/>
    <n v="52"/>
    <x v="5"/>
    <x v="1"/>
    <x v="103"/>
    <s v="Male"/>
    <s v="Kismayo"/>
    <s v="Healthcare"/>
    <s v="Medium"/>
  </r>
  <r>
    <s v="CUS00007"/>
    <d v="2025-08-05T00:00:00"/>
    <x v="1"/>
    <n v="45"/>
    <x v="1"/>
    <x v="3"/>
    <x v="104"/>
    <s v="Male"/>
    <s v="Mogadishu"/>
    <s v="Civil Servant"/>
    <s v="Medium"/>
  </r>
  <r>
    <s v="CUS00065"/>
    <d v="2025-08-05T00:00:00"/>
    <x v="1"/>
    <n v="52"/>
    <x v="2"/>
    <x v="7"/>
    <x v="105"/>
    <s v="Male"/>
    <s v="Baidoa"/>
    <s v="Missing"/>
    <s v="Low"/>
  </r>
  <r>
    <s v="CUS00106"/>
    <d v="2025-08-06T00:00:00"/>
    <x v="1"/>
    <n v="48"/>
    <x v="4"/>
    <x v="8"/>
    <x v="8"/>
    <s v="Male"/>
    <s v="Hargeisa"/>
    <s v="Civil Servant"/>
    <s v="Medium"/>
  </r>
  <r>
    <s v="CUS00228"/>
    <d v="2025-08-06T00:00:00"/>
    <x v="1"/>
    <n v="59"/>
    <x v="3"/>
    <x v="5"/>
    <x v="8"/>
    <s v="Male"/>
    <s v="Bosaso"/>
    <s v="Teacher"/>
    <s v="Medium"/>
  </r>
  <r>
    <s v="CUS00194"/>
    <d v="2025-08-07T00:00:00"/>
    <x v="1"/>
    <n v="50"/>
    <x v="5"/>
    <x v="5"/>
    <x v="106"/>
    <s v="Male"/>
    <s v="Kismayo"/>
    <s v="Teacher"/>
    <s v="Medium"/>
  </r>
  <r>
    <s v="CUS00131"/>
    <d v="2025-08-08T00:00:00"/>
    <x v="0"/>
    <n v="29"/>
    <x v="1"/>
    <x v="4"/>
    <x v="8"/>
    <s v="Female"/>
    <s v="Mogadishu"/>
    <s v="Student"/>
    <s v="Medium"/>
  </r>
  <r>
    <m/>
    <d v="2025-08-09T00:00:00"/>
    <x v="1"/>
    <n v="53"/>
    <x v="1"/>
    <x v="6"/>
    <x v="107"/>
    <s v="Male"/>
    <s v="Mogadishu"/>
    <s v="Self-Employed"/>
    <s v="Medium"/>
  </r>
  <r>
    <s v="CUS00160"/>
    <d v="2025-08-10T00:00:00"/>
    <x v="1"/>
    <n v="42"/>
    <x v="4"/>
    <x v="0"/>
    <x v="108"/>
    <s v="Male"/>
    <s v="Hargeisa"/>
    <s v="Business Owner"/>
    <s v="High"/>
  </r>
  <r>
    <s v="CUS00053"/>
    <d v="2025-08-12T00:00:00"/>
    <x v="1"/>
    <n v="25"/>
    <x v="1"/>
    <x v="5"/>
    <x v="109"/>
    <s v="Male"/>
    <s v="Mogadishu"/>
    <s v="Teacher"/>
    <s v="Low"/>
  </r>
  <r>
    <s v="CUS00102"/>
    <d v="2025-08-12T00:00:00"/>
    <x v="1"/>
    <n v="36"/>
    <x v="0"/>
    <x v="4"/>
    <x v="110"/>
    <s v="Male"/>
    <s v="Missing"/>
    <s v="Student"/>
    <s v="Low"/>
  </r>
  <r>
    <s v="CUS00180"/>
    <d v="2025-08-14T00:00:00"/>
    <x v="1"/>
    <n v="61"/>
    <x v="1"/>
    <x v="6"/>
    <x v="111"/>
    <s v="Male"/>
    <s v="Mogadishu"/>
    <s v="Self-Employed"/>
    <s v="Medium"/>
  </r>
  <r>
    <s v="CUS00255"/>
    <d v="2025-08-15T00:00:00"/>
    <x v="1"/>
    <n v="21"/>
    <x v="2"/>
    <x v="2"/>
    <x v="112"/>
    <s v="Male"/>
    <s v="Baidoa"/>
    <s v="Engineer"/>
    <s v="Medium"/>
  </r>
  <r>
    <s v="CUS00221"/>
    <d v="2025-08-15T00:00:00"/>
    <x v="1"/>
    <n v="44"/>
    <x v="1"/>
    <x v="0"/>
    <x v="113"/>
    <s v="Male"/>
    <s v="Mogadishu"/>
    <s v="Business Owner"/>
    <s v="Medium"/>
  </r>
  <r>
    <s v="CUS00268"/>
    <d v="2025-08-15T00:00:00"/>
    <x v="0"/>
    <n v="49"/>
    <x v="5"/>
    <x v="2"/>
    <x v="114"/>
    <s v="Female"/>
    <s v="Kismayo"/>
    <s v="Engineer"/>
    <s v="High"/>
  </r>
  <r>
    <s v="CUS00275"/>
    <d v="2025-08-15T00:00:00"/>
    <x v="1"/>
    <n v="59"/>
    <x v="4"/>
    <x v="5"/>
    <x v="115"/>
    <s v="Male"/>
    <s v="Hargeisa"/>
    <s v="Teacher"/>
    <s v="Low"/>
  </r>
  <r>
    <s v="CUS00122"/>
    <d v="2025-08-17T00:00:00"/>
    <x v="0"/>
    <n v="60"/>
    <x v="4"/>
    <x v="6"/>
    <x v="116"/>
    <s v="Female"/>
    <s v="Hargeisa"/>
    <s v="Self-Employed"/>
    <s v="Low"/>
  </r>
  <r>
    <s v="CUS00118"/>
    <d v="2025-08-21T00:00:00"/>
    <x v="1"/>
    <n v="60"/>
    <x v="0"/>
    <x v="4"/>
    <x v="8"/>
    <s v="Male"/>
    <s v="Missing"/>
    <s v="Student"/>
    <s v="Medium"/>
  </r>
  <r>
    <s v="CUS00182"/>
    <d v="2025-08-23T00:00:00"/>
    <x v="1"/>
    <n v="43"/>
    <x v="5"/>
    <x v="1"/>
    <x v="117"/>
    <s v="Male"/>
    <s v="Kismayo"/>
    <s v="Healthcare"/>
    <s v="Medium"/>
  </r>
  <r>
    <s v="CUS00237"/>
    <d v="2025-08-23T00:00:00"/>
    <x v="1"/>
    <n v="44"/>
    <x v="3"/>
    <x v="0"/>
    <x v="118"/>
    <s v="Male"/>
    <s v="Bosaso"/>
    <s v="Business Owner"/>
    <s v="Medium"/>
  </r>
  <r>
    <s v="CUS00171"/>
    <d v="2025-08-24T00:00:00"/>
    <x v="1"/>
    <n v="39"/>
    <x v="4"/>
    <x v="2"/>
    <x v="119"/>
    <s v="Male"/>
    <s v="Hargeisa"/>
    <s v="Engineer"/>
    <s v="Medium"/>
  </r>
  <r>
    <s v="CUS00209"/>
    <d v="2025-08-26T00:00:00"/>
    <x v="0"/>
    <n v="61"/>
    <x v="1"/>
    <x v="5"/>
    <x v="8"/>
    <s v="Female"/>
    <s v="Mogadishu"/>
    <s v="Teacher"/>
    <s v="Medium"/>
  </r>
  <r>
    <s v="CUS00143"/>
    <d v="2025-08-27T00:00:00"/>
    <x v="1"/>
    <n v="26"/>
    <x v="3"/>
    <x v="2"/>
    <x v="120"/>
    <s v="Male"/>
    <s v="Bosaso"/>
    <s v="Engineer"/>
    <s v="Medium"/>
  </r>
  <r>
    <s v="CUS00056"/>
    <d v="2025-08-30T00:00:00"/>
    <x v="1"/>
    <n v="67"/>
    <x v="5"/>
    <x v="5"/>
    <x v="121"/>
    <s v="Male"/>
    <s v="Kismayo"/>
    <s v="Teacher"/>
    <s v="Medium"/>
  </r>
  <r>
    <s v="CUS00285"/>
    <d v="2025-08-31T00:00:00"/>
    <x v="0"/>
    <n v="22"/>
    <x v="4"/>
    <x v="7"/>
    <x v="122"/>
    <s v="Female"/>
    <s v="Hargeisa"/>
    <s v="Missing"/>
    <s v="Low"/>
  </r>
  <r>
    <s v="CUS00229"/>
    <d v="2025-09-02T00:00:00"/>
    <x v="0"/>
    <n v="46"/>
    <x v="1"/>
    <x v="7"/>
    <x v="123"/>
    <s v="Female"/>
    <s v="Mogadishu"/>
    <s v="Missing"/>
    <s v="Medium"/>
  </r>
  <r>
    <m/>
    <d v="2025-09-08T00:00:00"/>
    <x v="0"/>
    <n v="32"/>
    <x v="6"/>
    <x v="0"/>
    <x v="124"/>
    <s v="Female"/>
    <s v="Garowe"/>
    <s v="Business Owner"/>
    <s v="High"/>
  </r>
  <r>
    <s v="CUS00063"/>
    <d v="2025-09-13T00:00:00"/>
    <x v="0"/>
    <n v="62"/>
    <x v="1"/>
    <x v="6"/>
    <x v="125"/>
    <s v="Female"/>
    <s v="Mogadishu"/>
    <s v="Self-Employed"/>
    <s v="Medium"/>
  </r>
  <r>
    <s v="CUS00213"/>
    <d v="2025-09-17T00:00:00"/>
    <x v="0"/>
    <n v="32"/>
    <x v="2"/>
    <x v="2"/>
    <x v="126"/>
    <s v="Female"/>
    <s v="Baidoa"/>
    <s v="Engineer"/>
    <s v="Medium"/>
  </r>
  <r>
    <s v="CUS00112"/>
    <d v="2025-09-18T00:00:00"/>
    <x v="0"/>
    <n v="40"/>
    <x v="5"/>
    <x v="0"/>
    <x v="127"/>
    <s v="Female"/>
    <s v="Kismayo"/>
    <s v="Business Owner"/>
    <s v="Low"/>
  </r>
  <r>
    <s v="CUS00216"/>
    <d v="2025-09-19T00:00:00"/>
    <x v="0"/>
    <n v="19"/>
    <x v="4"/>
    <x v="3"/>
    <x v="128"/>
    <s v="Female"/>
    <s v="Hargeisa"/>
    <s v="Civil Servant"/>
    <s v="Medium"/>
  </r>
  <r>
    <s v="CUS00164"/>
    <d v="2025-09-25T00:00:00"/>
    <x v="0"/>
    <n v="58"/>
    <x v="1"/>
    <x v="0"/>
    <x v="129"/>
    <s v="Female"/>
    <s v="Mogadishu"/>
    <s v="Business Owner"/>
    <s v="Medium"/>
  </r>
  <r>
    <s v="CUS00040"/>
    <d v="2025-09-25T00:00:00"/>
    <x v="0"/>
    <n v="66"/>
    <x v="1"/>
    <x v="3"/>
    <x v="130"/>
    <s v="Female"/>
    <s v="Mogadishu"/>
    <s v="Civil Servant"/>
    <s v="Low"/>
  </r>
  <r>
    <s v="CUS00232"/>
    <d v="2025-09-28T00:00:00"/>
    <x v="0"/>
    <n v="61"/>
    <x v="4"/>
    <x v="7"/>
    <x v="131"/>
    <s v="Female"/>
    <s v="Hargeisa"/>
    <s v="Missing"/>
    <s v="Low"/>
  </r>
  <r>
    <s v="CUS00123"/>
    <d v="2025-09-30T00:00:00"/>
    <x v="0"/>
    <n v="66"/>
    <x v="1"/>
    <x v="0"/>
    <x v="132"/>
    <s v="Female"/>
    <s v="Mogadishu"/>
    <s v="Business Owner"/>
    <s v="Medium"/>
  </r>
  <r>
    <s v="CUS00264"/>
    <d v="2025-10-01T00:00:00"/>
    <x v="1"/>
    <n v="68"/>
    <x v="1"/>
    <x v="7"/>
    <x v="133"/>
    <s v="Male"/>
    <s v="Mogadishu"/>
    <s v="Missing"/>
    <s v="Medium"/>
  </r>
  <r>
    <s v="CUS00198"/>
    <d v="2025-10-02T00:00:00"/>
    <x v="0"/>
    <n v="33"/>
    <x v="6"/>
    <x v="1"/>
    <x v="134"/>
    <s v="Female"/>
    <s v="Garowe"/>
    <s v="Healthcare"/>
    <s v="Medium"/>
  </r>
  <r>
    <s v="CUS00033"/>
    <d v="2025-10-02T00:00:00"/>
    <x v="1"/>
    <n v="54"/>
    <x v="5"/>
    <x v="3"/>
    <x v="135"/>
    <s v="Male"/>
    <s v="Kismayo"/>
    <s v="Civil Servant"/>
    <s v="Medium"/>
  </r>
  <r>
    <s v="CUS00139"/>
    <d v="2025-10-04T00:00:00"/>
    <x v="1"/>
    <n v="27"/>
    <x v="3"/>
    <x v="3"/>
    <x v="136"/>
    <s v="Male"/>
    <s v="Bosaso"/>
    <s v="Civil Servant"/>
    <s v="Medium"/>
  </r>
  <r>
    <s v="CUS00077"/>
    <d v="2025-10-07T00:00:00"/>
    <x v="0"/>
    <n v="44"/>
    <x v="3"/>
    <x v="4"/>
    <x v="137"/>
    <s v="Female"/>
    <s v="Bosaso"/>
    <s v="Student"/>
    <s v="Low"/>
  </r>
  <r>
    <s v="CUS00153"/>
    <d v="2025-10-08T00:00:00"/>
    <x v="1"/>
    <n v="52"/>
    <x v="5"/>
    <x v="4"/>
    <x v="138"/>
    <s v="Male"/>
    <s v="Kismayo"/>
    <s v="Student"/>
    <s v="Low"/>
  </r>
  <r>
    <s v="CUS00144"/>
    <d v="2025-10-11T00:00:00"/>
    <x v="1"/>
    <n v="20"/>
    <x v="4"/>
    <x v="6"/>
    <x v="139"/>
    <s v="Male"/>
    <s v="Hargeisa"/>
    <s v="Self-Employed"/>
    <s v="Low"/>
  </r>
  <r>
    <s v="CUS00069"/>
    <d v="2025-10-12T00:00:00"/>
    <x v="2"/>
    <n v="24"/>
    <x v="3"/>
    <x v="2"/>
    <x v="140"/>
    <s v="Missing"/>
    <s v="Bosaso"/>
    <s v="Engineer"/>
    <s v="Medium"/>
  </r>
  <r>
    <s v="CUS00086"/>
    <d v="2025-10-13T00:00:00"/>
    <x v="1"/>
    <n v="123"/>
    <x v="1"/>
    <x v="2"/>
    <x v="141"/>
    <s v="Male"/>
    <s v="Mogadishu"/>
    <s v="Engineer"/>
    <s v="Low"/>
  </r>
  <r>
    <m/>
    <d v="2025-10-15T00:00:00"/>
    <x v="0"/>
    <n v="41"/>
    <x v="3"/>
    <x v="1"/>
    <x v="142"/>
    <s v="Female"/>
    <s v="Bosaso"/>
    <s v="Healthcare"/>
    <s v="Medium"/>
  </r>
  <r>
    <s v="CUS00256"/>
    <d v="2025-10-20T00:00:00"/>
    <x v="2"/>
    <n v="21"/>
    <x v="1"/>
    <x v="0"/>
    <x v="143"/>
    <s v="Missing"/>
    <s v="Mogadishu"/>
    <s v="Business Owner"/>
    <s v="High"/>
  </r>
  <r>
    <s v="CUS00088"/>
    <d v="2025-10-21T00:00:00"/>
    <x v="0"/>
    <n v="26"/>
    <x v="1"/>
    <x v="5"/>
    <x v="144"/>
    <s v="Female"/>
    <s v="Mogadishu"/>
    <s v="Teacher"/>
    <s v="Medium"/>
  </r>
  <r>
    <s v="CUS00026"/>
    <d v="2025-10-24T00:00:00"/>
    <x v="0"/>
    <n v="20"/>
    <x v="1"/>
    <x v="4"/>
    <x v="145"/>
    <s v="Female"/>
    <s v="Mogadishu"/>
    <s v="Student"/>
    <s v="Low"/>
  </r>
  <r>
    <s v="CUS00282"/>
    <d v="2025-10-26T00:00:00"/>
    <x v="1"/>
    <n v="34"/>
    <x v="3"/>
    <x v="3"/>
    <x v="146"/>
    <s v="Male"/>
    <s v="Bosaso"/>
    <s v="Civil Servant"/>
    <s v="Medium"/>
  </r>
  <r>
    <m/>
    <d v="2025-10-27T00:00:00"/>
    <x v="1"/>
    <n v="68"/>
    <x v="4"/>
    <x v="1"/>
    <x v="147"/>
    <s v="Male"/>
    <s v="Hargeisa"/>
    <s v="Healthcare"/>
    <s v="Medium"/>
  </r>
  <r>
    <s v="CUS00114"/>
    <d v="2025-10-28T00:00:00"/>
    <x v="1"/>
    <n v="63"/>
    <x v="3"/>
    <x v="4"/>
    <x v="148"/>
    <s v="Male"/>
    <s v="Bosaso"/>
    <s v="Student"/>
    <s v="Low"/>
  </r>
  <r>
    <s v="CUS00051"/>
    <d v="2025-10-30T00:00:00"/>
    <x v="0"/>
    <n v="30"/>
    <x v="4"/>
    <x v="6"/>
    <x v="149"/>
    <s v="Female"/>
    <s v="Hargeisa"/>
    <s v="Self-Employed"/>
    <s v="Low"/>
  </r>
  <r>
    <s v="CUS00089"/>
    <d v="2025-11-02T00:00:00"/>
    <x v="0"/>
    <n v="40"/>
    <x v="3"/>
    <x v="6"/>
    <x v="150"/>
    <s v="Female"/>
    <s v="Bosaso"/>
    <s v="Self-Employed"/>
    <s v="Low"/>
  </r>
  <r>
    <s v="CUS00242"/>
    <d v="2025-11-05T00:00:00"/>
    <x v="0"/>
    <n v="20"/>
    <x v="3"/>
    <x v="6"/>
    <x v="151"/>
    <s v="Female"/>
    <s v="Bosaso"/>
    <s v="Self-Employed"/>
    <s v="Medium"/>
  </r>
  <r>
    <s v="CUS00105"/>
    <d v="2025-11-07T00:00:00"/>
    <x v="0"/>
    <n v="32"/>
    <x v="1"/>
    <x v="6"/>
    <x v="152"/>
    <s v="Female"/>
    <s v="Mogadishu"/>
    <s v="Self-Employed"/>
    <s v="Low"/>
  </r>
  <r>
    <s v="CUS00172"/>
    <d v="2025-11-09T00:00:00"/>
    <x v="0"/>
    <n v="70"/>
    <x v="3"/>
    <x v="5"/>
    <x v="153"/>
    <s v="Female"/>
    <s v="Bosaso"/>
    <s v="Teacher"/>
    <s v="Low"/>
  </r>
  <r>
    <s v="CUS00161"/>
    <d v="2025-11-12T00:00:00"/>
    <x v="1"/>
    <n v="20"/>
    <x v="5"/>
    <x v="3"/>
    <x v="154"/>
    <s v="Male"/>
    <s v="Kismayo"/>
    <s v="Civil Servant"/>
    <s v="Medium"/>
  </r>
  <r>
    <s v="CUS00225"/>
    <d v="2025-11-14T00:00:00"/>
    <x v="2"/>
    <n v="70"/>
    <x v="1"/>
    <x v="3"/>
    <x v="155"/>
    <s v="Missing"/>
    <s v="Mogadishu"/>
    <s v="Civil Servant"/>
    <s v="Low"/>
  </r>
  <r>
    <s v="CUS00028"/>
    <d v="2025-11-15T00:00:00"/>
    <x v="1"/>
    <n v="53"/>
    <x v="1"/>
    <x v="4"/>
    <x v="156"/>
    <s v="Male"/>
    <s v="Mogadishu"/>
    <s v="Student"/>
    <s v="Low"/>
  </r>
  <r>
    <s v="CUS00126"/>
    <d v="2025-11-17T00:00:00"/>
    <x v="2"/>
    <n v="26"/>
    <x v="2"/>
    <x v="2"/>
    <x v="157"/>
    <s v="Missing"/>
    <s v="Baidoa"/>
    <s v="Engineer"/>
    <s v="Medium"/>
  </r>
  <r>
    <m/>
    <d v="2025-11-21T00:00:00"/>
    <x v="1"/>
    <n v="30"/>
    <x v="2"/>
    <x v="1"/>
    <x v="158"/>
    <s v="Male"/>
    <s v="Baidoa"/>
    <s v="Healthcare"/>
    <s v="Medium"/>
  </r>
  <r>
    <s v="CUS00125"/>
    <d v="2025-11-21T00:00:00"/>
    <x v="1"/>
    <n v="35"/>
    <x v="1"/>
    <x v="0"/>
    <x v="159"/>
    <s v="Male"/>
    <s v="Mogadishu"/>
    <s v="Business Owner"/>
    <s v="Medium"/>
  </r>
  <r>
    <s v="CUS00110"/>
    <d v="2025-11-22T00:00:00"/>
    <x v="0"/>
    <n v="50"/>
    <x v="1"/>
    <x v="0"/>
    <x v="8"/>
    <s v="Female"/>
    <s v="Mogadishu"/>
    <s v="Business Owner"/>
    <s v="Medium"/>
  </r>
  <r>
    <s v="CUS00001"/>
    <d v="2025-11-23T00:00:00"/>
    <x v="0"/>
    <n v="39"/>
    <x v="5"/>
    <x v="2"/>
    <x v="160"/>
    <s v="Female"/>
    <s v="Kismayo"/>
    <s v="Engineer"/>
    <s v="Low"/>
  </r>
  <r>
    <s v="CUS00289"/>
    <d v="2025-11-30T00:00:00"/>
    <x v="1"/>
    <n v="41"/>
    <x v="1"/>
    <x v="5"/>
    <x v="161"/>
    <s v="Male"/>
    <s v="Mogadishu"/>
    <s v="Teacher"/>
    <s v="Low"/>
  </r>
  <r>
    <s v="CUS00274"/>
    <d v="2025-12-07T00:00:00"/>
    <x v="0"/>
    <n v="32"/>
    <x v="1"/>
    <x v="0"/>
    <x v="162"/>
    <s v="Female"/>
    <s v="Mogadishu"/>
    <s v="Business Owner"/>
    <s v="High"/>
  </r>
  <r>
    <s v="CUS00167"/>
    <d v="2025-12-07T00:00:00"/>
    <x v="0"/>
    <n v="37"/>
    <x v="6"/>
    <x v="5"/>
    <x v="163"/>
    <s v="Female"/>
    <s v="Garowe"/>
    <s v="Teacher"/>
    <s v="Medium"/>
  </r>
  <r>
    <s v="CUS00260"/>
    <d v="2025-12-07T00:00:00"/>
    <x v="0"/>
    <n v="40"/>
    <x v="5"/>
    <x v="0"/>
    <x v="164"/>
    <s v="Female"/>
    <s v="Kismayo"/>
    <s v="Business Owner"/>
    <s v="Medium"/>
  </r>
  <r>
    <s v="CUS00047"/>
    <d v="2025-12-09T00:00:00"/>
    <x v="0"/>
    <n v="43"/>
    <x v="1"/>
    <x v="2"/>
    <x v="165"/>
    <s v="Female"/>
    <s v="Mogadishu"/>
    <s v="Engineer"/>
    <s v="Low"/>
  </r>
  <r>
    <s v="CUS00094"/>
    <d v="2025-12-10T00:00:00"/>
    <x v="1"/>
    <n v="55"/>
    <x v="5"/>
    <x v="2"/>
    <x v="166"/>
    <s v="Male"/>
    <s v="Kismayo"/>
    <s v="Engineer"/>
    <s v="Medium"/>
  </r>
  <r>
    <s v="CUS00195"/>
    <d v="2025-12-15T00:00:00"/>
    <x v="1"/>
    <n v="31"/>
    <x v="3"/>
    <x v="6"/>
    <x v="167"/>
    <s v="Male"/>
    <s v="Bosaso"/>
    <s v="Self-Employed"/>
    <s v="Low"/>
  </r>
  <r>
    <s v="CUS00184"/>
    <d v="2025-12-17T00:00:00"/>
    <x v="2"/>
    <n v="64"/>
    <x v="3"/>
    <x v="6"/>
    <x v="168"/>
    <s v="Missing"/>
    <s v="Bosaso"/>
    <s v="Self-Employed"/>
    <s v="Low"/>
  </r>
  <r>
    <s v="CUS00107"/>
    <d v="2025-12-23T00:00:00"/>
    <x v="1"/>
    <n v="46"/>
    <x v="0"/>
    <x v="0"/>
    <x v="169"/>
    <s v="Male"/>
    <s v="Missing"/>
    <s v="Business Owner"/>
    <s v="High"/>
  </r>
  <r>
    <s v="CUS00010"/>
    <d v="2025-12-23T00:00:00"/>
    <x v="1"/>
    <n v="55"/>
    <x v="4"/>
    <x v="1"/>
    <x v="170"/>
    <s v="Male"/>
    <s v="Hargeisa"/>
    <s v="Healthcare"/>
    <s v="Low"/>
  </r>
  <r>
    <s v="CUS00008"/>
    <d v="2025-12-23T00:00:00"/>
    <x v="0"/>
    <n v="60"/>
    <x v="2"/>
    <x v="2"/>
    <x v="171"/>
    <s v="Female"/>
    <s v="Baidoa"/>
    <s v="Engineer"/>
    <s v="Low"/>
  </r>
  <r>
    <s v="CUS00045"/>
    <d v="2025-12-26T00:00:00"/>
    <x v="1"/>
    <n v="60"/>
    <x v="1"/>
    <x v="4"/>
    <x v="172"/>
    <s v="Male"/>
    <s v="Mogadishu"/>
    <s v="Student"/>
    <s v="Low"/>
  </r>
  <r>
    <s v="CUS00046"/>
    <d v="2025-12-28T00:00:00"/>
    <x v="0"/>
    <n v="38"/>
    <x v="1"/>
    <x v="6"/>
    <x v="173"/>
    <s v="Female"/>
    <s v="Mogadishu"/>
    <s v="Self-Employed"/>
    <s v="Low"/>
  </r>
  <r>
    <s v="CUS00116"/>
    <d v="2025-12-29T00:00:00"/>
    <x v="0"/>
    <n v="70"/>
    <x v="3"/>
    <x v="0"/>
    <x v="174"/>
    <s v="Female"/>
    <s v="Bosaso"/>
    <s v="Business Owner"/>
    <s v="Medium"/>
  </r>
  <r>
    <s v="CUS00266"/>
    <d v="2025-12-30T00:00:00"/>
    <x v="1"/>
    <n v="44"/>
    <x v="6"/>
    <x v="1"/>
    <x v="175"/>
    <s v="Male"/>
    <s v="Garowe"/>
    <s v="Healthcare"/>
    <s v="Medium"/>
  </r>
  <r>
    <s v="CUS00016"/>
    <d v="2025-12-31T00:00:00"/>
    <x v="2"/>
    <n v="33"/>
    <x v="1"/>
    <x v="5"/>
    <x v="176"/>
    <s v="Missing"/>
    <s v="Mogadishu"/>
    <s v="Teacher"/>
    <s v="Low"/>
  </r>
  <r>
    <s v="CUS00035"/>
    <d v="2025-12-31T00:00:00"/>
    <x v="0"/>
    <n v="41"/>
    <x v="2"/>
    <x v="6"/>
    <x v="177"/>
    <s v="Female"/>
    <s v="Baidoa"/>
    <s v="Self-Employed"/>
    <s v="Low"/>
  </r>
  <r>
    <s v="CUS00269"/>
    <d v="2026-01-04T00:00:00"/>
    <x v="0"/>
    <n v="65"/>
    <x v="0"/>
    <x v="6"/>
    <x v="178"/>
    <s v="Female"/>
    <s v="Missing"/>
    <s v="Self-Employed"/>
    <s v="Medium"/>
  </r>
  <r>
    <s v="CUS00141"/>
    <d v="2026-01-09T00:00:00"/>
    <x v="0"/>
    <n v="57"/>
    <x v="2"/>
    <x v="4"/>
    <x v="179"/>
    <s v="Female"/>
    <s v="Baidoa"/>
    <s v="Student"/>
    <s v="Low"/>
  </r>
  <r>
    <s v="CUS00087"/>
    <d v="2026-01-11T00:00:00"/>
    <x v="0"/>
    <n v="70"/>
    <x v="3"/>
    <x v="0"/>
    <x v="180"/>
    <s v="Female"/>
    <s v="Bosaso"/>
    <s v="Business Owner"/>
    <s v="High"/>
  </r>
  <r>
    <s v="CUS00200"/>
    <d v="2026-01-15T00:00:00"/>
    <x v="0"/>
    <n v="21"/>
    <x v="2"/>
    <x v="1"/>
    <x v="181"/>
    <s v="Female"/>
    <s v="Baidoa"/>
    <s v="Healthcare"/>
    <s v="Medium"/>
  </r>
  <r>
    <s v="CUS00054"/>
    <d v="2026-01-15T00:00:00"/>
    <x v="1"/>
    <n v="63"/>
    <x v="6"/>
    <x v="5"/>
    <x v="182"/>
    <s v="Male"/>
    <s v="Garowe"/>
    <s v="Teacher"/>
    <s v="Low"/>
  </r>
  <r>
    <m/>
    <d v="2026-01-16T00:00:00"/>
    <x v="0"/>
    <n v="44"/>
    <x v="1"/>
    <x v="6"/>
    <x v="8"/>
    <s v="Female"/>
    <s v="Mogadishu"/>
    <s v="Self-Employed"/>
    <s v="Medium"/>
  </r>
  <r>
    <s v="CUS00165"/>
    <d v="2026-01-17T00:00:00"/>
    <x v="0"/>
    <n v="37"/>
    <x v="3"/>
    <x v="4"/>
    <x v="8"/>
    <s v="Female"/>
    <s v="Bosaso"/>
    <s v="Student"/>
    <s v="Medium"/>
  </r>
  <r>
    <s v="CUS00095"/>
    <d v="2026-01-19T00:00:00"/>
    <x v="0"/>
    <n v="28"/>
    <x v="0"/>
    <x v="6"/>
    <x v="183"/>
    <s v="Female"/>
    <s v="Missing"/>
    <s v="Self-Employed"/>
    <s v="Low"/>
  </r>
  <r>
    <s v="CUS00284"/>
    <d v="2026-01-19T00:00:00"/>
    <x v="0"/>
    <n v="36"/>
    <x v="0"/>
    <x v="5"/>
    <x v="184"/>
    <s v="Female"/>
    <s v="Missing"/>
    <s v="Teacher"/>
    <s v="Medium"/>
  </r>
  <r>
    <s v="CUS00098"/>
    <d v="2026-01-26T00:00:00"/>
    <x v="0"/>
    <n v="47"/>
    <x v="0"/>
    <x v="6"/>
    <x v="185"/>
    <s v="Female"/>
    <s v="Missing"/>
    <s v="Self-Employed"/>
    <s v="Low"/>
  </r>
  <r>
    <s v="CUS00014"/>
    <d v="2026-01-30T00:00:00"/>
    <x v="0"/>
    <n v="49"/>
    <x v="1"/>
    <x v="6"/>
    <x v="186"/>
    <s v="Female"/>
    <s v="Mogadishu"/>
    <s v="Self-Employed"/>
    <s v="Low"/>
  </r>
  <r>
    <s v="CUS00283"/>
    <d v="2026-02-01T00:00:00"/>
    <x v="1"/>
    <n v="55"/>
    <x v="5"/>
    <x v="2"/>
    <x v="8"/>
    <s v="Male"/>
    <s v="Kismayo"/>
    <s v="Engineer"/>
    <s v="Medium"/>
  </r>
  <r>
    <s v="CUS00062"/>
    <d v="2026-02-04T00:00:00"/>
    <x v="1"/>
    <n v="47"/>
    <x v="1"/>
    <x v="2"/>
    <x v="8"/>
    <s v="Male"/>
    <s v="Mogadishu"/>
    <s v="Engineer"/>
    <s v="Medium"/>
  </r>
  <r>
    <s v="CUS00147"/>
    <d v="2026-02-06T00:00:00"/>
    <x v="1"/>
    <n v="36"/>
    <x v="4"/>
    <x v="1"/>
    <x v="187"/>
    <s v="Male"/>
    <s v="Hargeisa"/>
    <s v="Healthcare"/>
    <s v="Low"/>
  </r>
  <r>
    <s v="CUS00191"/>
    <d v="2026-02-06T00:00:00"/>
    <x v="0"/>
    <n v="65"/>
    <x v="4"/>
    <x v="3"/>
    <x v="188"/>
    <s v="Female"/>
    <s v="Hargeisa"/>
    <s v="Civil Servant"/>
    <s v="Medium"/>
  </r>
  <r>
    <m/>
    <d v="2026-02-07T00:00:00"/>
    <x v="1"/>
    <n v="23"/>
    <x v="5"/>
    <x v="3"/>
    <x v="189"/>
    <s v="Male"/>
    <s v="Kismayo"/>
    <s v="Civil Servant"/>
    <s v="Low"/>
  </r>
  <r>
    <s v="CUS00096"/>
    <d v="2026-02-07T00:00:00"/>
    <x v="2"/>
    <n v="33"/>
    <x v="1"/>
    <x v="3"/>
    <x v="190"/>
    <s v="Missing"/>
    <s v="Mogadishu"/>
    <s v="Civil Servant"/>
    <s v="Medium"/>
  </r>
  <r>
    <s v="CUS00073"/>
    <d v="2026-02-08T00:00:00"/>
    <x v="0"/>
    <n v="46"/>
    <x v="1"/>
    <x v="4"/>
    <x v="191"/>
    <s v="Female"/>
    <s v="Mogadishu"/>
    <s v="Student"/>
    <s v="Low"/>
  </r>
  <r>
    <s v="CUS00248"/>
    <d v="2026-02-11T00:00:00"/>
    <x v="0"/>
    <n v="30"/>
    <x v="0"/>
    <x v="5"/>
    <x v="192"/>
    <s v="Female"/>
    <s v="Missing"/>
    <s v="Teacher"/>
    <s v="Medium"/>
  </r>
  <r>
    <s v="CUS00240"/>
    <d v="2026-02-12T00:00:00"/>
    <x v="0"/>
    <n v="22"/>
    <x v="1"/>
    <x v="6"/>
    <x v="193"/>
    <s v="Female"/>
    <s v="Mogadishu"/>
    <s v="Self-Employed"/>
    <s v="Medium"/>
  </r>
  <r>
    <s v="CUS00236"/>
    <d v="2026-02-14T00:00:00"/>
    <x v="0"/>
    <n v="22"/>
    <x v="4"/>
    <x v="3"/>
    <x v="194"/>
    <s v="Female"/>
    <s v="Hargeisa"/>
    <s v="Civil Servant"/>
    <s v="Medium"/>
  </r>
  <r>
    <s v="CUS00190"/>
    <d v="2026-02-15T00:00:00"/>
    <x v="0"/>
    <n v="58"/>
    <x v="3"/>
    <x v="2"/>
    <x v="195"/>
    <s v="Female"/>
    <s v="Bosaso"/>
    <s v="Engineer"/>
    <s v="Medium"/>
  </r>
  <r>
    <s v="CUS00201"/>
    <d v="2026-02-17T00:00:00"/>
    <x v="0"/>
    <n v="55"/>
    <x v="4"/>
    <x v="3"/>
    <x v="196"/>
    <s v="Female"/>
    <s v="Hargeisa"/>
    <s v="Civil Servant"/>
    <s v="Medium"/>
  </r>
  <r>
    <s v="CUS00188"/>
    <d v="2026-02-20T00:00:00"/>
    <x v="1"/>
    <n v="30"/>
    <x v="3"/>
    <x v="1"/>
    <x v="197"/>
    <s v="Male"/>
    <s v="Bosaso"/>
    <s v="Healthcare"/>
    <s v="Medium"/>
  </r>
  <r>
    <s v="CUS00029"/>
    <d v="2026-02-24T00:00:00"/>
    <x v="1"/>
    <n v="50"/>
    <x v="6"/>
    <x v="2"/>
    <x v="198"/>
    <s v="Male"/>
    <s v="Garowe"/>
    <s v="Engineer"/>
    <s v="Low"/>
  </r>
  <r>
    <s v="CUS00220"/>
    <d v="2026-02-27T00:00:00"/>
    <x v="0"/>
    <n v="60"/>
    <x v="3"/>
    <x v="1"/>
    <x v="199"/>
    <s v="Female"/>
    <s v="Bosaso"/>
    <s v="Healthcare"/>
    <s v="Medium"/>
  </r>
  <r>
    <s v="CUS00085"/>
    <d v="2026-02-28T00:00:00"/>
    <x v="0"/>
    <n v="62"/>
    <x v="1"/>
    <x v="2"/>
    <x v="200"/>
    <s v="Female"/>
    <s v="Mogadishu"/>
    <s v="Engineer"/>
    <s v="Medium"/>
  </r>
  <r>
    <s v="CUS00023"/>
    <d v="2026-03-01T00:00:00"/>
    <x v="0"/>
    <n v="32"/>
    <x v="5"/>
    <x v="3"/>
    <x v="201"/>
    <s v="Female"/>
    <s v="Kismayo"/>
    <s v="Civil Servant"/>
    <s v="Low"/>
  </r>
  <r>
    <s v="CUS00185"/>
    <d v="2026-03-08T00:00:00"/>
    <x v="0"/>
    <n v="43"/>
    <x v="1"/>
    <x v="1"/>
    <x v="202"/>
    <s v="Female"/>
    <s v="Mogadishu"/>
    <s v="Healthcare"/>
    <s v="Medium"/>
  </r>
  <r>
    <s v="CUS00013"/>
    <d v="2026-03-09T00:00:00"/>
    <x v="0"/>
    <n v="43"/>
    <x v="1"/>
    <x v="5"/>
    <x v="203"/>
    <s v="Female"/>
    <s v="Mogadishu"/>
    <s v="Teacher"/>
    <s v="Low"/>
  </r>
  <r>
    <s v="CUS00108"/>
    <d v="2026-03-12T00:00:00"/>
    <x v="0"/>
    <n v="52"/>
    <x v="1"/>
    <x v="7"/>
    <x v="204"/>
    <s v="Female"/>
    <s v="Mogadishu"/>
    <s v="Missing"/>
    <s v="Low"/>
  </r>
  <r>
    <s v="CUS00162"/>
    <d v="2026-03-13T00:00:00"/>
    <x v="0"/>
    <n v="29"/>
    <x v="3"/>
    <x v="5"/>
    <x v="205"/>
    <s v="Female"/>
    <s v="Bosaso"/>
    <s v="Teacher"/>
    <s v="Low"/>
  </r>
  <r>
    <s v="CUS00104"/>
    <d v="2026-03-13T00:00:00"/>
    <x v="1"/>
    <n v="43"/>
    <x v="1"/>
    <x v="0"/>
    <x v="206"/>
    <s v="Male"/>
    <s v="Mogadishu"/>
    <s v="Business Owner"/>
    <s v="Medium"/>
  </r>
  <r>
    <s v="CUS00018"/>
    <d v="2026-03-13T00:00:00"/>
    <x v="0"/>
    <n v="44"/>
    <x v="1"/>
    <x v="6"/>
    <x v="207"/>
    <s v="Female"/>
    <s v="Mogadishu"/>
    <s v="Self-Employed"/>
    <s v="Medium"/>
  </r>
  <r>
    <s v="CUS00068"/>
    <d v="2026-03-18T00:00:00"/>
    <x v="1"/>
    <n v="45"/>
    <x v="2"/>
    <x v="4"/>
    <x v="208"/>
    <s v="Male"/>
    <s v="Baidoa"/>
    <s v="Student"/>
    <s v="Low"/>
  </r>
  <r>
    <s v="CUS00064"/>
    <d v="2026-03-22T00:00:00"/>
    <x v="1"/>
    <n v="64"/>
    <x v="3"/>
    <x v="0"/>
    <x v="209"/>
    <s v="Male"/>
    <s v="Bosaso"/>
    <s v="Business Owner"/>
    <s v="Low"/>
  </r>
  <r>
    <s v="CUS00278"/>
    <d v="2026-03-28T00:00:00"/>
    <x v="0"/>
    <n v="40"/>
    <x v="4"/>
    <x v="1"/>
    <x v="210"/>
    <s v="Female"/>
    <s v="Hargeisa"/>
    <s v="Healthcare"/>
    <s v="Low"/>
  </r>
  <r>
    <s v="CUS00039"/>
    <d v="2026-03-28T00:00:00"/>
    <x v="0"/>
    <n v="63"/>
    <x v="3"/>
    <x v="0"/>
    <x v="211"/>
    <s v="Female"/>
    <s v="Bosaso"/>
    <s v="Business Owner"/>
    <s v="Medium"/>
  </r>
  <r>
    <s v="CUS00168"/>
    <d v="2026-04-04T00:00:00"/>
    <x v="0"/>
    <n v="40"/>
    <x v="0"/>
    <x v="6"/>
    <x v="212"/>
    <s v="Female"/>
    <s v="Missing"/>
    <s v="Self-Employed"/>
    <s v="Low"/>
  </r>
  <r>
    <s v="CUS00142"/>
    <d v="2026-04-12T00:00:00"/>
    <x v="1"/>
    <n v="24"/>
    <x v="1"/>
    <x v="2"/>
    <x v="213"/>
    <s v="Male"/>
    <s v="Mogadishu"/>
    <s v="Engineer"/>
    <s v="Medium"/>
  </r>
  <r>
    <s v="CUS00015"/>
    <d v="2026-04-15T00:00:00"/>
    <x v="1"/>
    <n v="70"/>
    <x v="5"/>
    <x v="0"/>
    <x v="214"/>
    <s v="Male"/>
    <s v="Kismayo"/>
    <s v="Business Owner"/>
    <s v="Medium"/>
  </r>
  <r>
    <s v="CUS00024"/>
    <d v="2026-04-17T00:00:00"/>
    <x v="0"/>
    <n v="18"/>
    <x v="1"/>
    <x v="3"/>
    <x v="215"/>
    <s v="Female"/>
    <s v="Mogadishu"/>
    <s v="Civil Servant"/>
    <s v="Medium"/>
  </r>
  <r>
    <s v="CUS00127"/>
    <d v="2026-04-21T00:00:00"/>
    <x v="0"/>
    <n v="46"/>
    <x v="4"/>
    <x v="4"/>
    <x v="216"/>
    <s v="Female"/>
    <s v="Hargeisa"/>
    <s v="Student"/>
    <s v="Low"/>
  </r>
  <r>
    <s v="CUS00145"/>
    <d v="2026-04-24T00:00:00"/>
    <x v="0"/>
    <n v="57"/>
    <x v="5"/>
    <x v="0"/>
    <x v="217"/>
    <s v="Female"/>
    <s v="Kismayo"/>
    <s v="Business Owner"/>
    <s v="Low"/>
  </r>
  <r>
    <s v="CUS00243"/>
    <d v="2026-04-25T00:00:00"/>
    <x v="0"/>
    <n v="28"/>
    <x v="5"/>
    <x v="5"/>
    <x v="218"/>
    <s v="Female"/>
    <s v="Kismayo"/>
    <s v="Teacher"/>
    <s v="Low"/>
  </r>
  <r>
    <s v="CUS00032"/>
    <d v="2026-04-25T00:00:00"/>
    <x v="1"/>
    <n v="44"/>
    <x v="4"/>
    <x v="1"/>
    <x v="219"/>
    <s v="Male"/>
    <s v="Hargeisa"/>
    <s v="Healthcare"/>
    <s v="Medium"/>
  </r>
  <r>
    <s v="CUS00050"/>
    <d v="2026-05-04T00:00:00"/>
    <x v="0"/>
    <n v="18"/>
    <x v="1"/>
    <x v="0"/>
    <x v="220"/>
    <s v="Female"/>
    <s v="Mogadishu"/>
    <s v="Business Owner"/>
    <s v="Low"/>
  </r>
  <r>
    <s v="CUS00267"/>
    <d v="2026-05-04T00:00:00"/>
    <x v="0"/>
    <n v="43"/>
    <x v="3"/>
    <x v="4"/>
    <x v="221"/>
    <s v="Female"/>
    <s v="Bosaso"/>
    <s v="Student"/>
    <s v="Low"/>
  </r>
  <r>
    <s v="CUS00066"/>
    <d v="2026-05-06T00:00:00"/>
    <x v="1"/>
    <n v="52"/>
    <x v="1"/>
    <x v="1"/>
    <x v="222"/>
    <s v="Male"/>
    <s v="Mogadishu"/>
    <s v="Healthcare"/>
    <s v="Medium"/>
  </r>
  <r>
    <s v="CUS00253"/>
    <d v="2026-05-08T00:00:00"/>
    <x v="1"/>
    <n v="67"/>
    <x v="1"/>
    <x v="3"/>
    <x v="223"/>
    <s v="Male"/>
    <s v="Mogadishu"/>
    <s v="Civil Servant"/>
    <s v="Medium"/>
  </r>
  <r>
    <m/>
    <d v="2026-05-09T00:00:00"/>
    <x v="0"/>
    <n v="50"/>
    <x v="1"/>
    <x v="6"/>
    <x v="224"/>
    <s v="Female"/>
    <s v="Mogadishu"/>
    <s v="Self-Employed"/>
    <s v="Medium"/>
  </r>
  <r>
    <s v="CUS00059"/>
    <d v="2026-05-15T00:00:00"/>
    <x v="1"/>
    <n v="42"/>
    <x v="3"/>
    <x v="0"/>
    <x v="8"/>
    <s v="Male"/>
    <s v="Bosaso"/>
    <s v="Business Owner"/>
    <s v="Medium"/>
  </r>
  <r>
    <s v="CUS00074"/>
    <d v="2026-05-15T00:00:00"/>
    <x v="0"/>
    <n v="44"/>
    <x v="4"/>
    <x v="0"/>
    <x v="225"/>
    <s v="Female"/>
    <s v="Hargeisa"/>
    <s v="Business Owner"/>
    <s v="Low"/>
  </r>
  <r>
    <s v="CUS00037"/>
    <d v="2026-05-15T00:00:00"/>
    <x v="0"/>
    <n v="61"/>
    <x v="4"/>
    <x v="4"/>
    <x v="226"/>
    <s v="Female"/>
    <s v="Hargeisa"/>
    <s v="Student"/>
    <s v="Low"/>
  </r>
  <r>
    <s v="CUS00041"/>
    <d v="2026-05-15T00:00:00"/>
    <x v="2"/>
    <n v="65"/>
    <x v="2"/>
    <x v="0"/>
    <x v="227"/>
    <s v="Missing"/>
    <s v="Baidoa"/>
    <s v="Business Owner"/>
    <s v="Medium"/>
  </r>
  <r>
    <s v="CUS00082"/>
    <d v="2026-05-16T00:00:00"/>
    <x v="0"/>
    <n v="30"/>
    <x v="1"/>
    <x v="0"/>
    <x v="228"/>
    <s v="Female"/>
    <s v="Mogadishu"/>
    <s v="Business Owner"/>
    <s v="High"/>
  </r>
  <r>
    <s v="CUS00155"/>
    <d v="2026-05-17T00:00:00"/>
    <x v="0"/>
    <n v="27"/>
    <x v="4"/>
    <x v="7"/>
    <x v="229"/>
    <s v="Female"/>
    <s v="Hargeisa"/>
    <s v="Missing"/>
    <s v="Low"/>
  </r>
  <r>
    <s v="CUS00233"/>
    <d v="2026-05-17T00:00:00"/>
    <x v="0"/>
    <n v="39"/>
    <x v="3"/>
    <x v="1"/>
    <x v="230"/>
    <s v="Female"/>
    <s v="Bosaso"/>
    <s v="Healthcare"/>
    <s v="Medium"/>
  </r>
  <r>
    <s v="CUS00061"/>
    <d v="2026-05-19T00:00:00"/>
    <x v="0"/>
    <n v="53"/>
    <x v="1"/>
    <x v="2"/>
    <x v="8"/>
    <s v="Female"/>
    <s v="Mogadishu"/>
    <s v="Engineer"/>
    <s v="Medium"/>
  </r>
  <r>
    <s v="CUS00250"/>
    <d v="2026-05-21T00:00:00"/>
    <x v="0"/>
    <n v="29"/>
    <x v="1"/>
    <x v="6"/>
    <x v="231"/>
    <s v="Female"/>
    <s v="Mogadishu"/>
    <s v="Self-Employed"/>
    <s v="Medium"/>
  </r>
  <r>
    <s v="CUS00092"/>
    <d v="2026-05-24T00:00:00"/>
    <x v="1"/>
    <n v="69"/>
    <x v="1"/>
    <x v="1"/>
    <x v="232"/>
    <s v="Male"/>
    <s v="Mogadishu"/>
    <s v="Healthcare"/>
    <s v="Medium"/>
  </r>
  <r>
    <s v="CUS00192"/>
    <d v="2026-05-26T00:00:00"/>
    <x v="1"/>
    <n v="44"/>
    <x v="4"/>
    <x v="4"/>
    <x v="233"/>
    <s v="Male"/>
    <s v="Hargeisa"/>
    <s v="Student"/>
    <s v="Low"/>
  </r>
  <r>
    <s v="CUS00290"/>
    <d v="2026-05-27T00:00:00"/>
    <x v="0"/>
    <n v="36"/>
    <x v="4"/>
    <x v="7"/>
    <x v="234"/>
    <s v="Female"/>
    <s v="Hargeisa"/>
    <s v="Missing"/>
    <s v="Low"/>
  </r>
  <r>
    <s v="CUS00281"/>
    <d v="2026-05-31T00:00:00"/>
    <x v="0"/>
    <n v="34"/>
    <x v="4"/>
    <x v="2"/>
    <x v="235"/>
    <s v="Female"/>
    <s v="Hargeisa"/>
    <s v="Engineer"/>
    <s v="Medium"/>
  </r>
  <r>
    <s v="CUS00176"/>
    <d v="2026-05-31T00:00:00"/>
    <x v="1"/>
    <n v="44"/>
    <x v="4"/>
    <x v="5"/>
    <x v="236"/>
    <s v="Male"/>
    <s v="Hargeisa"/>
    <s v="Teacher"/>
    <s v="Low"/>
  </r>
  <r>
    <s v="CUS00129"/>
    <d v="2026-05-31T00:00:00"/>
    <x v="2"/>
    <n v="49"/>
    <x v="5"/>
    <x v="6"/>
    <x v="237"/>
    <s v="Missing"/>
    <s v="Kismayo"/>
    <s v="Self-Employed"/>
    <s v="Medium"/>
  </r>
  <r>
    <s v="CUS00199"/>
    <d v="2026-06-10T00:00:00"/>
    <x v="1"/>
    <n v="65"/>
    <x v="1"/>
    <x v="1"/>
    <x v="238"/>
    <s v="Male"/>
    <s v="Mogadishu"/>
    <s v="Healthcare"/>
    <s v="Low"/>
  </r>
  <r>
    <s v="CUS00238"/>
    <d v="2026-06-11T00:00:00"/>
    <x v="1"/>
    <n v="62"/>
    <x v="6"/>
    <x v="3"/>
    <x v="239"/>
    <s v="Male"/>
    <s v="Garowe"/>
    <s v="Civil Servant"/>
    <s v="Low"/>
  </r>
  <r>
    <s v="CUS00280"/>
    <d v="2026-06-14T00:00:00"/>
    <x v="1"/>
    <n v="32"/>
    <x v="5"/>
    <x v="4"/>
    <x v="240"/>
    <s v="Male"/>
    <s v="Kismayo"/>
    <s v="Student"/>
    <s v="Low"/>
  </r>
  <r>
    <s v="CUS00212"/>
    <d v="2026-06-16T00:00:00"/>
    <x v="1"/>
    <n v="31"/>
    <x v="1"/>
    <x v="5"/>
    <x v="241"/>
    <s v="Male"/>
    <s v="Mogadishu"/>
    <s v="Teacher"/>
    <s v="Low"/>
  </r>
  <r>
    <s v="CUS00178"/>
    <d v="2026-06-17T00:00:00"/>
    <x v="1"/>
    <n v="32"/>
    <x v="6"/>
    <x v="0"/>
    <x v="242"/>
    <s v="Male"/>
    <s v="Garowe"/>
    <s v="Business Owner"/>
    <s v="High"/>
  </r>
  <r>
    <s v="CUS00075"/>
    <d v="2026-06-17T00:00:00"/>
    <x v="0"/>
    <n v="47"/>
    <x v="2"/>
    <x v="0"/>
    <x v="243"/>
    <s v="Female"/>
    <s v="Baidoa"/>
    <s v="Business Owner"/>
    <s v="High"/>
  </r>
  <r>
    <s v="CUS00070"/>
    <d v="2026-06-24T00:00:00"/>
    <x v="1"/>
    <n v="38"/>
    <x v="1"/>
    <x v="5"/>
    <x v="244"/>
    <s v="Male"/>
    <s v="Mogadishu"/>
    <s v="Teacher"/>
    <s v="Low"/>
  </r>
  <r>
    <s v="CUS00093"/>
    <d v="2026-07-02T00:00:00"/>
    <x v="1"/>
    <n v="59"/>
    <x v="2"/>
    <x v="4"/>
    <x v="245"/>
    <s v="Male"/>
    <s v="Baidoa"/>
    <s v="Student"/>
    <s v="Low"/>
  </r>
  <r>
    <s v="CUS00193"/>
    <d v="2026-07-07T00:00:00"/>
    <x v="1"/>
    <n v="61"/>
    <x v="1"/>
    <x v="3"/>
    <x v="246"/>
    <s v="Male"/>
    <s v="Mogadishu"/>
    <s v="Civil Servant"/>
    <s v="Medium"/>
  </r>
  <r>
    <m/>
    <d v="2026-07-08T00:00:00"/>
    <x v="0"/>
    <n v="61"/>
    <x v="4"/>
    <x v="4"/>
    <x v="247"/>
    <s v="Female"/>
    <s v="Hargeisa"/>
    <s v="Student"/>
    <s v="Low"/>
  </r>
  <r>
    <s v="CUS00036"/>
    <d v="2026-07-09T00:00:00"/>
    <x v="0"/>
    <n v="45"/>
    <x v="3"/>
    <x v="6"/>
    <x v="248"/>
    <s v="Female"/>
    <s v="Bosaso"/>
    <s v="Self-Employed"/>
    <s v="Low"/>
  </r>
  <r>
    <m/>
    <d v="2026-07-19T00:00:00"/>
    <x v="1"/>
    <n v="22"/>
    <x v="1"/>
    <x v="5"/>
    <x v="249"/>
    <s v="Male"/>
    <s v="Mogadishu"/>
    <s v="Teacher"/>
    <s v="Low"/>
  </r>
  <r>
    <s v="CUS00163"/>
    <d v="2026-07-22T00:00:00"/>
    <x v="1"/>
    <n v="53"/>
    <x v="4"/>
    <x v="0"/>
    <x v="250"/>
    <s v="Male"/>
    <s v="Hargeisa"/>
    <s v="Business Owner"/>
    <s v="Medium"/>
  </r>
  <r>
    <s v="CUS00291"/>
    <d v="2026-07-23T00:00:00"/>
    <x v="1"/>
    <n v="19"/>
    <x v="1"/>
    <x v="2"/>
    <x v="251"/>
    <s v="Male"/>
    <s v="Mogadishu"/>
    <s v="Engineer"/>
    <s v="Medium"/>
  </r>
  <r>
    <s v="CUS00084"/>
    <d v="2026-07-25T00:00:00"/>
    <x v="1"/>
    <n v="62"/>
    <x v="4"/>
    <x v="2"/>
    <x v="252"/>
    <s v="Male"/>
    <s v="Hargeisa"/>
    <s v="Engineer"/>
    <s v="Low"/>
  </r>
  <r>
    <s v="CUS00011"/>
    <d v="2026-07-27T00:00:00"/>
    <x v="2"/>
    <n v="70"/>
    <x v="1"/>
    <x v="1"/>
    <x v="253"/>
    <s v="Missing"/>
    <s v="Mogadishu"/>
    <s v="Healthcare"/>
    <s v="Medium"/>
  </r>
  <r>
    <s v="CUS00158"/>
    <s v="Missing"/>
    <x v="1"/>
    <n v="24"/>
    <x v="3"/>
    <x v="2"/>
    <x v="254"/>
    <s v="Male"/>
    <s v="Bosaso"/>
    <s v="Engineer"/>
    <s v="Low"/>
  </r>
  <r>
    <s v="CUS00031"/>
    <s v="Missing"/>
    <x v="0"/>
    <n v="28"/>
    <x v="2"/>
    <x v="3"/>
    <x v="255"/>
    <s v="Female"/>
    <s v="Baidoa"/>
    <s v="Civil Servant"/>
    <s v="Low"/>
  </r>
  <r>
    <s v="CUS00215"/>
    <s v="Missing"/>
    <x v="1"/>
    <n v="31"/>
    <x v="1"/>
    <x v="0"/>
    <x v="256"/>
    <s v="Male"/>
    <s v="Mogadishu"/>
    <s v="Business Owner"/>
    <s v="High"/>
  </r>
  <r>
    <s v="CUS00265"/>
    <s v="Missing"/>
    <x v="0"/>
    <n v="33"/>
    <x v="1"/>
    <x v="8"/>
    <x v="257"/>
    <s v="Female"/>
    <s v="Mogadishu"/>
    <s v="Civil Servant"/>
    <s v="Medium"/>
  </r>
  <r>
    <s v="CUS00090"/>
    <s v="Missing"/>
    <x v="1"/>
    <n v="33"/>
    <x v="5"/>
    <x v="6"/>
    <x v="258"/>
    <s v="Male"/>
    <s v="Kismayo"/>
    <s v="Self-Employed"/>
    <s v="Low"/>
  </r>
  <r>
    <s v="CUS00034"/>
    <s v="Missing"/>
    <x v="1"/>
    <n v="39"/>
    <x v="2"/>
    <x v="5"/>
    <x v="259"/>
    <s v="Male"/>
    <s v="Baidoa"/>
    <s v="Teacher"/>
    <s v="Medium"/>
  </r>
  <r>
    <s v="CUS00205"/>
    <s v="Missing"/>
    <x v="0"/>
    <n v="40"/>
    <x v="1"/>
    <x v="6"/>
    <x v="260"/>
    <s v="Female"/>
    <s v="Mogadishu"/>
    <s v="Self-Employed"/>
    <s v="Low"/>
  </r>
  <r>
    <s v="CUS00049"/>
    <s v="Missing"/>
    <x v="0"/>
    <n v="44"/>
    <x v="6"/>
    <x v="3"/>
    <x v="48"/>
    <s v="Female"/>
    <s v="Garowe"/>
    <s v="Civil Servant"/>
    <s v="Low"/>
  </r>
  <r>
    <s v="CUS00055"/>
    <s v="Missing"/>
    <x v="0"/>
    <n v="45"/>
    <x v="6"/>
    <x v="1"/>
    <x v="261"/>
    <s v="Female"/>
    <s v="Garowe"/>
    <s v="Healthcare"/>
    <s v="Medium"/>
  </r>
  <r>
    <s v="CUS00057"/>
    <s v="Missing"/>
    <x v="1"/>
    <n v="46"/>
    <x v="5"/>
    <x v="5"/>
    <x v="262"/>
    <s v="Male"/>
    <s v="Kismayo"/>
    <s v="Teacher"/>
    <s v="Low"/>
  </r>
  <r>
    <s v="CUS00071"/>
    <s v="Missing"/>
    <x v="0"/>
    <n v="48"/>
    <x v="6"/>
    <x v="3"/>
    <x v="263"/>
    <s v="Female"/>
    <s v="Garowe"/>
    <s v="Civil Servant"/>
    <s v="Low"/>
  </r>
  <r>
    <m/>
    <s v="Missing"/>
    <x v="1"/>
    <n v="50"/>
    <x v="4"/>
    <x v="0"/>
    <x v="264"/>
    <s v="Male"/>
    <s v="Hargeisa"/>
    <s v="Business Owner"/>
    <s v="High"/>
  </r>
  <r>
    <s v="CUS00020"/>
    <s v="Missing"/>
    <x v="0"/>
    <n v="53"/>
    <x v="3"/>
    <x v="2"/>
    <x v="265"/>
    <s v="Female"/>
    <s v="Bosaso"/>
    <s v="Engineer"/>
    <s v="Low"/>
  </r>
  <r>
    <s v="CUS00130"/>
    <s v="Missing"/>
    <x v="0"/>
    <n v="55"/>
    <x v="5"/>
    <x v="2"/>
    <x v="266"/>
    <s v="Female"/>
    <s v="Kismayo"/>
    <s v="Engineer"/>
    <s v="High"/>
  </r>
  <r>
    <s v="CUS00022"/>
    <s v="Missing"/>
    <x v="0"/>
    <n v="55"/>
    <x v="1"/>
    <x v="3"/>
    <x v="267"/>
    <s v="Female"/>
    <s v="Mogadishu"/>
    <s v="Civil Servant"/>
    <s v="Low"/>
  </r>
  <r>
    <s v="CUS00174"/>
    <s v="Missing"/>
    <x v="1"/>
    <n v="55"/>
    <x v="6"/>
    <x v="5"/>
    <x v="268"/>
    <s v="Male"/>
    <s v="Garowe"/>
    <s v="Teacher"/>
    <s v="Low"/>
  </r>
  <r>
    <s v="CUS00177"/>
    <s v="Missing"/>
    <x v="1"/>
    <n v="57"/>
    <x v="1"/>
    <x v="1"/>
    <x v="269"/>
    <s v="Male"/>
    <s v="Mogadishu"/>
    <s v="Healthcare"/>
    <s v="Low"/>
  </r>
  <r>
    <m/>
    <s v="Missing"/>
    <x v="1"/>
    <n v="63"/>
    <x v="4"/>
    <x v="4"/>
    <x v="270"/>
    <s v="Male"/>
    <s v="Hargeisa"/>
    <s v="Student"/>
    <s v="Low"/>
  </r>
  <r>
    <s v="CUS00099"/>
    <s v="Missing"/>
    <x v="1"/>
    <n v="70"/>
    <x v="3"/>
    <x v="0"/>
    <x v="271"/>
    <s v="Male"/>
    <s v="Bosaso"/>
    <s v="Business Owner"/>
    <s v="Medium"/>
  </r>
  <r>
    <s v="CUS00170"/>
    <s v="Missing"/>
    <x v="1"/>
    <n v="107"/>
    <x v="6"/>
    <x v="2"/>
    <x v="272"/>
    <s v="Male"/>
    <s v="Garowe"/>
    <s v="Engineer"/>
    <s v="Low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5:B13" firstHeaderRow="1" firstDataRow="1" firstDataCol="1"/>
  <pivotFields count="11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>
      <items count="274">
        <item x="94"/>
        <item x="216"/>
        <item x="53"/>
        <item x="9"/>
        <item x="179"/>
        <item x="56"/>
        <item x="233"/>
        <item x="96"/>
        <item x="102"/>
        <item x="221"/>
        <item x="172"/>
        <item x="247"/>
        <item x="67"/>
        <item x="110"/>
        <item x="208"/>
        <item x="240"/>
        <item x="20"/>
        <item x="234"/>
        <item x="204"/>
        <item x="245"/>
        <item x="156"/>
        <item x="191"/>
        <item x="229"/>
        <item x="83"/>
        <item x="137"/>
        <item x="148"/>
        <item x="37"/>
        <item x="70"/>
        <item x="270"/>
        <item x="91"/>
        <item x="7"/>
        <item x="226"/>
        <item x="145"/>
        <item x="182"/>
        <item x="10"/>
        <item x="138"/>
        <item x="268"/>
        <item x="161"/>
        <item x="40"/>
        <item x="155"/>
        <item x="45"/>
        <item x="25"/>
        <item x="153"/>
        <item x="139"/>
        <item x="260"/>
        <item x="98"/>
        <item x="81"/>
        <item x="77"/>
        <item x="177"/>
        <item x="34"/>
        <item x="150"/>
        <item x="87"/>
        <item x="105"/>
        <item x="167"/>
        <item x="23"/>
        <item x="269"/>
        <item x="187"/>
        <item x="115"/>
        <item x="69"/>
        <item x="38"/>
        <item x="18"/>
        <item x="186"/>
        <item x="189"/>
        <item x="201"/>
        <item x="16"/>
        <item x="249"/>
        <item x="239"/>
        <item x="171"/>
        <item x="2"/>
        <item x="254"/>
        <item x="267"/>
        <item x="61"/>
        <item x="165"/>
        <item x="272"/>
        <item x="252"/>
        <item x="168"/>
        <item x="241"/>
        <item x="49"/>
        <item x="198"/>
        <item x="210"/>
        <item x="262"/>
        <item x="24"/>
        <item x="255"/>
        <item x="93"/>
        <item x="88"/>
        <item x="130"/>
        <item x="90"/>
        <item x="236"/>
        <item x="48"/>
        <item x="109"/>
        <item x="131"/>
        <item x="248"/>
        <item x="27"/>
        <item x="127"/>
        <item x="54"/>
        <item x="99"/>
        <item x="76"/>
        <item x="36"/>
        <item x="116"/>
        <item x="244"/>
        <item x="122"/>
        <item x="220"/>
        <item x="212"/>
        <item x="209"/>
        <item x="185"/>
        <item x="149"/>
        <item x="218"/>
        <item x="238"/>
        <item x="225"/>
        <item x="47"/>
        <item x="173"/>
        <item x="217"/>
        <item x="64"/>
        <item x="258"/>
        <item x="89"/>
        <item x="55"/>
        <item x="263"/>
        <item x="170"/>
        <item x="265"/>
        <item x="203"/>
        <item x="62"/>
        <item x="100"/>
        <item x="183"/>
        <item x="3"/>
        <item x="176"/>
        <item x="152"/>
        <item x="73"/>
        <item x="205"/>
        <item x="141"/>
        <item x="160"/>
        <item x="51"/>
        <item x="178"/>
        <item x="106"/>
        <item x="259"/>
        <item x="121"/>
        <item x="26"/>
        <item x="72"/>
        <item x="15"/>
        <item x="84"/>
        <item x="104"/>
        <item x="133"/>
        <item x="181"/>
        <item x="175"/>
        <item x="163"/>
        <item x="199"/>
        <item x="192"/>
        <item x="101"/>
        <item x="223"/>
        <item x="146"/>
        <item x="43"/>
        <item x="74"/>
        <item x="80"/>
        <item x="154"/>
        <item x="6"/>
        <item x="86"/>
        <item x="71"/>
        <item x="214"/>
        <item x="68"/>
        <item x="118"/>
        <item x="144"/>
        <item x="136"/>
        <item x="250"/>
        <item x="123"/>
        <item x="128"/>
        <item x="224"/>
        <item x="85"/>
        <item x="59"/>
        <item x="79"/>
        <item x="184"/>
        <item x="8"/>
        <item x="174"/>
        <item x="13"/>
        <item x="190"/>
        <item x="57"/>
        <item x="222"/>
        <item x="107"/>
        <item x="147"/>
        <item x="30"/>
        <item x="17"/>
        <item x="111"/>
        <item x="32"/>
        <item x="257"/>
        <item x="132"/>
        <item x="261"/>
        <item x="60"/>
        <item x="129"/>
        <item x="11"/>
        <item x="196"/>
        <item x="33"/>
        <item x="12"/>
        <item x="92"/>
        <item x="66"/>
        <item x="157"/>
        <item x="237"/>
        <item x="103"/>
        <item x="188"/>
        <item x="202"/>
        <item x="246"/>
        <item x="75"/>
        <item x="63"/>
        <item x="19"/>
        <item x="159"/>
        <item x="253"/>
        <item x="44"/>
        <item x="135"/>
        <item x="117"/>
        <item x="211"/>
        <item x="95"/>
        <item x="227"/>
        <item x="231"/>
        <item x="31"/>
        <item x="82"/>
        <item x="215"/>
        <item x="140"/>
        <item x="125"/>
        <item x="194"/>
        <item x="195"/>
        <item x="142"/>
        <item x="164"/>
        <item x="21"/>
        <item x="22"/>
        <item x="166"/>
        <item x="151"/>
        <item x="42"/>
        <item x="232"/>
        <item x="271"/>
        <item x="1"/>
        <item x="219"/>
        <item x="193"/>
        <item x="113"/>
        <item x="35"/>
        <item x="230"/>
        <item x="197"/>
        <item x="251"/>
        <item x="78"/>
        <item x="58"/>
        <item x="207"/>
        <item x="134"/>
        <item x="200"/>
        <item x="206"/>
        <item x="119"/>
        <item x="235"/>
        <item x="158"/>
        <item x="213"/>
        <item x="97"/>
        <item x="126"/>
        <item x="112"/>
        <item x="65"/>
        <item x="0"/>
        <item x="52"/>
        <item x="120"/>
        <item x="169"/>
        <item x="29"/>
        <item x="5"/>
        <item x="266"/>
        <item x="114"/>
        <item x="124"/>
        <item x="162"/>
        <item x="108"/>
        <item x="28"/>
        <item x="264"/>
        <item x="46"/>
        <item x="180"/>
        <item x="256"/>
        <item x="4"/>
        <item x="39"/>
        <item x="143"/>
        <item x="228"/>
        <item x="14"/>
        <item x="242"/>
        <item x="243"/>
        <item x="50"/>
        <item x="4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Monthly_Incom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workbookViewId="0">
      <pane ySplit="1" topLeftCell="A258" activePane="bottomLeft" state="frozen"/>
      <selection pane="bottomLeft" activeCell="B259" sqref="B259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2:K65" si="3"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4">PROPER(TRIM(C66))</f>
        <v>Female</v>
      </c>
      <c r="I66" s="6" t="str">
        <f t="shared" ref="I66:I129" si="5">PROPER(TRIM(E66))</f>
        <v>Mogadishu</v>
      </c>
      <c r="J66" s="6" t="str">
        <f t="shared" ref="J66:J129" si="6">PROPER(TRIM(SUBSTITUTE(F66,"CS","Civil Servant")))</f>
        <v>Engineer</v>
      </c>
      <c r="K66" s="6" t="str">
        <f t="shared" ref="K66:K129" si="7"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4"/>
        <v>Female</v>
      </c>
      <c r="I67" s="6" t="str">
        <f t="shared" si="5"/>
        <v>Kismayo</v>
      </c>
      <c r="J67" s="6" t="str">
        <f t="shared" si="6"/>
        <v>Engineer</v>
      </c>
      <c r="K67" s="6" t="str">
        <f t="shared" si="7"/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4"/>
        <v>Female</v>
      </c>
      <c r="I68" s="6" t="str">
        <f t="shared" si="5"/>
        <v>Kismayo</v>
      </c>
      <c r="J68" s="6" t="str">
        <f t="shared" si="6"/>
        <v>Engineer</v>
      </c>
      <c r="K68" s="6" t="str">
        <f t="shared" si="7"/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4"/>
        <v>Female</v>
      </c>
      <c r="I69" s="6" t="str">
        <f t="shared" si="5"/>
        <v>Missing</v>
      </c>
      <c r="J69" s="6" t="str">
        <f t="shared" si="6"/>
        <v>Healthcare</v>
      </c>
      <c r="K69" s="6" t="str">
        <f t="shared" si="7"/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4"/>
        <v>Female</v>
      </c>
      <c r="I70" s="6" t="str">
        <f t="shared" si="5"/>
        <v>Missing</v>
      </c>
      <c r="J70" s="6" t="str">
        <f t="shared" si="6"/>
        <v>Teacher</v>
      </c>
      <c r="K70" s="6" t="str">
        <f t="shared" si="7"/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4"/>
        <v>Male</v>
      </c>
      <c r="I71" s="6" t="str">
        <f t="shared" si="5"/>
        <v>Missing</v>
      </c>
      <c r="J71" s="6" t="str">
        <f t="shared" si="6"/>
        <v>Engineer</v>
      </c>
      <c r="K71" s="6" t="str">
        <f t="shared" si="7"/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4"/>
        <v>Female</v>
      </c>
      <c r="I72" s="6" t="str">
        <f t="shared" si="5"/>
        <v>Mogadishu</v>
      </c>
      <c r="J72" s="6" t="str">
        <f t="shared" si="6"/>
        <v>Civil Servant</v>
      </c>
      <c r="K72" s="6" t="str">
        <f t="shared" si="7"/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4"/>
        <v>Male</v>
      </c>
      <c r="I73" s="6" t="str">
        <f t="shared" si="5"/>
        <v>Mogadishu</v>
      </c>
      <c r="J73" s="6" t="str">
        <f t="shared" si="6"/>
        <v>Civil Servant</v>
      </c>
      <c r="K73" s="6" t="str">
        <f t="shared" si="7"/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4"/>
        <v>Male</v>
      </c>
      <c r="I74" s="6" t="str">
        <f t="shared" si="5"/>
        <v>Mogadishu</v>
      </c>
      <c r="J74" s="6" t="str">
        <f t="shared" si="6"/>
        <v>Missing</v>
      </c>
      <c r="K74" s="6" t="str">
        <f t="shared" si="7"/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4"/>
        <v>Male</v>
      </c>
      <c r="I75" s="6" t="str">
        <f t="shared" si="5"/>
        <v>Mogadishu</v>
      </c>
      <c r="J75" s="6" t="str">
        <f t="shared" si="6"/>
        <v>Self-Employed</v>
      </c>
      <c r="K75" s="6" t="str">
        <f t="shared" si="7"/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Missing</v>
      </c>
      <c r="K76" s="6" t="str">
        <f t="shared" si="7"/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4"/>
        <v>Male</v>
      </c>
      <c r="I77" s="6" t="str">
        <f t="shared" si="5"/>
        <v>Kismayo</v>
      </c>
      <c r="J77" s="6" t="str">
        <f t="shared" si="6"/>
        <v>Student</v>
      </c>
      <c r="K77" s="6" t="str">
        <f t="shared" si="7"/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4"/>
        <v>Male</v>
      </c>
      <c r="I78" s="6" t="str">
        <f t="shared" si="5"/>
        <v>Baidoa</v>
      </c>
      <c r="J78" s="6" t="str">
        <f t="shared" si="6"/>
        <v>Engineer</v>
      </c>
      <c r="K78" s="6" t="str">
        <f t="shared" si="7"/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4"/>
        <v>Female</v>
      </c>
      <c r="I79" s="6" t="str">
        <f t="shared" si="5"/>
        <v>Mogadishu</v>
      </c>
      <c r="J79" s="6" t="str">
        <f t="shared" si="6"/>
        <v>Engineer</v>
      </c>
      <c r="K79" s="6" t="str">
        <f t="shared" si="7"/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4"/>
        <v>Female</v>
      </c>
      <c r="I80" s="6" t="str">
        <f t="shared" si="5"/>
        <v>Mogadishu</v>
      </c>
      <c r="J80" s="6" t="str">
        <f t="shared" si="6"/>
        <v>Engineer</v>
      </c>
      <c r="K80" s="6" t="str">
        <f t="shared" si="7"/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4"/>
        <v>Male</v>
      </c>
      <c r="I81" s="6" t="str">
        <f t="shared" si="5"/>
        <v>Mogadishu</v>
      </c>
      <c r="J81" s="6" t="str">
        <f t="shared" si="6"/>
        <v>Teacher</v>
      </c>
      <c r="K81" s="6" t="str">
        <f t="shared" si="7"/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Business Owner</v>
      </c>
      <c r="K82" s="6" t="str">
        <f t="shared" si="7"/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Engineer</v>
      </c>
      <c r="K83" s="6" t="str">
        <f t="shared" si="7"/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4"/>
        <v>Female</v>
      </c>
      <c r="I84" s="6" t="str">
        <f t="shared" si="5"/>
        <v>Mogadishu</v>
      </c>
      <c r="J84" s="6" t="str">
        <f t="shared" si="6"/>
        <v>Civil Servant</v>
      </c>
      <c r="K84" s="6" t="str">
        <f t="shared" si="7"/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4"/>
        <v>Missing</v>
      </c>
      <c r="I85" s="6" t="str">
        <f t="shared" si="5"/>
        <v>Baidoa</v>
      </c>
      <c r="J85" s="6" t="str">
        <f t="shared" si="6"/>
        <v>Teacher</v>
      </c>
      <c r="K85" s="6" t="str">
        <f t="shared" si="7"/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4"/>
        <v>Female</v>
      </c>
      <c r="I86" s="6" t="str">
        <f t="shared" si="5"/>
        <v>Kismayo</v>
      </c>
      <c r="J86" s="6" t="str">
        <f t="shared" si="6"/>
        <v>Business Owner</v>
      </c>
      <c r="K86" s="6" t="str">
        <f t="shared" si="7"/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4"/>
        <v>Female</v>
      </c>
      <c r="I87" s="6" t="str">
        <f t="shared" si="5"/>
        <v>Mogadishu</v>
      </c>
      <c r="J87" s="6" t="str">
        <f t="shared" si="6"/>
        <v>Teacher</v>
      </c>
      <c r="K87" s="6" t="str">
        <f t="shared" si="7"/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Teacher</v>
      </c>
      <c r="K88" s="6" t="str">
        <f t="shared" si="7"/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4"/>
        <v>Female</v>
      </c>
      <c r="I89" s="6" t="str">
        <f t="shared" si="5"/>
        <v>Mogadishu</v>
      </c>
      <c r="J89" s="6" t="str">
        <f t="shared" si="6"/>
        <v>Self-Employed</v>
      </c>
      <c r="K89" s="6" t="str">
        <f t="shared" si="7"/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4"/>
        <v>Female</v>
      </c>
      <c r="I90" s="6" t="str">
        <f t="shared" si="5"/>
        <v>Hargeisa</v>
      </c>
      <c r="J90" s="6" t="str">
        <f t="shared" si="6"/>
        <v>Healthcare</v>
      </c>
      <c r="K90" s="6" t="str">
        <f t="shared" si="7"/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4"/>
        <v>Male</v>
      </c>
      <c r="I91" s="6" t="str">
        <f t="shared" si="5"/>
        <v>Mogadishu</v>
      </c>
      <c r="J91" s="6" t="str">
        <f t="shared" si="6"/>
        <v>Student</v>
      </c>
      <c r="K91" s="6" t="str">
        <f t="shared" si="7"/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4"/>
        <v>Female</v>
      </c>
      <c r="I92" s="6" t="str">
        <f t="shared" si="5"/>
        <v>Mogadishu</v>
      </c>
      <c r="J92" s="6" t="str">
        <f t="shared" si="6"/>
        <v>Engineer</v>
      </c>
      <c r="K92" s="6" t="str">
        <f t="shared" si="7"/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4"/>
        <v>Female</v>
      </c>
      <c r="I93" s="6" t="str">
        <f t="shared" si="5"/>
        <v>Kismayo</v>
      </c>
      <c r="J93" s="6" t="str">
        <f t="shared" si="6"/>
        <v>Missing</v>
      </c>
      <c r="K93" s="6" t="str">
        <f t="shared" si="7"/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4"/>
        <v>Male</v>
      </c>
      <c r="I94" s="6" t="str">
        <f t="shared" si="5"/>
        <v>Garowe</v>
      </c>
      <c r="J94" s="6" t="str">
        <f t="shared" si="6"/>
        <v>Teacher</v>
      </c>
      <c r="K94" s="6" t="str">
        <f t="shared" si="7"/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4"/>
        <v>Missing</v>
      </c>
      <c r="I95" s="6" t="str">
        <f t="shared" si="5"/>
        <v>Mogadishu</v>
      </c>
      <c r="J95" s="6" t="str">
        <f t="shared" si="6"/>
        <v>Civil Servant</v>
      </c>
      <c r="K95" s="6" t="str">
        <f t="shared" si="7"/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4"/>
        <v>Male</v>
      </c>
      <c r="I96" s="6" t="str">
        <f t="shared" si="5"/>
        <v>Kismayo</v>
      </c>
      <c r="J96" s="6" t="str">
        <f t="shared" si="6"/>
        <v>Teacher</v>
      </c>
      <c r="K96" s="6" t="str">
        <f t="shared" si="7"/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4"/>
        <v>Female</v>
      </c>
      <c r="I97" s="6" t="str">
        <f t="shared" si="5"/>
        <v>Hargeisa</v>
      </c>
      <c r="J97" s="6" t="str">
        <f t="shared" si="6"/>
        <v>Teacher</v>
      </c>
      <c r="K97" s="6" t="str">
        <f t="shared" si="7"/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4"/>
        <v>Female</v>
      </c>
      <c r="I98" s="6" t="str">
        <f t="shared" si="5"/>
        <v>Hargeisa</v>
      </c>
      <c r="J98" s="6" t="str">
        <f t="shared" si="6"/>
        <v>Self-Employed</v>
      </c>
      <c r="K98" s="6" t="str">
        <f t="shared" si="7"/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4"/>
        <v>Female</v>
      </c>
      <c r="I99" s="6" t="str">
        <f t="shared" si="5"/>
        <v>Kismayo</v>
      </c>
      <c r="J99" s="6" t="str">
        <f t="shared" si="6"/>
        <v>Business Owner</v>
      </c>
      <c r="K99" s="6" t="str">
        <f t="shared" si="7"/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4"/>
        <v>Female</v>
      </c>
      <c r="I100" s="6" t="str">
        <f t="shared" si="5"/>
        <v>Baidoa</v>
      </c>
      <c r="J100" s="6" t="str">
        <f t="shared" si="6"/>
        <v>Student</v>
      </c>
      <c r="K100" s="6" t="str">
        <f t="shared" si="7"/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4"/>
        <v>Male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4"/>
        <v>Male</v>
      </c>
      <c r="I103" s="6" t="str">
        <f t="shared" si="5"/>
        <v>Bosaso</v>
      </c>
      <c r="J103" s="6" t="str">
        <f t="shared" si="6"/>
        <v>Student</v>
      </c>
      <c r="K103" s="6" t="str">
        <f t="shared" si="7"/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4"/>
        <v>Female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4"/>
        <v>Male</v>
      </c>
      <c r="I105" s="6" t="str">
        <f t="shared" si="5"/>
        <v>Baidoa</v>
      </c>
      <c r="J105" s="6" t="str">
        <f t="shared" si="6"/>
        <v>Student</v>
      </c>
      <c r="K105" s="6" t="str">
        <f t="shared" si="7"/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4"/>
        <v>Female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Self-Employed</v>
      </c>
      <c r="K107" s="6" t="str">
        <f t="shared" si="7"/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4"/>
        <v>Female</v>
      </c>
      <c r="I108" s="6" t="str">
        <f t="shared" si="5"/>
        <v>Mogadishu</v>
      </c>
      <c r="J108" s="6" t="str">
        <f t="shared" si="6"/>
        <v>Missing</v>
      </c>
      <c r="K108" s="6" t="str">
        <f t="shared" si="7"/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4"/>
        <v>Female</v>
      </c>
      <c r="I109" s="6" t="str">
        <f t="shared" si="5"/>
        <v>Hargeisa</v>
      </c>
      <c r="J109" s="6" t="str">
        <f t="shared" si="6"/>
        <v>Business Owner</v>
      </c>
      <c r="K109" s="6" t="str">
        <f t="shared" si="7"/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4"/>
        <v>Female</v>
      </c>
      <c r="I110" s="6" t="str">
        <f t="shared" si="5"/>
        <v>Hargeisa</v>
      </c>
      <c r="J110" s="6" t="str">
        <f t="shared" si="6"/>
        <v>Teacher</v>
      </c>
      <c r="K110" s="6" t="str">
        <f t="shared" si="7"/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4"/>
        <v>Male</v>
      </c>
      <c r="I111" s="6" t="str">
        <f t="shared" si="5"/>
        <v>Mogadishu</v>
      </c>
      <c r="J111" s="6" t="str">
        <f t="shared" si="6"/>
        <v>Student</v>
      </c>
      <c r="K111" s="6" t="str">
        <f t="shared" si="7"/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4"/>
        <v>Male</v>
      </c>
      <c r="I112" s="6" t="str">
        <f t="shared" si="5"/>
        <v>Kismayo</v>
      </c>
      <c r="J112" s="6" t="str">
        <f t="shared" si="6"/>
        <v>Healthcare</v>
      </c>
      <c r="K112" s="6" t="str">
        <f t="shared" si="7"/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4"/>
        <v>Male</v>
      </c>
      <c r="I113" s="6" t="str">
        <f t="shared" si="5"/>
        <v>Mogadishu</v>
      </c>
      <c r="J113" s="6" t="str">
        <f t="shared" si="6"/>
        <v>Civil Servant</v>
      </c>
      <c r="K113" s="6" t="str">
        <f t="shared" si="7"/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4"/>
        <v>Male</v>
      </c>
      <c r="I114" s="6" t="str">
        <f t="shared" si="5"/>
        <v>Baidoa</v>
      </c>
      <c r="J114" s="6" t="str">
        <f t="shared" si="6"/>
        <v>Missing</v>
      </c>
      <c r="K114" s="6" t="str">
        <f t="shared" si="7"/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4"/>
        <v>Male</v>
      </c>
      <c r="I115" s="6" t="str">
        <f t="shared" si="5"/>
        <v>Hargeisa</v>
      </c>
      <c r="J115" s="6" t="str">
        <f t="shared" si="6"/>
        <v>Civil Servant</v>
      </c>
      <c r="K115" s="6" t="str">
        <f t="shared" si="7"/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4"/>
        <v>Male</v>
      </c>
      <c r="I116" s="6" t="str">
        <f t="shared" si="5"/>
        <v>Bosaso</v>
      </c>
      <c r="J116" s="6" t="str">
        <f t="shared" si="6"/>
        <v>Teacher</v>
      </c>
      <c r="K116" s="6" t="str">
        <f t="shared" si="7"/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4"/>
        <v>Male</v>
      </c>
      <c r="I117" s="6" t="str">
        <f t="shared" si="5"/>
        <v>Kismayo</v>
      </c>
      <c r="J117" s="6" t="str">
        <f t="shared" si="6"/>
        <v>Teacher</v>
      </c>
      <c r="K117" s="6" t="str">
        <f t="shared" si="7"/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4"/>
        <v>Female</v>
      </c>
      <c r="I118" s="6" t="str">
        <f t="shared" si="5"/>
        <v>Mogadishu</v>
      </c>
      <c r="J118" s="6" t="str">
        <f t="shared" si="6"/>
        <v>Student</v>
      </c>
      <c r="K118" s="6" t="str">
        <f t="shared" si="7"/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4"/>
        <v>Male</v>
      </c>
      <c r="I119" s="6" t="str">
        <f t="shared" si="5"/>
        <v>Mogadishu</v>
      </c>
      <c r="J119" s="6" t="str">
        <f t="shared" si="6"/>
        <v>Self-Employed</v>
      </c>
      <c r="K119" s="6" t="str">
        <f t="shared" si="7"/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4"/>
        <v>Male</v>
      </c>
      <c r="I120" s="6" t="str">
        <f t="shared" si="5"/>
        <v>Hargeisa</v>
      </c>
      <c r="J120" s="6" t="str">
        <f t="shared" si="6"/>
        <v>Business Owner</v>
      </c>
      <c r="K120" s="6" t="str">
        <f t="shared" si="7"/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4"/>
        <v>Male</v>
      </c>
      <c r="I121" s="6" t="str">
        <f t="shared" si="5"/>
        <v>Mogadishu</v>
      </c>
      <c r="J121" s="6" t="str">
        <f t="shared" si="6"/>
        <v>Teacher</v>
      </c>
      <c r="K121" s="6" t="str">
        <f t="shared" si="7"/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4"/>
        <v>Male</v>
      </c>
      <c r="I122" s="6" t="str">
        <f t="shared" si="5"/>
        <v>Missing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4"/>
        <v>Male</v>
      </c>
      <c r="I123" s="6" t="str">
        <f t="shared" si="5"/>
        <v>Mogadishu</v>
      </c>
      <c r="J123" s="6" t="str">
        <f t="shared" si="6"/>
        <v>Self-Employed</v>
      </c>
      <c r="K123" s="6" t="str">
        <f t="shared" si="7"/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4"/>
        <v>Male</v>
      </c>
      <c r="I124" s="6" t="str">
        <f t="shared" si="5"/>
        <v>Baidoa</v>
      </c>
      <c r="J124" s="6" t="str">
        <f t="shared" si="6"/>
        <v>Engineer</v>
      </c>
      <c r="K124" s="6" t="str">
        <f t="shared" si="7"/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4"/>
        <v>Male</v>
      </c>
      <c r="I125" s="6" t="str">
        <f t="shared" si="5"/>
        <v>Mogadishu</v>
      </c>
      <c r="J125" s="6" t="str">
        <f t="shared" si="6"/>
        <v>Business Owner</v>
      </c>
      <c r="K125" s="6" t="str">
        <f t="shared" si="7"/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4"/>
        <v>Female</v>
      </c>
      <c r="I126" s="6" t="str">
        <f t="shared" si="5"/>
        <v>Kismayo</v>
      </c>
      <c r="J126" s="6" t="str">
        <f t="shared" si="6"/>
        <v>Engineer</v>
      </c>
      <c r="K126" s="6" t="str">
        <f t="shared" si="7"/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4"/>
        <v>Male</v>
      </c>
      <c r="I127" s="6" t="str">
        <f t="shared" si="5"/>
        <v>Hargeisa</v>
      </c>
      <c r="J127" s="6" t="str">
        <f t="shared" si="6"/>
        <v>Teacher</v>
      </c>
      <c r="K127" s="6" t="str">
        <f t="shared" si="7"/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Self-Employed</v>
      </c>
      <c r="K128" s="6" t="str">
        <f t="shared" si="7"/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4"/>
        <v>Male</v>
      </c>
      <c r="I129" s="6" t="str">
        <f t="shared" si="5"/>
        <v>Missing</v>
      </c>
      <c r="J129" s="6" t="str">
        <f t="shared" si="6"/>
        <v>Student</v>
      </c>
      <c r="K129" s="6" t="str">
        <f t="shared" si="7"/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8">PROPER(TRIM(C130))</f>
        <v>Male</v>
      </c>
      <c r="I130" s="6" t="str">
        <f t="shared" ref="I130:I193" si="9">PROPER(TRIM(E130))</f>
        <v>Kismayo</v>
      </c>
      <c r="J130" s="6" t="str">
        <f t="shared" ref="J130:J193" si="10">PROPER(TRIM(SUBSTITUTE(F130,"CS","Civil Servant")))</f>
        <v>Healthcare</v>
      </c>
      <c r="K130" s="6" t="str">
        <f t="shared" ref="K130:K193" si="11"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8"/>
        <v>Male</v>
      </c>
      <c r="I131" s="6" t="str">
        <f t="shared" si="9"/>
        <v>Bosaso</v>
      </c>
      <c r="J131" s="6" t="str">
        <f t="shared" si="10"/>
        <v>Business Owner</v>
      </c>
      <c r="K131" s="6" t="str">
        <f t="shared" si="11"/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8"/>
        <v>Male</v>
      </c>
      <c r="I132" s="6" t="str">
        <f t="shared" si="9"/>
        <v>Hargeisa</v>
      </c>
      <c r="J132" s="6" t="str">
        <f t="shared" si="10"/>
        <v>Engineer</v>
      </c>
      <c r="K132" s="6" t="str">
        <f t="shared" si="11"/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8"/>
        <v>Female</v>
      </c>
      <c r="I133" s="6" t="str">
        <f t="shared" si="9"/>
        <v>Mogadishu</v>
      </c>
      <c r="J133" s="6" t="str">
        <f t="shared" si="10"/>
        <v>Teacher</v>
      </c>
      <c r="K133" s="6" t="str">
        <f t="shared" si="11"/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8"/>
        <v>Male</v>
      </c>
      <c r="I134" s="6" t="str">
        <f t="shared" si="9"/>
        <v>Bosaso</v>
      </c>
      <c r="J134" s="6" t="str">
        <f t="shared" si="10"/>
        <v>Engineer</v>
      </c>
      <c r="K134" s="6" t="str">
        <f t="shared" si="11"/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8"/>
        <v>Male</v>
      </c>
      <c r="I135" s="6" t="str">
        <f t="shared" si="9"/>
        <v>Kismayo</v>
      </c>
      <c r="J135" s="6" t="str">
        <f t="shared" si="10"/>
        <v>Teacher</v>
      </c>
      <c r="K135" s="6" t="str">
        <f t="shared" si="11"/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8"/>
        <v>Female</v>
      </c>
      <c r="I136" s="6" t="str">
        <f t="shared" si="9"/>
        <v>Hargeisa</v>
      </c>
      <c r="J136" s="6" t="str">
        <f t="shared" si="10"/>
        <v>Missing</v>
      </c>
      <c r="K136" s="6" t="str">
        <f t="shared" si="11"/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8"/>
        <v>Female</v>
      </c>
      <c r="I137" s="6" t="str">
        <f t="shared" si="9"/>
        <v>Mogadishu</v>
      </c>
      <c r="J137" s="6" t="str">
        <f t="shared" si="10"/>
        <v>Missing</v>
      </c>
      <c r="K137" s="6" t="str">
        <f t="shared" si="11"/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8"/>
        <v>Female</v>
      </c>
      <c r="I138" s="6" t="str">
        <f t="shared" si="9"/>
        <v>Garowe</v>
      </c>
      <c r="J138" s="6" t="str">
        <f t="shared" si="10"/>
        <v>Business Owner</v>
      </c>
      <c r="K138" s="6" t="str">
        <f t="shared" si="11"/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8"/>
        <v>Female</v>
      </c>
      <c r="I139" s="6" t="str">
        <f t="shared" si="9"/>
        <v>Mogadishu</v>
      </c>
      <c r="J139" s="6" t="str">
        <f t="shared" si="10"/>
        <v>Self-Employed</v>
      </c>
      <c r="K139" s="6" t="str">
        <f t="shared" si="11"/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8"/>
        <v>Female</v>
      </c>
      <c r="I140" s="6" t="str">
        <f t="shared" si="9"/>
        <v>Baidoa</v>
      </c>
      <c r="J140" s="6" t="str">
        <f t="shared" si="10"/>
        <v>Engineer</v>
      </c>
      <c r="K140" s="6" t="str">
        <f t="shared" si="11"/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8"/>
        <v>Female</v>
      </c>
      <c r="I141" s="6" t="str">
        <f t="shared" si="9"/>
        <v>Kismayo</v>
      </c>
      <c r="J141" s="6" t="str">
        <f t="shared" si="10"/>
        <v>Business Owner</v>
      </c>
      <c r="K141" s="6" t="str">
        <f t="shared" si="11"/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8"/>
        <v>Female</v>
      </c>
      <c r="I142" s="6" t="str">
        <f t="shared" si="9"/>
        <v>Hargeisa</v>
      </c>
      <c r="J142" s="6" t="str">
        <f t="shared" si="10"/>
        <v>Civil Servant</v>
      </c>
      <c r="K142" s="6" t="str">
        <f t="shared" si="11"/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8"/>
        <v>Female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8"/>
        <v>Female</v>
      </c>
      <c r="I144" s="6" t="str">
        <f t="shared" si="9"/>
        <v>Mogadishu</v>
      </c>
      <c r="J144" s="6" t="str">
        <f t="shared" si="10"/>
        <v>Civil Servant</v>
      </c>
      <c r="K144" s="6" t="str">
        <f t="shared" si="11"/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8"/>
        <v>Female</v>
      </c>
      <c r="I145" s="6" t="str">
        <f t="shared" si="9"/>
        <v>Hargeisa</v>
      </c>
      <c r="J145" s="6" t="str">
        <f t="shared" si="10"/>
        <v>Missing</v>
      </c>
      <c r="K145" s="6" t="str">
        <f t="shared" si="11"/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8"/>
        <v>Female</v>
      </c>
      <c r="I146" s="6" t="str">
        <f t="shared" si="9"/>
        <v>Mogadishu</v>
      </c>
      <c r="J146" s="6" t="str">
        <f t="shared" si="10"/>
        <v>Business Owner</v>
      </c>
      <c r="K146" s="6" t="str">
        <f t="shared" si="11"/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8"/>
        <v>Male</v>
      </c>
      <c r="I147" s="6" t="str">
        <f t="shared" si="9"/>
        <v>Mogadishu</v>
      </c>
      <c r="J147" s="6" t="str">
        <f t="shared" si="10"/>
        <v>Missing</v>
      </c>
      <c r="K147" s="6" t="str">
        <f t="shared" si="11"/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8"/>
        <v>Female</v>
      </c>
      <c r="I148" s="6" t="str">
        <f t="shared" si="9"/>
        <v>Garowe</v>
      </c>
      <c r="J148" s="6" t="str">
        <f t="shared" si="10"/>
        <v>Healthcare</v>
      </c>
      <c r="K148" s="6" t="str">
        <f t="shared" si="11"/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8"/>
        <v>Male</v>
      </c>
      <c r="I149" s="6" t="str">
        <f t="shared" si="9"/>
        <v>Kismayo</v>
      </c>
      <c r="J149" s="6" t="str">
        <f t="shared" si="10"/>
        <v>Civil Servant</v>
      </c>
      <c r="K149" s="6" t="str">
        <f t="shared" si="11"/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8"/>
        <v>Male</v>
      </c>
      <c r="I150" s="6" t="str">
        <f t="shared" si="9"/>
        <v>Bosaso</v>
      </c>
      <c r="J150" s="6" t="str">
        <f t="shared" si="10"/>
        <v>Civil Servant</v>
      </c>
      <c r="K150" s="6" t="str">
        <f t="shared" si="11"/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8"/>
        <v>Female</v>
      </c>
      <c r="I151" s="6" t="str">
        <f t="shared" si="9"/>
        <v>Bosaso</v>
      </c>
      <c r="J151" s="6" t="str">
        <f t="shared" si="10"/>
        <v>Student</v>
      </c>
      <c r="K151" s="6" t="str">
        <f t="shared" si="11"/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8"/>
        <v>Male</v>
      </c>
      <c r="I152" s="6" t="str">
        <f t="shared" si="9"/>
        <v>Kismayo</v>
      </c>
      <c r="J152" s="6" t="str">
        <f t="shared" si="10"/>
        <v>Student</v>
      </c>
      <c r="K152" s="6" t="str">
        <f t="shared" si="11"/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8"/>
        <v>Male</v>
      </c>
      <c r="I153" s="6" t="str">
        <f t="shared" si="9"/>
        <v>Hargeisa</v>
      </c>
      <c r="J153" s="6" t="str">
        <f t="shared" si="10"/>
        <v>Self-Employed</v>
      </c>
      <c r="K153" s="6" t="str">
        <f t="shared" si="11"/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8"/>
        <v>Missing</v>
      </c>
      <c r="I154" s="6" t="str">
        <f t="shared" si="9"/>
        <v>Bosaso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8"/>
        <v>Male</v>
      </c>
      <c r="I155" s="6" t="str">
        <f t="shared" si="9"/>
        <v>Mogadishu</v>
      </c>
      <c r="J155" s="6" t="str">
        <f t="shared" si="10"/>
        <v>Engineer</v>
      </c>
      <c r="K155" s="6" t="str">
        <f t="shared" si="11"/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8"/>
        <v>Female</v>
      </c>
      <c r="I156" s="6" t="str">
        <f t="shared" si="9"/>
        <v>Bosaso</v>
      </c>
      <c r="J156" s="6" t="str">
        <f t="shared" si="10"/>
        <v>Healthcare</v>
      </c>
      <c r="K156" s="6" t="str">
        <f t="shared" si="11"/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8"/>
        <v>Missing</v>
      </c>
      <c r="I157" s="6" t="str">
        <f t="shared" si="9"/>
        <v>Mogadishu</v>
      </c>
      <c r="J157" s="6" t="str">
        <f t="shared" si="10"/>
        <v>Business Owner</v>
      </c>
      <c r="K157" s="6" t="str">
        <f t="shared" si="11"/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8"/>
        <v>Female</v>
      </c>
      <c r="I158" s="6" t="str">
        <f t="shared" si="9"/>
        <v>Mogadishu</v>
      </c>
      <c r="J158" s="6" t="str">
        <f t="shared" si="10"/>
        <v>Teacher</v>
      </c>
      <c r="K158" s="6" t="str">
        <f t="shared" si="11"/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8"/>
        <v>Female</v>
      </c>
      <c r="I159" s="6" t="str">
        <f t="shared" si="9"/>
        <v>Mogadishu</v>
      </c>
      <c r="J159" s="6" t="str">
        <f t="shared" si="10"/>
        <v>Student</v>
      </c>
      <c r="K159" s="6" t="str">
        <f t="shared" si="11"/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8"/>
        <v>Male</v>
      </c>
      <c r="I160" s="6" t="str">
        <f t="shared" si="9"/>
        <v>Bosaso</v>
      </c>
      <c r="J160" s="6" t="str">
        <f t="shared" si="10"/>
        <v>Civil Servant</v>
      </c>
      <c r="K160" s="6" t="str">
        <f t="shared" si="11"/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8"/>
        <v>Male</v>
      </c>
      <c r="I161" s="6" t="str">
        <f t="shared" si="9"/>
        <v>Hargeisa</v>
      </c>
      <c r="J161" s="6" t="str">
        <f t="shared" si="10"/>
        <v>Healthcare</v>
      </c>
      <c r="K161" s="6" t="str">
        <f t="shared" si="11"/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8"/>
        <v>Male</v>
      </c>
      <c r="I162" s="6" t="str">
        <f t="shared" si="9"/>
        <v>Bosaso</v>
      </c>
      <c r="J162" s="6" t="str">
        <f t="shared" si="10"/>
        <v>Student</v>
      </c>
      <c r="K162" s="6" t="str">
        <f t="shared" si="11"/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8"/>
        <v>Female</v>
      </c>
      <c r="I163" s="6" t="str">
        <f t="shared" si="9"/>
        <v>Hargeisa</v>
      </c>
      <c r="J163" s="6" t="str">
        <f t="shared" si="10"/>
        <v>Self-Employed</v>
      </c>
      <c r="K163" s="6" t="str">
        <f t="shared" si="11"/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8"/>
        <v>Female</v>
      </c>
      <c r="I164" s="6" t="str">
        <f t="shared" si="9"/>
        <v>Bosaso</v>
      </c>
      <c r="J164" s="6" t="str">
        <f t="shared" si="10"/>
        <v>Self-Employed</v>
      </c>
      <c r="K164" s="6" t="str">
        <f t="shared" si="11"/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8"/>
        <v>Female</v>
      </c>
      <c r="I165" s="6" t="str">
        <f t="shared" si="9"/>
        <v>Bosaso</v>
      </c>
      <c r="J165" s="6" t="str">
        <f t="shared" si="10"/>
        <v>Self-Employed</v>
      </c>
      <c r="K165" s="6" t="str">
        <f t="shared" si="11"/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8"/>
        <v>Female</v>
      </c>
      <c r="I166" s="6" t="str">
        <f t="shared" si="9"/>
        <v>Mogadishu</v>
      </c>
      <c r="J166" s="6" t="str">
        <f t="shared" si="10"/>
        <v>Self-Employed</v>
      </c>
      <c r="K166" s="6" t="str">
        <f t="shared" si="11"/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8"/>
        <v>Female</v>
      </c>
      <c r="I167" s="6" t="str">
        <f t="shared" si="9"/>
        <v>Bosaso</v>
      </c>
      <c r="J167" s="6" t="str">
        <f t="shared" si="10"/>
        <v>Teacher</v>
      </c>
      <c r="K167" s="6" t="str">
        <f t="shared" si="11"/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8"/>
        <v>Male</v>
      </c>
      <c r="I168" s="6" t="str">
        <f t="shared" si="9"/>
        <v>Kismayo</v>
      </c>
      <c r="J168" s="6" t="str">
        <f t="shared" si="10"/>
        <v>Civil Servant</v>
      </c>
      <c r="K168" s="6" t="str">
        <f t="shared" si="11"/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8"/>
        <v>Missing</v>
      </c>
      <c r="I169" s="6" t="str">
        <f t="shared" si="9"/>
        <v>Mogadishu</v>
      </c>
      <c r="J169" s="6" t="str">
        <f t="shared" si="10"/>
        <v>Civil Servant</v>
      </c>
      <c r="K169" s="6" t="str">
        <f t="shared" si="11"/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8"/>
        <v>Male</v>
      </c>
      <c r="I170" s="6" t="str">
        <f t="shared" si="9"/>
        <v>Mogadishu</v>
      </c>
      <c r="J170" s="6" t="str">
        <f t="shared" si="10"/>
        <v>Student</v>
      </c>
      <c r="K170" s="6" t="str">
        <f t="shared" si="11"/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8"/>
        <v>Missing</v>
      </c>
      <c r="I171" s="6" t="str">
        <f t="shared" si="9"/>
        <v>Baidoa</v>
      </c>
      <c r="J171" s="6" t="str">
        <f t="shared" si="10"/>
        <v>Engineer</v>
      </c>
      <c r="K171" s="6" t="str">
        <f t="shared" si="11"/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8"/>
        <v>Male</v>
      </c>
      <c r="I172" s="6" t="str">
        <f t="shared" si="9"/>
        <v>Baidoa</v>
      </c>
      <c r="J172" s="6" t="str">
        <f t="shared" si="10"/>
        <v>Healthcare</v>
      </c>
      <c r="K172" s="6" t="str">
        <f t="shared" si="11"/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Business Owner</v>
      </c>
      <c r="K173" s="6" t="str">
        <f t="shared" si="11"/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8"/>
        <v>Female</v>
      </c>
      <c r="I174" s="6" t="str">
        <f t="shared" si="9"/>
        <v>Mogadishu</v>
      </c>
      <c r="J174" s="6" t="str">
        <f t="shared" si="10"/>
        <v>Business Owner</v>
      </c>
      <c r="K174" s="6" t="str">
        <f t="shared" si="11"/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8"/>
        <v>Female</v>
      </c>
      <c r="I175" s="6" t="str">
        <f t="shared" si="9"/>
        <v>Kismayo</v>
      </c>
      <c r="J175" s="6" t="str">
        <f t="shared" si="10"/>
        <v>Engineer</v>
      </c>
      <c r="K175" s="6" t="str">
        <f t="shared" si="11"/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8"/>
        <v>Male</v>
      </c>
      <c r="I176" s="6" t="str">
        <f t="shared" si="9"/>
        <v>Mogadishu</v>
      </c>
      <c r="J176" s="6" t="str">
        <f t="shared" si="10"/>
        <v>Teacher</v>
      </c>
      <c r="K176" s="6" t="str">
        <f t="shared" si="11"/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Business Owner</v>
      </c>
      <c r="K177" s="6" t="str">
        <f t="shared" si="11"/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8"/>
        <v>Female</v>
      </c>
      <c r="I178" s="6" t="str">
        <f t="shared" si="9"/>
        <v>Garowe</v>
      </c>
      <c r="J178" s="6" t="str">
        <f t="shared" si="10"/>
        <v>Teacher</v>
      </c>
      <c r="K178" s="6" t="str">
        <f t="shared" si="11"/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8"/>
        <v>Female</v>
      </c>
      <c r="I179" s="6" t="str">
        <f t="shared" si="9"/>
        <v>Kismayo</v>
      </c>
      <c r="J179" s="6" t="str">
        <f t="shared" si="10"/>
        <v>Business Owner</v>
      </c>
      <c r="K179" s="6" t="str">
        <f t="shared" si="11"/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8"/>
        <v>Female</v>
      </c>
      <c r="I180" s="6" t="str">
        <f t="shared" si="9"/>
        <v>Mogadishu</v>
      </c>
      <c r="J180" s="6" t="str">
        <f t="shared" si="10"/>
        <v>Engineer</v>
      </c>
      <c r="K180" s="6" t="str">
        <f t="shared" si="11"/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8"/>
        <v>Male</v>
      </c>
      <c r="I181" s="6" t="str">
        <f t="shared" si="9"/>
        <v>Kismayo</v>
      </c>
      <c r="J181" s="6" t="str">
        <f t="shared" si="10"/>
        <v>Engineer</v>
      </c>
      <c r="K181" s="6" t="str">
        <f t="shared" si="11"/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8"/>
        <v>Male</v>
      </c>
      <c r="I182" s="6" t="str">
        <f t="shared" si="9"/>
        <v>Bosaso</v>
      </c>
      <c r="J182" s="6" t="str">
        <f t="shared" si="10"/>
        <v>Self-Employed</v>
      </c>
      <c r="K182" s="6" t="str">
        <f t="shared" si="11"/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8"/>
        <v>Missing</v>
      </c>
      <c r="I183" s="6" t="str">
        <f t="shared" si="9"/>
        <v>Bosaso</v>
      </c>
      <c r="J183" s="6" t="str">
        <f t="shared" si="10"/>
        <v>Self-Employed</v>
      </c>
      <c r="K183" s="6" t="str">
        <f t="shared" si="11"/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8"/>
        <v>Male</v>
      </c>
      <c r="I184" s="6" t="str">
        <f t="shared" si="9"/>
        <v>Missing</v>
      </c>
      <c r="J184" s="6" t="str">
        <f t="shared" si="10"/>
        <v>Business Owner</v>
      </c>
      <c r="K184" s="6" t="str">
        <f t="shared" si="11"/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8"/>
        <v>Male</v>
      </c>
      <c r="I185" s="6" t="str">
        <f t="shared" si="9"/>
        <v>Hargeisa</v>
      </c>
      <c r="J185" s="6" t="str">
        <f t="shared" si="10"/>
        <v>Healthcare</v>
      </c>
      <c r="K185" s="6" t="str">
        <f t="shared" si="11"/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8"/>
        <v>Female</v>
      </c>
      <c r="I186" s="6" t="str">
        <f t="shared" si="9"/>
        <v>Baidoa</v>
      </c>
      <c r="J186" s="6" t="str">
        <f t="shared" si="10"/>
        <v>Engineer</v>
      </c>
      <c r="K186" s="6" t="str">
        <f t="shared" si="11"/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8"/>
        <v>Male</v>
      </c>
      <c r="I187" s="6" t="str">
        <f t="shared" si="9"/>
        <v>Mogadishu</v>
      </c>
      <c r="J187" s="6" t="str">
        <f t="shared" si="10"/>
        <v>Student</v>
      </c>
      <c r="K187" s="6" t="str">
        <f t="shared" si="11"/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8"/>
        <v>Female</v>
      </c>
      <c r="I188" s="6" t="str">
        <f t="shared" si="9"/>
        <v>Mogadishu</v>
      </c>
      <c r="J188" s="6" t="str">
        <f t="shared" si="10"/>
        <v>Self-Employed</v>
      </c>
      <c r="K188" s="6" t="str">
        <f t="shared" si="11"/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8"/>
        <v>Female</v>
      </c>
      <c r="I189" s="6" t="str">
        <f t="shared" si="9"/>
        <v>Bosaso</v>
      </c>
      <c r="J189" s="6" t="str">
        <f t="shared" si="10"/>
        <v>Business Owner</v>
      </c>
      <c r="K189" s="6" t="str">
        <f t="shared" si="11"/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8"/>
        <v>Male</v>
      </c>
      <c r="I190" s="6" t="str">
        <f t="shared" si="9"/>
        <v>Garowe</v>
      </c>
      <c r="J190" s="6" t="str">
        <f t="shared" si="10"/>
        <v>Healthcare</v>
      </c>
      <c r="K190" s="6" t="str">
        <f t="shared" si="11"/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8"/>
        <v>Missing</v>
      </c>
      <c r="I191" s="6" t="str">
        <f t="shared" si="9"/>
        <v>Mogadishu</v>
      </c>
      <c r="J191" s="6" t="str">
        <f t="shared" si="10"/>
        <v>Teacher</v>
      </c>
      <c r="K191" s="6" t="str">
        <f t="shared" si="11"/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8"/>
        <v>Female</v>
      </c>
      <c r="I192" s="6" t="str">
        <f t="shared" si="9"/>
        <v>Baidoa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8"/>
        <v>Female</v>
      </c>
      <c r="I193" s="6" t="str">
        <f t="shared" si="9"/>
        <v>Missing</v>
      </c>
      <c r="J193" s="6" t="str">
        <f t="shared" si="10"/>
        <v>Self-Employed</v>
      </c>
      <c r="K193" s="6" t="str">
        <f t="shared" si="11"/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2">PROPER(TRIM(C194))</f>
        <v>Female</v>
      </c>
      <c r="I194" s="6" t="str">
        <f t="shared" ref="I194:I257" si="13">PROPER(TRIM(E194))</f>
        <v>Baidoa</v>
      </c>
      <c r="J194" s="6" t="str">
        <f t="shared" ref="J194:J257" si="14">PROPER(TRIM(SUBSTITUTE(F194,"CS","Civil Servant")))</f>
        <v>Student</v>
      </c>
      <c r="K194" s="6" t="str">
        <f t="shared" ref="K194:K257" si="15"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2"/>
        <v>Female</v>
      </c>
      <c r="I195" s="6" t="str">
        <f t="shared" si="13"/>
        <v>Bosaso</v>
      </c>
      <c r="J195" s="6" t="str">
        <f t="shared" si="14"/>
        <v>Business Owner</v>
      </c>
      <c r="K195" s="6" t="str">
        <f t="shared" si="15"/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2"/>
        <v>Female</v>
      </c>
      <c r="I196" s="6" t="str">
        <f t="shared" si="13"/>
        <v>Baidoa</v>
      </c>
      <c r="J196" s="6" t="str">
        <f t="shared" si="14"/>
        <v>Healthcare</v>
      </c>
      <c r="K196" s="6" t="str">
        <f t="shared" si="15"/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2"/>
        <v>Male</v>
      </c>
      <c r="I197" s="6" t="str">
        <f t="shared" si="13"/>
        <v>Garowe</v>
      </c>
      <c r="J197" s="6" t="str">
        <f t="shared" si="14"/>
        <v>Teacher</v>
      </c>
      <c r="K197" s="6" t="str">
        <f t="shared" si="15"/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2"/>
        <v>Female</v>
      </c>
      <c r="I198" s="6" t="str">
        <f t="shared" si="13"/>
        <v>Mogadishu</v>
      </c>
      <c r="J198" s="6" t="str">
        <f t="shared" si="14"/>
        <v>Self-Employed</v>
      </c>
      <c r="K198" s="6" t="str">
        <f t="shared" si="15"/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2"/>
        <v>Female</v>
      </c>
      <c r="I199" s="6" t="str">
        <f t="shared" si="13"/>
        <v>Bosaso</v>
      </c>
      <c r="J199" s="6" t="str">
        <f t="shared" si="14"/>
        <v>Student</v>
      </c>
      <c r="K199" s="6" t="str">
        <f t="shared" si="15"/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2"/>
        <v>Female</v>
      </c>
      <c r="I200" s="6" t="str">
        <f t="shared" si="13"/>
        <v>Missing</v>
      </c>
      <c r="J200" s="6" t="str">
        <f t="shared" si="14"/>
        <v>Self-Employed</v>
      </c>
      <c r="K200" s="6" t="str">
        <f t="shared" si="15"/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2"/>
        <v>Female</v>
      </c>
      <c r="I201" s="6" t="str">
        <f t="shared" si="13"/>
        <v>Missing</v>
      </c>
      <c r="J201" s="6" t="str">
        <f t="shared" si="14"/>
        <v>Teacher</v>
      </c>
      <c r="K201" s="6" t="str">
        <f t="shared" si="15"/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2"/>
        <v>Female</v>
      </c>
      <c r="I202" s="6" t="str">
        <f t="shared" si="13"/>
        <v>Missing</v>
      </c>
      <c r="J202" s="6" t="str">
        <f t="shared" si="14"/>
        <v>Self-Employed</v>
      </c>
      <c r="K202" s="6" t="str">
        <f t="shared" si="15"/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2"/>
        <v>Female</v>
      </c>
      <c r="I203" s="6" t="str">
        <f t="shared" si="13"/>
        <v>Mogadishu</v>
      </c>
      <c r="J203" s="6" t="str">
        <f t="shared" si="14"/>
        <v>Self-Employed</v>
      </c>
      <c r="K203" s="6" t="str">
        <f t="shared" si="15"/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2"/>
        <v>Male</v>
      </c>
      <c r="I204" s="6" t="str">
        <f t="shared" si="13"/>
        <v>Kismayo</v>
      </c>
      <c r="J204" s="6" t="str">
        <f t="shared" si="14"/>
        <v>Engineer</v>
      </c>
      <c r="K204" s="6" t="str">
        <f t="shared" si="15"/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2"/>
        <v>Male</v>
      </c>
      <c r="I205" s="6" t="str">
        <f t="shared" si="13"/>
        <v>Mogadishu</v>
      </c>
      <c r="J205" s="6" t="str">
        <f t="shared" si="14"/>
        <v>Engineer</v>
      </c>
      <c r="K205" s="6" t="str">
        <f t="shared" si="15"/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2"/>
        <v>Male</v>
      </c>
      <c r="I206" s="6" t="str">
        <f t="shared" si="13"/>
        <v>Hargeisa</v>
      </c>
      <c r="J206" s="6" t="str">
        <f t="shared" si="14"/>
        <v>Healthcare</v>
      </c>
      <c r="K206" s="6" t="str">
        <f t="shared" si="15"/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2"/>
        <v>Female</v>
      </c>
      <c r="I207" s="6" t="str">
        <f t="shared" si="13"/>
        <v>Hargeisa</v>
      </c>
      <c r="J207" s="6" t="str">
        <f t="shared" si="14"/>
        <v>Civil Servant</v>
      </c>
      <c r="K207" s="6" t="str">
        <f t="shared" si="15"/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2"/>
        <v>Male</v>
      </c>
      <c r="I208" s="6" t="str">
        <f t="shared" si="13"/>
        <v>Kismayo</v>
      </c>
      <c r="J208" s="6" t="str">
        <f t="shared" si="14"/>
        <v>Civil Servant</v>
      </c>
      <c r="K208" s="6" t="str">
        <f t="shared" si="15"/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2"/>
        <v>Missing</v>
      </c>
      <c r="I209" s="6" t="str">
        <f t="shared" si="13"/>
        <v>Mogadishu</v>
      </c>
      <c r="J209" s="6" t="str">
        <f t="shared" si="14"/>
        <v>Civil Servant</v>
      </c>
      <c r="K209" s="6" t="str">
        <f t="shared" si="15"/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2"/>
        <v>Female</v>
      </c>
      <c r="I210" s="6" t="str">
        <f t="shared" si="13"/>
        <v>Mogadishu</v>
      </c>
      <c r="J210" s="6" t="str">
        <f t="shared" si="14"/>
        <v>Student</v>
      </c>
      <c r="K210" s="6" t="str">
        <f t="shared" si="15"/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2"/>
        <v>Female</v>
      </c>
      <c r="I211" s="6" t="str">
        <f t="shared" si="13"/>
        <v>Missing</v>
      </c>
      <c r="J211" s="6" t="str">
        <f t="shared" si="14"/>
        <v>Teacher</v>
      </c>
      <c r="K211" s="6" t="str">
        <f t="shared" si="15"/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Self-Employed</v>
      </c>
      <c r="K212" s="6" t="str">
        <f t="shared" si="15"/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Civil Servant</v>
      </c>
      <c r="K213" s="6" t="str">
        <f t="shared" si="15"/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2"/>
        <v>Female</v>
      </c>
      <c r="I214" s="6" t="str">
        <f t="shared" si="13"/>
        <v>Bosaso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2"/>
        <v>Female</v>
      </c>
      <c r="I215" s="6" t="str">
        <f t="shared" si="13"/>
        <v>Hargeisa</v>
      </c>
      <c r="J215" s="6" t="str">
        <f t="shared" si="14"/>
        <v>Civil Servant</v>
      </c>
      <c r="K215" s="6" t="str">
        <f t="shared" si="15"/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2"/>
        <v>Male</v>
      </c>
      <c r="I216" s="6" t="str">
        <f t="shared" si="13"/>
        <v>Bosaso</v>
      </c>
      <c r="J216" s="6" t="str">
        <f t="shared" si="14"/>
        <v>Healthcare</v>
      </c>
      <c r="K216" s="6" t="str">
        <f t="shared" si="15"/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2"/>
        <v>Male</v>
      </c>
      <c r="I217" s="6" t="str">
        <f t="shared" si="13"/>
        <v>Garowe</v>
      </c>
      <c r="J217" s="6" t="str">
        <f t="shared" si="14"/>
        <v>Engineer</v>
      </c>
      <c r="K217" s="6" t="str">
        <f t="shared" si="15"/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2"/>
        <v>Female</v>
      </c>
      <c r="I218" s="6" t="str">
        <f t="shared" si="13"/>
        <v>Bosaso</v>
      </c>
      <c r="J218" s="6" t="str">
        <f t="shared" si="14"/>
        <v>Healthcare</v>
      </c>
      <c r="K218" s="6" t="str">
        <f t="shared" si="15"/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2"/>
        <v>Female</v>
      </c>
      <c r="I219" s="6" t="str">
        <f t="shared" si="13"/>
        <v>Mogadishu</v>
      </c>
      <c r="J219" s="6" t="str">
        <f t="shared" si="14"/>
        <v>Engineer</v>
      </c>
      <c r="K219" s="6" t="str">
        <f t="shared" si="15"/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2"/>
        <v>Female</v>
      </c>
      <c r="I220" s="6" t="str">
        <f t="shared" si="13"/>
        <v>Kismayo</v>
      </c>
      <c r="J220" s="6" t="str">
        <f t="shared" si="14"/>
        <v>Civil Servant</v>
      </c>
      <c r="K220" s="6" t="str">
        <f t="shared" si="15"/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2"/>
        <v>Female</v>
      </c>
      <c r="I221" s="6" t="str">
        <f t="shared" si="13"/>
        <v>Mogadishu</v>
      </c>
      <c r="J221" s="6" t="str">
        <f t="shared" si="14"/>
        <v>Healthcare</v>
      </c>
      <c r="K221" s="6" t="str">
        <f t="shared" si="15"/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2"/>
        <v>Female</v>
      </c>
      <c r="I222" s="6" t="str">
        <f t="shared" si="13"/>
        <v>Mogadishu</v>
      </c>
      <c r="J222" s="6" t="str">
        <f t="shared" si="14"/>
        <v>Teacher</v>
      </c>
      <c r="K222" s="6" t="str">
        <f t="shared" si="15"/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2"/>
        <v>Female</v>
      </c>
      <c r="I223" s="6" t="str">
        <f t="shared" si="13"/>
        <v>Mogadishu</v>
      </c>
      <c r="J223" s="6" t="str">
        <f t="shared" si="14"/>
        <v>Missing</v>
      </c>
      <c r="K223" s="6" t="str">
        <f t="shared" si="15"/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2"/>
        <v>Female</v>
      </c>
      <c r="I224" s="6" t="str">
        <f t="shared" si="13"/>
        <v>Bosaso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2"/>
        <v>Male</v>
      </c>
      <c r="I225" s="6" t="str">
        <f t="shared" si="13"/>
        <v>Mogadishu</v>
      </c>
      <c r="J225" s="6" t="str">
        <f t="shared" si="14"/>
        <v>Business Owner</v>
      </c>
      <c r="K225" s="6" t="str">
        <f t="shared" si="15"/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2"/>
        <v>Female</v>
      </c>
      <c r="I226" s="6" t="str">
        <f t="shared" si="13"/>
        <v>Mogadishu</v>
      </c>
      <c r="J226" s="6" t="str">
        <f t="shared" si="14"/>
        <v>Self-Employed</v>
      </c>
      <c r="K226" s="6" t="str">
        <f t="shared" si="15"/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2"/>
        <v>Male</v>
      </c>
      <c r="I227" s="6" t="str">
        <f t="shared" si="13"/>
        <v>Baidoa</v>
      </c>
      <c r="J227" s="6" t="str">
        <f t="shared" si="14"/>
        <v>Student</v>
      </c>
      <c r="K227" s="6" t="str">
        <f t="shared" si="15"/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2"/>
        <v>Male</v>
      </c>
      <c r="I228" s="6" t="str">
        <f t="shared" si="13"/>
        <v>Bosaso</v>
      </c>
      <c r="J228" s="6" t="str">
        <f t="shared" si="14"/>
        <v>Business Owner</v>
      </c>
      <c r="K228" s="6" t="str">
        <f t="shared" si="15"/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2"/>
        <v>Female</v>
      </c>
      <c r="I229" s="6" t="str">
        <f t="shared" si="13"/>
        <v>Hargeisa</v>
      </c>
      <c r="J229" s="6" t="str">
        <f t="shared" si="14"/>
        <v>Healthcare</v>
      </c>
      <c r="K229" s="6" t="str">
        <f t="shared" si="15"/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2"/>
        <v>Female</v>
      </c>
      <c r="I230" s="6" t="str">
        <f t="shared" si="13"/>
        <v>Bosaso</v>
      </c>
      <c r="J230" s="6" t="str">
        <f t="shared" si="14"/>
        <v>Business Owner</v>
      </c>
      <c r="K230" s="6" t="str">
        <f t="shared" si="15"/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2"/>
        <v>Female</v>
      </c>
      <c r="I231" s="6" t="str">
        <f t="shared" si="13"/>
        <v>Missing</v>
      </c>
      <c r="J231" s="6" t="str">
        <f t="shared" si="14"/>
        <v>Self-Employed</v>
      </c>
      <c r="K231" s="6" t="str">
        <f t="shared" si="15"/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2"/>
        <v>Male</v>
      </c>
      <c r="I232" s="6" t="str">
        <f t="shared" si="13"/>
        <v>Mogadishu</v>
      </c>
      <c r="J232" s="6" t="str">
        <f t="shared" si="14"/>
        <v>Engineer</v>
      </c>
      <c r="K232" s="6" t="str">
        <f t="shared" si="15"/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2"/>
        <v>Male</v>
      </c>
      <c r="I233" s="6" t="str">
        <f t="shared" si="13"/>
        <v>Kismayo</v>
      </c>
      <c r="J233" s="6" t="str">
        <f t="shared" si="14"/>
        <v>Business Owner</v>
      </c>
      <c r="K233" s="6" t="str">
        <f t="shared" si="15"/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2"/>
        <v>Female</v>
      </c>
      <c r="I234" s="6" t="str">
        <f t="shared" si="13"/>
        <v>Mogadishu</v>
      </c>
      <c r="J234" s="6" t="str">
        <f t="shared" si="14"/>
        <v>Civil Servant</v>
      </c>
      <c r="K234" s="6" t="str">
        <f t="shared" si="15"/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2"/>
        <v>Female</v>
      </c>
      <c r="I235" s="6" t="str">
        <f t="shared" si="13"/>
        <v>Hargeisa</v>
      </c>
      <c r="J235" s="6" t="str">
        <f t="shared" si="14"/>
        <v>Student</v>
      </c>
      <c r="K235" s="6" t="str">
        <f t="shared" si="15"/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2"/>
        <v>Female</v>
      </c>
      <c r="I236" s="6" t="str">
        <f t="shared" si="13"/>
        <v>Kismayo</v>
      </c>
      <c r="J236" s="6" t="str">
        <f t="shared" si="14"/>
        <v>Business Owner</v>
      </c>
      <c r="K236" s="6" t="str">
        <f t="shared" si="15"/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2"/>
        <v>Female</v>
      </c>
      <c r="I237" s="6" t="str">
        <f t="shared" si="13"/>
        <v>Kismayo</v>
      </c>
      <c r="J237" s="6" t="str">
        <f t="shared" si="14"/>
        <v>Teacher</v>
      </c>
      <c r="K237" s="6" t="str">
        <f t="shared" si="15"/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2"/>
        <v>Male</v>
      </c>
      <c r="I238" s="6" t="str">
        <f t="shared" si="13"/>
        <v>Hargeisa</v>
      </c>
      <c r="J238" s="6" t="str">
        <f t="shared" si="14"/>
        <v>Healthcare</v>
      </c>
      <c r="K238" s="6" t="str">
        <f t="shared" si="15"/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2"/>
        <v>Female</v>
      </c>
      <c r="I239" s="6" t="str">
        <f t="shared" si="13"/>
        <v>Mogadishu</v>
      </c>
      <c r="J239" s="6" t="str">
        <f t="shared" si="14"/>
        <v>Business Owner</v>
      </c>
      <c r="K239" s="6" t="str">
        <f t="shared" si="15"/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2"/>
        <v>Female</v>
      </c>
      <c r="I240" s="6" t="str">
        <f t="shared" si="13"/>
        <v>Bosaso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2"/>
        <v>Male</v>
      </c>
      <c r="I241" s="6" t="str">
        <f t="shared" si="13"/>
        <v>Mogadishu</v>
      </c>
      <c r="J241" s="6" t="str">
        <f t="shared" si="14"/>
        <v>Healthcare</v>
      </c>
      <c r="K241" s="6" t="str">
        <f t="shared" si="15"/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Civil Servant</v>
      </c>
      <c r="K242" s="6" t="str">
        <f t="shared" si="15"/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2"/>
        <v>Female</v>
      </c>
      <c r="I243" s="6" t="str">
        <f t="shared" si="13"/>
        <v>Mogadishu</v>
      </c>
      <c r="J243" s="6" t="str">
        <f t="shared" si="14"/>
        <v>Self-Employed</v>
      </c>
      <c r="K243" s="6" t="str">
        <f t="shared" si="15"/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Business Owner</v>
      </c>
      <c r="K244" s="6" t="str">
        <f t="shared" si="15"/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2"/>
        <v>Female</v>
      </c>
      <c r="I245" s="6" t="str">
        <f t="shared" si="13"/>
        <v>Hargeisa</v>
      </c>
      <c r="J245" s="6" t="str">
        <f t="shared" si="14"/>
        <v>Business Owner</v>
      </c>
      <c r="K245" s="6" t="str">
        <f t="shared" si="15"/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2"/>
        <v>Female</v>
      </c>
      <c r="I246" s="6" t="str">
        <f t="shared" si="13"/>
        <v>Hargeisa</v>
      </c>
      <c r="J246" s="6" t="str">
        <f t="shared" si="14"/>
        <v>Student</v>
      </c>
      <c r="K246" s="6" t="str">
        <f t="shared" si="15"/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2"/>
        <v>Missing</v>
      </c>
      <c r="I247" s="6" t="str">
        <f t="shared" si="13"/>
        <v>Baidoa</v>
      </c>
      <c r="J247" s="6" t="str">
        <f t="shared" si="14"/>
        <v>Business Owner</v>
      </c>
      <c r="K247" s="6" t="str">
        <f t="shared" si="15"/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2"/>
        <v>Female</v>
      </c>
      <c r="I248" s="6" t="str">
        <f t="shared" si="13"/>
        <v>Mogadishu</v>
      </c>
      <c r="J248" s="6" t="str">
        <f t="shared" si="14"/>
        <v>Business Owner</v>
      </c>
      <c r="K248" s="6" t="str">
        <f t="shared" si="15"/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2"/>
        <v>Female</v>
      </c>
      <c r="I249" s="6" t="str">
        <f t="shared" si="13"/>
        <v>Hargeisa</v>
      </c>
      <c r="J249" s="6" t="str">
        <f t="shared" si="14"/>
        <v>Missing</v>
      </c>
      <c r="K249" s="6" t="str">
        <f t="shared" si="15"/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2"/>
        <v>Female</v>
      </c>
      <c r="I250" s="6" t="str">
        <f t="shared" si="13"/>
        <v>Bosaso</v>
      </c>
      <c r="J250" s="6" t="str">
        <f t="shared" si="14"/>
        <v>Healthcare</v>
      </c>
      <c r="K250" s="6" t="str">
        <f t="shared" si="15"/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2"/>
        <v>Female</v>
      </c>
      <c r="I251" s="6" t="str">
        <f t="shared" si="13"/>
        <v>Mogadishu</v>
      </c>
      <c r="J251" s="6" t="str">
        <f t="shared" si="14"/>
        <v>Engineer</v>
      </c>
      <c r="K251" s="6" t="str">
        <f t="shared" si="15"/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2"/>
        <v>Female</v>
      </c>
      <c r="I252" s="6" t="str">
        <f t="shared" si="13"/>
        <v>Mogadishu</v>
      </c>
      <c r="J252" s="6" t="str">
        <f t="shared" si="14"/>
        <v>Self-Employed</v>
      </c>
      <c r="K252" s="6" t="str">
        <f t="shared" si="15"/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2"/>
        <v>Male</v>
      </c>
      <c r="I253" s="6" t="str">
        <f t="shared" si="13"/>
        <v>Mogadishu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2"/>
        <v>Male</v>
      </c>
      <c r="I254" s="6" t="str">
        <f t="shared" si="13"/>
        <v>Hargeisa</v>
      </c>
      <c r="J254" s="6" t="str">
        <f t="shared" si="14"/>
        <v>Student</v>
      </c>
      <c r="K254" s="6" t="str">
        <f t="shared" si="15"/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2"/>
        <v>Female</v>
      </c>
      <c r="I255" s="6" t="str">
        <f t="shared" si="13"/>
        <v>Hargeisa</v>
      </c>
      <c r="J255" s="6" t="str">
        <f t="shared" si="14"/>
        <v>Missing</v>
      </c>
      <c r="K255" s="6" t="str">
        <f t="shared" si="15"/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2"/>
        <v>Female</v>
      </c>
      <c r="I256" s="6" t="str">
        <f t="shared" si="13"/>
        <v>Hargeisa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2"/>
        <v>Male</v>
      </c>
      <c r="I257" s="6" t="str">
        <f t="shared" si="13"/>
        <v>Hargeisa</v>
      </c>
      <c r="J257" s="6" t="str">
        <f t="shared" si="14"/>
        <v>Teacher</v>
      </c>
      <c r="K257" s="6" t="str">
        <f t="shared" si="15"/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16">PROPER(TRIM(C258))</f>
        <v>Missing</v>
      </c>
      <c r="I258" s="6" t="str">
        <f t="shared" ref="I258:I294" si="17">PROPER(TRIM(E258))</f>
        <v>Kismayo</v>
      </c>
      <c r="J258" s="6" t="str">
        <f t="shared" ref="J258:J294" si="18">PROPER(TRIM(SUBSTITUTE(F258,"CS","Civil Servant")))</f>
        <v>Self-Employed</v>
      </c>
      <c r="K258" s="6" t="str">
        <f t="shared" ref="K258:K294" si="19"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16"/>
        <v>Male</v>
      </c>
      <c r="I259" s="6" t="str">
        <f t="shared" si="17"/>
        <v>Mogadishu</v>
      </c>
      <c r="J259" s="6" t="str">
        <f t="shared" si="18"/>
        <v>Healthcare</v>
      </c>
      <c r="K259" s="6" t="str">
        <f t="shared" si="19"/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16"/>
        <v>Male</v>
      </c>
      <c r="I260" s="6" t="str">
        <f t="shared" si="17"/>
        <v>Garowe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16"/>
        <v>Male</v>
      </c>
      <c r="I261" s="6" t="str">
        <f t="shared" si="17"/>
        <v>Kismayo</v>
      </c>
      <c r="J261" s="6" t="str">
        <f t="shared" si="18"/>
        <v>Student</v>
      </c>
      <c r="K261" s="6" t="str">
        <f t="shared" si="19"/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16"/>
        <v>Male</v>
      </c>
      <c r="I262" s="6" t="str">
        <f t="shared" si="17"/>
        <v>Mogadishu</v>
      </c>
      <c r="J262" s="6" t="str">
        <f t="shared" si="18"/>
        <v>Teacher</v>
      </c>
      <c r="K262" s="6" t="str">
        <f t="shared" si="19"/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16"/>
        <v>Male</v>
      </c>
      <c r="I263" s="6" t="str">
        <f t="shared" si="17"/>
        <v>Garowe</v>
      </c>
      <c r="J263" s="6" t="str">
        <f t="shared" si="18"/>
        <v>Business Owner</v>
      </c>
      <c r="K263" s="6" t="str">
        <f t="shared" si="19"/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16"/>
        <v>Female</v>
      </c>
      <c r="I264" s="6" t="str">
        <f t="shared" si="17"/>
        <v>Baidoa</v>
      </c>
      <c r="J264" s="6" t="str">
        <f t="shared" si="18"/>
        <v>Business Owner</v>
      </c>
      <c r="K264" s="6" t="str">
        <f t="shared" si="19"/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Teacher</v>
      </c>
      <c r="K265" s="6" t="str">
        <f t="shared" si="19"/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16"/>
        <v>Male</v>
      </c>
      <c r="I266" s="6" t="str">
        <f t="shared" si="17"/>
        <v>Baidoa</v>
      </c>
      <c r="J266" s="6" t="str">
        <f t="shared" si="18"/>
        <v>Student</v>
      </c>
      <c r="K266" s="6" t="str">
        <f t="shared" si="19"/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16"/>
        <v>Male</v>
      </c>
      <c r="I267" s="6" t="str">
        <f t="shared" si="17"/>
        <v>Mogadishu</v>
      </c>
      <c r="J267" s="6" t="str">
        <f t="shared" si="18"/>
        <v>Civil Servant</v>
      </c>
      <c r="K267" s="6" t="str">
        <f t="shared" si="19"/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Student</v>
      </c>
      <c r="K268" s="6" t="str">
        <f t="shared" si="19"/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16"/>
        <v>Female</v>
      </c>
      <c r="I269" s="6" t="str">
        <f t="shared" si="17"/>
        <v>Bosaso</v>
      </c>
      <c r="J269" s="6" t="str">
        <f t="shared" si="18"/>
        <v>Self-Employed</v>
      </c>
      <c r="K269" s="6" t="str">
        <f t="shared" si="19"/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16"/>
        <v>Male</v>
      </c>
      <c r="I270" s="6" t="str">
        <f t="shared" si="17"/>
        <v>Mogadishu</v>
      </c>
      <c r="J270" s="6" t="str">
        <f t="shared" si="18"/>
        <v>Teacher</v>
      </c>
      <c r="K270" s="6" t="str">
        <f t="shared" si="19"/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16"/>
        <v>Male</v>
      </c>
      <c r="I271" s="6" t="str">
        <f t="shared" si="17"/>
        <v>Hargeisa</v>
      </c>
      <c r="J271" s="6" t="str">
        <f t="shared" si="18"/>
        <v>Business Owner</v>
      </c>
      <c r="K271" s="6" t="str">
        <f t="shared" si="19"/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16"/>
        <v>Male</v>
      </c>
      <c r="I272" s="6" t="str">
        <f t="shared" si="17"/>
        <v>Mogadishu</v>
      </c>
      <c r="J272" s="6" t="str">
        <f t="shared" si="18"/>
        <v>Engineer</v>
      </c>
      <c r="K272" s="6" t="str">
        <f t="shared" si="19"/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16"/>
        <v>Male</v>
      </c>
      <c r="I273" s="6" t="str">
        <f t="shared" si="17"/>
        <v>Hargeisa</v>
      </c>
      <c r="J273" s="6" t="str">
        <f t="shared" si="18"/>
        <v>Engineer</v>
      </c>
      <c r="K273" s="6" t="str">
        <f t="shared" si="19"/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16"/>
        <v>Missing</v>
      </c>
      <c r="I274" s="6" t="str">
        <f t="shared" si="17"/>
        <v>Mogadishu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16"/>
        <v>Male</v>
      </c>
      <c r="I275" s="6" t="str">
        <f t="shared" si="17"/>
        <v>Bosaso</v>
      </c>
      <c r="J275" s="6" t="str">
        <f t="shared" si="18"/>
        <v>Engineer</v>
      </c>
      <c r="K275" s="6" t="str">
        <f t="shared" si="19"/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16"/>
        <v>Female</v>
      </c>
      <c r="I276" s="6" t="str">
        <f t="shared" si="17"/>
        <v>Baidoa</v>
      </c>
      <c r="J276" s="6" t="str">
        <f t="shared" si="18"/>
        <v>Civil Servant</v>
      </c>
      <c r="K276" s="6" t="str">
        <f t="shared" si="19"/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16"/>
        <v>Male</v>
      </c>
      <c r="I277" s="6" t="str">
        <f t="shared" si="17"/>
        <v>Mogadishu</v>
      </c>
      <c r="J277" s="6" t="str">
        <f t="shared" si="18"/>
        <v>Business Owner</v>
      </c>
      <c r="K277" s="6" t="str">
        <f t="shared" si="19"/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16"/>
        <v>Female</v>
      </c>
      <c r="I278" s="6" t="str">
        <f t="shared" si="17"/>
        <v>Mogadishu</v>
      </c>
      <c r="J278" s="6" t="str">
        <f t="shared" si="18"/>
        <v>Civil Servant</v>
      </c>
      <c r="K278" s="6" t="str">
        <f t="shared" si="19"/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16"/>
        <v>Male</v>
      </c>
      <c r="I279" s="6" t="str">
        <f t="shared" si="17"/>
        <v>Kismayo</v>
      </c>
      <c r="J279" s="6" t="str">
        <f t="shared" si="18"/>
        <v>Self-Employed</v>
      </c>
      <c r="K279" s="6" t="str">
        <f t="shared" si="19"/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16"/>
        <v>Male</v>
      </c>
      <c r="I280" s="6" t="str">
        <f t="shared" si="17"/>
        <v>Baidoa</v>
      </c>
      <c r="J280" s="6" t="str">
        <f t="shared" si="18"/>
        <v>Teacher</v>
      </c>
      <c r="K280" s="6" t="str">
        <f t="shared" si="19"/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16"/>
        <v>Female</v>
      </c>
      <c r="I281" s="6" t="str">
        <f t="shared" si="17"/>
        <v>Mogadishu</v>
      </c>
      <c r="J281" s="6" t="str">
        <f t="shared" si="18"/>
        <v>Self-Employed</v>
      </c>
      <c r="K281" s="6" t="str">
        <f t="shared" si="19"/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16"/>
        <v>Female</v>
      </c>
      <c r="I282" s="6" t="str">
        <f t="shared" si="17"/>
        <v>Garowe</v>
      </c>
      <c r="J282" s="6" t="str">
        <f t="shared" si="18"/>
        <v>Civil Servant</v>
      </c>
      <c r="K282" s="6" t="str">
        <f t="shared" si="19"/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16"/>
        <v>Female</v>
      </c>
      <c r="I283" s="6" t="str">
        <f t="shared" si="17"/>
        <v>Garowe</v>
      </c>
      <c r="J283" s="6" t="str">
        <f t="shared" si="18"/>
        <v>Healthcare</v>
      </c>
      <c r="K283" s="6" t="str">
        <f t="shared" si="19"/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16"/>
        <v>Male</v>
      </c>
      <c r="I284" s="6" t="str">
        <f t="shared" si="17"/>
        <v>Kismayo</v>
      </c>
      <c r="J284" s="6" t="str">
        <f t="shared" si="18"/>
        <v>Teacher</v>
      </c>
      <c r="K284" s="6" t="str">
        <f t="shared" si="19"/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16"/>
        <v>Female</v>
      </c>
      <c r="I285" s="6" t="str">
        <f t="shared" si="17"/>
        <v>Garowe</v>
      </c>
      <c r="J285" s="6" t="str">
        <f t="shared" si="18"/>
        <v>Civil Servant</v>
      </c>
      <c r="K285" s="6" t="str">
        <f t="shared" si="19"/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16"/>
        <v>Male</v>
      </c>
      <c r="I286" s="6" t="str">
        <f t="shared" si="17"/>
        <v>Hargeisa</v>
      </c>
      <c r="J286" s="6" t="str">
        <f t="shared" si="18"/>
        <v>Business Owner</v>
      </c>
      <c r="K286" s="6" t="str">
        <f t="shared" si="19"/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16"/>
        <v>Female</v>
      </c>
      <c r="I287" s="6" t="str">
        <f t="shared" si="17"/>
        <v>Bosaso</v>
      </c>
      <c r="J287" s="6" t="str">
        <f t="shared" si="18"/>
        <v>Engineer</v>
      </c>
      <c r="K287" s="6" t="str">
        <f t="shared" si="19"/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16"/>
        <v>Female</v>
      </c>
      <c r="I288" s="6" t="str">
        <f t="shared" si="17"/>
        <v>Kismayo</v>
      </c>
      <c r="J288" s="6" t="str">
        <f t="shared" si="18"/>
        <v>Engineer</v>
      </c>
      <c r="K288" s="6" t="str">
        <f t="shared" si="19"/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16"/>
        <v>Female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16"/>
        <v>Male</v>
      </c>
      <c r="I290" s="6" t="str">
        <f t="shared" si="17"/>
        <v>Garowe</v>
      </c>
      <c r="J290" s="6" t="str">
        <f t="shared" si="18"/>
        <v>Teacher</v>
      </c>
      <c r="K290" s="6" t="str">
        <f t="shared" si="19"/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16"/>
        <v>Male</v>
      </c>
      <c r="I291" s="6" t="str">
        <f t="shared" si="17"/>
        <v>Mogadishu</v>
      </c>
      <c r="J291" s="6" t="str">
        <f t="shared" si="18"/>
        <v>Healthcare</v>
      </c>
      <c r="K291" s="6" t="str">
        <f t="shared" si="19"/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16"/>
        <v>Male</v>
      </c>
      <c r="I292" s="6" t="str">
        <f t="shared" si="17"/>
        <v>Hargeisa</v>
      </c>
      <c r="J292" s="6" t="str">
        <f t="shared" si="18"/>
        <v>Student</v>
      </c>
      <c r="K292" s="6" t="str">
        <f t="shared" si="19"/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16"/>
        <v>Male</v>
      </c>
      <c r="I293" s="6" t="str">
        <f t="shared" si="17"/>
        <v>Bosaso</v>
      </c>
      <c r="J293" s="6" t="str">
        <f t="shared" si="18"/>
        <v>Business Owner</v>
      </c>
      <c r="K293" s="6" t="str">
        <f t="shared" si="19"/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16"/>
        <v>Male</v>
      </c>
      <c r="I294" s="6" t="str">
        <f t="shared" si="17"/>
        <v>Garowe</v>
      </c>
      <c r="J294" s="6" t="str">
        <f t="shared" si="18"/>
        <v>Engineer</v>
      </c>
      <c r="K294" s="6" t="str">
        <f t="shared" si="19"/>
        <v>Low</v>
      </c>
    </row>
  </sheetData>
  <sortState ref="A2:K294">
    <sortCondition ref="B2:B294"/>
  </sortState>
  <conditionalFormatting sqref="A1:A1048576">
    <cfRule type="duplicateValues" dxfId="5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  <cfRule type="cellIs" dxfId="0" priority="5" operator="equal">
      <formula>"Low"</formula>
    </cfRule>
    <cfRule type="cellIs" dxfId="1" priority="4" operator="equal">
      <formula>"Low"</formula>
    </cfRule>
    <cfRule type="cellIs" dxfId="2" priority="3" operator="equal">
      <formula>"High"</formula>
    </cfRule>
    <cfRule type="cellIs" dxfId="3" priority="1" operator="equal">
      <formula>"Medium"</formula>
    </cfRule>
  </conditionalFormatting>
  <conditionalFormatting sqref="H1:H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K3">
    <cfRule type="cellIs" dxfId="4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opLeftCell="A22" workbookViewId="0">
      <selection activeCell="A51" sqref="A51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46250</v>
      </c>
      <c r="C33" s="6" t="s">
        <v>352</v>
      </c>
    </row>
    <row r="34" spans="1:3">
      <c r="A34" s="6" t="s">
        <v>353</v>
      </c>
      <c r="B34" s="15">
        <f ca="1">NOW()</f>
        <v>46250.679481944448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B13"/>
  <sheetViews>
    <sheetView tabSelected="1" workbookViewId="0">
      <selection activeCell="N9" sqref="N9"/>
    </sheetView>
  </sheetViews>
  <sheetFormatPr defaultRowHeight="15"/>
  <cols>
    <col min="1" max="1" width="13.140625" customWidth="1"/>
    <col min="2" max="2" width="23.140625" customWidth="1"/>
    <col min="3" max="4" width="9" customWidth="1"/>
    <col min="5" max="5" width="11.28515625" customWidth="1"/>
    <col min="6" max="186" width="7.5703125" customWidth="1"/>
    <col min="273" max="274" width="10.140625" bestFit="1" customWidth="1"/>
    <col min="275" max="275" width="11.28515625" bestFit="1" customWidth="1"/>
  </cols>
  <sheetData>
    <row r="5" spans="1:2">
      <c r="A5" s="19" t="s">
        <v>365</v>
      </c>
      <c r="B5" t="s">
        <v>367</v>
      </c>
    </row>
    <row r="6" spans="1:2">
      <c r="A6" s="6" t="s">
        <v>12</v>
      </c>
      <c r="B6" s="20">
        <v>19068.93</v>
      </c>
    </row>
    <row r="7" spans="1:2">
      <c r="A7" s="6" t="s">
        <v>20</v>
      </c>
      <c r="B7" s="20">
        <v>39854.100000000006</v>
      </c>
    </row>
    <row r="8" spans="1:2">
      <c r="A8" s="6" t="s">
        <v>74</v>
      </c>
      <c r="B8" s="20">
        <v>17991.009999999998</v>
      </c>
    </row>
    <row r="9" spans="1:2">
      <c r="A9" s="6" t="s">
        <v>15</v>
      </c>
      <c r="B9" s="20">
        <v>38385.03</v>
      </c>
    </row>
    <row r="10" spans="1:2">
      <c r="A10" s="6" t="s">
        <v>39</v>
      </c>
      <c r="B10" s="20">
        <v>30250.91</v>
      </c>
    </row>
    <row r="11" spans="1:2">
      <c r="A11" s="6" t="s">
        <v>312</v>
      </c>
      <c r="B11" s="20">
        <v>13639.55</v>
      </c>
    </row>
    <row r="12" spans="1:2">
      <c r="A12" s="6" t="s">
        <v>9</v>
      </c>
      <c r="B12" s="20">
        <v>111503.65999999997</v>
      </c>
    </row>
    <row r="13" spans="1:2">
      <c r="A13" s="6" t="s">
        <v>366</v>
      </c>
      <c r="B13" s="20">
        <v>270693.18999999994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2026-08-16T13:22:33Z</dcterms:modified>
</cp:coreProperties>
</file>