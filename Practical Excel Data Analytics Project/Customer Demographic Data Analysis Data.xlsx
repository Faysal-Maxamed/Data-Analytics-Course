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style1.xml" ContentType="application/vnd.ms-office.chartstyle+xml"/>
  <Override PartName="/xl/charts/colors1.xml" ContentType="application/vnd.ms-office.chartcolorstyle+xml"/>
  <Override PartName="/xl/charts/chart9.xml" ContentType="application/vnd.openxmlformats-officedocument.drawingml.chart+xml"/>
  <Override PartName="/xl/charts/style2.xml" ContentType="application/vnd.ms-office.chartstyle+xml"/>
  <Override PartName="/xl/charts/colors2.xml" ContentType="application/vnd.ms-office.chartcolorstyle+xml"/>
  <Override PartName="/xl/charts/chart10.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11.xml" ContentType="application/vnd.openxmlformats-officedocument.drawingml.chart+xml"/>
  <Override PartName="/xl/charts/style4.xml" ContentType="application/vnd.ms-office.chartstyle+xml"/>
  <Override PartName="/xl/charts/colors4.xml" ContentType="application/vnd.ms-office.chartcolorstyle+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drawings/drawing3.xml" ContentType="application/vnd.openxmlformats-officedocument.drawing+xml"/>
  <Override PartName="/xl/slicers/slicer2.xml" ContentType="application/vnd.ms-excel.slicer+xml"/>
  <Override PartName="/xl/charts/chart17.xml" ContentType="application/vnd.openxmlformats-officedocument.drawingml.chart+xml"/>
  <Override PartName="/xl/charts/style5.xml" ContentType="application/vnd.ms-office.chartstyle+xml"/>
  <Override PartName="/xl/charts/colors5.xml" ContentType="application/vnd.ms-office.chartcolorstyle+xml"/>
  <Override PartName="/xl/charts/chart18.xml" ContentType="application/vnd.openxmlformats-officedocument.drawingml.chart+xml"/>
  <Override PartName="/xl/charts/style6.xml" ContentType="application/vnd.ms-office.chartstyle+xml"/>
  <Override PartName="/xl/charts/colors6.xml" ContentType="application/vnd.ms-office.chartcolorstyle+xml"/>
  <Override PartName="/xl/charts/chart19.xml" ContentType="application/vnd.openxmlformats-officedocument.drawingml.chart+xml"/>
  <Override PartName="/xl/charts/style7.xml" ContentType="application/vnd.ms-office.chartstyle+xml"/>
  <Override PartName="/xl/charts/colors7.xml" ContentType="application/vnd.ms-office.chartcolorstyle+xml"/>
  <Override PartName="/xl/charts/chart20.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hp\Documents\Deero DS Course\Practical Excel Data Analytics Project\"/>
    </mc:Choice>
  </mc:AlternateContent>
  <bookViews>
    <workbookView xWindow="0" yWindow="0" windowWidth="28800" windowHeight="12210" activeTab="1"/>
  </bookViews>
  <sheets>
    <sheet name="Raw_Data" sheetId="1" r:id="rId1"/>
    <sheet name="Clean_Data " sheetId="2" r:id="rId2"/>
    <sheet name="Analysis" sheetId="3" r:id="rId3"/>
    <sheet name="PivotTables" sheetId="4" r:id="rId4"/>
    <sheet name="Dashboard" sheetId="7" r:id="rId5"/>
    <sheet name="Dashboard_2" sheetId="8" r:id="rId6"/>
    <sheet name="Findings" sheetId="6" r:id="rId7"/>
  </sheets>
  <externalReferences>
    <externalReference r:id="rId8"/>
  </externalReferences>
  <definedNames>
    <definedName name="_xlnm._FilterDatabase" localSheetId="1" hidden="1">'Clean_Data '!$A$1:$M$294</definedName>
    <definedName name="Slicer_City">#N/A</definedName>
    <definedName name="Slicer_Gender">#N/A</definedName>
    <definedName name="Slicer_Occupation">#N/A</definedName>
    <definedName name="Slicer_Occupation_Clean">#N/A</definedName>
    <definedName name="Slicer_Reg_Month1">#N/A</definedName>
  </definedNames>
  <calcPr calcId="162913"/>
  <pivotCaches>
    <pivotCache cacheId="0" r:id="rId9"/>
    <pivotCache cacheId="1" r:id="rId10"/>
  </pivotCaches>
  <extLst>
    <ext xmlns:x14="http://schemas.microsoft.com/office/spreadsheetml/2009/9/main" uri="{BBE1A952-AA13-448e-AADC-164F8A28A991}">
      <x14:slicerCaches>
        <x14:slicerCache r:id="rId11"/>
        <x14:slicerCache r:id="rId12"/>
        <x14:slicerCache r:id="rId13"/>
        <x14:slicerCache r:id="rId14"/>
        <x14:slicerCache r:id="rId15"/>
      </x14:slicerCaches>
    </ext>
    <ext xmlns:x14="http://schemas.microsoft.com/office/spreadsheetml/2009/9/main" uri="{79F54976-1DA5-4618-B147-4CDE4B953A38}">
      <x14:workbookPr/>
    </ext>
  </extLst>
</workbook>
</file>

<file path=xl/calcChain.xml><?xml version="1.0" encoding="utf-8"?>
<calcChain xmlns="http://schemas.openxmlformats.org/spreadsheetml/2006/main">
  <c r="AB10" i="8" l="1"/>
  <c r="X10" i="8"/>
  <c r="AB9" i="7"/>
  <c r="P10" i="8"/>
  <c r="T10" i="8"/>
  <c r="O9" i="7"/>
  <c r="B19" i="3"/>
  <c r="S9" i="7" l="1"/>
  <c r="B20" i="3"/>
  <c r="B28" i="3"/>
  <c r="B27" i="3"/>
  <c r="B10" i="3"/>
  <c r="B9" i="3"/>
  <c r="B7" i="3"/>
  <c r="B8" i="3"/>
  <c r="B6" i="3"/>
  <c r="B5" i="3"/>
  <c r="B4" i="3"/>
  <c r="B3" i="3"/>
  <c r="B21" i="3"/>
  <c r="W9" i="7"/>
  <c r="B39" i="3" l="1"/>
  <c r="B38" i="3"/>
  <c r="B37" i="3"/>
  <c r="B36" i="3"/>
  <c r="B35" i="3"/>
  <c r="B34" i="3"/>
  <c r="B33" i="3"/>
  <c r="M294" i="2"/>
  <c r="L294" i="2"/>
  <c r="K294" i="2"/>
  <c r="J294" i="2"/>
  <c r="I294" i="2"/>
  <c r="H294" i="2"/>
  <c r="M293" i="2"/>
  <c r="L293" i="2"/>
  <c r="K293" i="2"/>
  <c r="J293" i="2"/>
  <c r="I293" i="2"/>
  <c r="H293" i="2"/>
  <c r="M292" i="2"/>
  <c r="L292" i="2"/>
  <c r="K292" i="2"/>
  <c r="J292" i="2"/>
  <c r="I292" i="2"/>
  <c r="H292" i="2"/>
  <c r="M291" i="2"/>
  <c r="L291" i="2"/>
  <c r="K291" i="2"/>
  <c r="J291" i="2"/>
  <c r="I291" i="2"/>
  <c r="H291" i="2"/>
  <c r="M290" i="2"/>
  <c r="L290" i="2"/>
  <c r="K290" i="2"/>
  <c r="J290" i="2"/>
  <c r="I290" i="2"/>
  <c r="H290" i="2"/>
  <c r="M289" i="2"/>
  <c r="L289" i="2"/>
  <c r="K289" i="2"/>
  <c r="J289" i="2"/>
  <c r="I289" i="2"/>
  <c r="H289" i="2"/>
  <c r="M288" i="2"/>
  <c r="L288" i="2"/>
  <c r="K288" i="2"/>
  <c r="J288" i="2"/>
  <c r="I288" i="2"/>
  <c r="H288" i="2"/>
  <c r="M287" i="2"/>
  <c r="L287" i="2"/>
  <c r="K287" i="2"/>
  <c r="J287" i="2"/>
  <c r="I287" i="2"/>
  <c r="H287" i="2"/>
  <c r="M286" i="2"/>
  <c r="L286" i="2"/>
  <c r="K286" i="2"/>
  <c r="J286" i="2"/>
  <c r="I286" i="2"/>
  <c r="H286" i="2"/>
  <c r="M285" i="2"/>
  <c r="L285" i="2"/>
  <c r="K285" i="2"/>
  <c r="J285" i="2"/>
  <c r="I285" i="2"/>
  <c r="H285" i="2"/>
  <c r="M284" i="2"/>
  <c r="L284" i="2"/>
  <c r="K284" i="2"/>
  <c r="J284" i="2"/>
  <c r="I284" i="2"/>
  <c r="H284" i="2"/>
  <c r="M283" i="2"/>
  <c r="L283" i="2"/>
  <c r="K283" i="2"/>
  <c r="J283" i="2"/>
  <c r="I283" i="2"/>
  <c r="H283" i="2"/>
  <c r="M282" i="2"/>
  <c r="L282" i="2"/>
  <c r="K282" i="2"/>
  <c r="J282" i="2"/>
  <c r="I282" i="2"/>
  <c r="H282" i="2"/>
  <c r="M281" i="2"/>
  <c r="L281" i="2"/>
  <c r="K281" i="2"/>
  <c r="J281" i="2"/>
  <c r="I281" i="2"/>
  <c r="H281" i="2"/>
  <c r="M280" i="2"/>
  <c r="L280" i="2"/>
  <c r="K280" i="2"/>
  <c r="J280" i="2"/>
  <c r="I280" i="2"/>
  <c r="H280" i="2"/>
  <c r="M279" i="2"/>
  <c r="L279" i="2"/>
  <c r="K279" i="2"/>
  <c r="J279" i="2"/>
  <c r="I279" i="2"/>
  <c r="H279" i="2"/>
  <c r="M278" i="2"/>
  <c r="L278" i="2"/>
  <c r="K278" i="2"/>
  <c r="J278" i="2"/>
  <c r="I278" i="2"/>
  <c r="H278" i="2"/>
  <c r="M277" i="2"/>
  <c r="L277" i="2"/>
  <c r="K277" i="2"/>
  <c r="J277" i="2"/>
  <c r="I277" i="2"/>
  <c r="H277" i="2"/>
  <c r="M276" i="2"/>
  <c r="L276" i="2"/>
  <c r="K276" i="2"/>
  <c r="J276" i="2"/>
  <c r="I276" i="2"/>
  <c r="H276" i="2"/>
  <c r="M275" i="2"/>
  <c r="L275" i="2"/>
  <c r="K275" i="2"/>
  <c r="J275" i="2"/>
  <c r="I275" i="2"/>
  <c r="H275" i="2"/>
  <c r="M274" i="2"/>
  <c r="L274" i="2"/>
  <c r="K274" i="2"/>
  <c r="J274" i="2"/>
  <c r="I274" i="2"/>
  <c r="H274" i="2"/>
  <c r="M273" i="2"/>
  <c r="L273" i="2"/>
  <c r="K273" i="2"/>
  <c r="J273" i="2"/>
  <c r="I273" i="2"/>
  <c r="H273" i="2"/>
  <c r="M272" i="2"/>
  <c r="L272" i="2"/>
  <c r="K272" i="2"/>
  <c r="J272" i="2"/>
  <c r="I272" i="2"/>
  <c r="H272" i="2"/>
  <c r="M271" i="2"/>
  <c r="L271" i="2"/>
  <c r="K271" i="2"/>
  <c r="J271" i="2"/>
  <c r="I271" i="2"/>
  <c r="H271" i="2"/>
  <c r="M270" i="2"/>
  <c r="L270" i="2"/>
  <c r="K270" i="2"/>
  <c r="J270" i="2"/>
  <c r="I270" i="2"/>
  <c r="H270" i="2"/>
  <c r="M269" i="2"/>
  <c r="L269" i="2"/>
  <c r="K269" i="2"/>
  <c r="J269" i="2"/>
  <c r="I269" i="2"/>
  <c r="H269" i="2"/>
  <c r="M268" i="2"/>
  <c r="L268" i="2"/>
  <c r="K268" i="2"/>
  <c r="J268" i="2"/>
  <c r="I268" i="2"/>
  <c r="H268" i="2"/>
  <c r="M267" i="2"/>
  <c r="L267" i="2"/>
  <c r="K267" i="2"/>
  <c r="J267" i="2"/>
  <c r="I267" i="2"/>
  <c r="H267" i="2"/>
  <c r="M266" i="2"/>
  <c r="L266" i="2"/>
  <c r="K266" i="2"/>
  <c r="J266" i="2"/>
  <c r="I266" i="2"/>
  <c r="H266" i="2"/>
  <c r="M265" i="2"/>
  <c r="L265" i="2"/>
  <c r="K265" i="2"/>
  <c r="J265" i="2"/>
  <c r="I265" i="2"/>
  <c r="H265" i="2"/>
  <c r="M264" i="2"/>
  <c r="L264" i="2"/>
  <c r="K264" i="2"/>
  <c r="J264" i="2"/>
  <c r="I264" i="2"/>
  <c r="H264" i="2"/>
  <c r="M263" i="2"/>
  <c r="L263" i="2"/>
  <c r="K263" i="2"/>
  <c r="J263" i="2"/>
  <c r="I263" i="2"/>
  <c r="H263" i="2"/>
  <c r="M262" i="2"/>
  <c r="L262" i="2"/>
  <c r="K262" i="2"/>
  <c r="J262" i="2"/>
  <c r="I262" i="2"/>
  <c r="H262" i="2"/>
  <c r="M261" i="2"/>
  <c r="L261" i="2"/>
  <c r="K261" i="2"/>
  <c r="J261" i="2"/>
  <c r="I261" i="2"/>
  <c r="H261" i="2"/>
  <c r="M260" i="2"/>
  <c r="L260" i="2"/>
  <c r="K260" i="2"/>
  <c r="J260" i="2"/>
  <c r="I260" i="2"/>
  <c r="H260" i="2"/>
  <c r="M259" i="2"/>
  <c r="L259" i="2"/>
  <c r="K259" i="2"/>
  <c r="J259" i="2"/>
  <c r="I259" i="2"/>
  <c r="H259" i="2"/>
  <c r="M258" i="2"/>
  <c r="L258" i="2"/>
  <c r="K258" i="2"/>
  <c r="J258" i="2"/>
  <c r="I258" i="2"/>
  <c r="H258" i="2"/>
  <c r="M257" i="2"/>
  <c r="L257" i="2"/>
  <c r="K257" i="2"/>
  <c r="J257" i="2"/>
  <c r="I257" i="2"/>
  <c r="H257" i="2"/>
  <c r="M256" i="2"/>
  <c r="L256" i="2"/>
  <c r="K256" i="2"/>
  <c r="J256" i="2"/>
  <c r="I256" i="2"/>
  <c r="H256" i="2"/>
  <c r="M255" i="2"/>
  <c r="L255" i="2"/>
  <c r="K255" i="2"/>
  <c r="J255" i="2"/>
  <c r="I255" i="2"/>
  <c r="H255" i="2"/>
  <c r="M254" i="2"/>
  <c r="L254" i="2"/>
  <c r="K254" i="2"/>
  <c r="J254" i="2"/>
  <c r="I254" i="2"/>
  <c r="H254" i="2"/>
  <c r="M253" i="2"/>
  <c r="L253" i="2"/>
  <c r="K253" i="2"/>
  <c r="J253" i="2"/>
  <c r="I253" i="2"/>
  <c r="H253" i="2"/>
  <c r="M252" i="2"/>
  <c r="L252" i="2"/>
  <c r="K252" i="2"/>
  <c r="J252" i="2"/>
  <c r="I252" i="2"/>
  <c r="H252" i="2"/>
  <c r="M251" i="2"/>
  <c r="L251" i="2"/>
  <c r="K251" i="2"/>
  <c r="J251" i="2"/>
  <c r="I251" i="2"/>
  <c r="H251" i="2"/>
  <c r="M250" i="2"/>
  <c r="L250" i="2"/>
  <c r="K250" i="2"/>
  <c r="J250" i="2"/>
  <c r="I250" i="2"/>
  <c r="H250" i="2"/>
  <c r="M249" i="2"/>
  <c r="L249" i="2"/>
  <c r="K249" i="2"/>
  <c r="J249" i="2"/>
  <c r="I249" i="2"/>
  <c r="H249" i="2"/>
  <c r="M248" i="2"/>
  <c r="L248" i="2"/>
  <c r="K248" i="2"/>
  <c r="J248" i="2"/>
  <c r="I248" i="2"/>
  <c r="H248" i="2"/>
  <c r="M247" i="2"/>
  <c r="L247" i="2"/>
  <c r="K247" i="2"/>
  <c r="J247" i="2"/>
  <c r="I247" i="2"/>
  <c r="H247" i="2"/>
  <c r="M246" i="2"/>
  <c r="L246" i="2"/>
  <c r="K246" i="2"/>
  <c r="J246" i="2"/>
  <c r="I246" i="2"/>
  <c r="H246" i="2"/>
  <c r="M245" i="2"/>
  <c r="L245" i="2"/>
  <c r="K245" i="2"/>
  <c r="J245" i="2"/>
  <c r="I245" i="2"/>
  <c r="H245" i="2"/>
  <c r="M244" i="2"/>
  <c r="L244" i="2"/>
  <c r="K244" i="2"/>
  <c r="J244" i="2"/>
  <c r="I244" i="2"/>
  <c r="H244" i="2"/>
  <c r="M243" i="2"/>
  <c r="L243" i="2"/>
  <c r="K243" i="2"/>
  <c r="J243" i="2"/>
  <c r="I243" i="2"/>
  <c r="H243" i="2"/>
  <c r="M242" i="2"/>
  <c r="L242" i="2"/>
  <c r="K242" i="2"/>
  <c r="J242" i="2"/>
  <c r="I242" i="2"/>
  <c r="H242" i="2"/>
  <c r="M241" i="2"/>
  <c r="L241" i="2"/>
  <c r="K241" i="2"/>
  <c r="J241" i="2"/>
  <c r="I241" i="2"/>
  <c r="H241" i="2"/>
  <c r="M240" i="2"/>
  <c r="L240" i="2"/>
  <c r="K240" i="2"/>
  <c r="J240" i="2"/>
  <c r="I240" i="2"/>
  <c r="H240" i="2"/>
  <c r="M239" i="2"/>
  <c r="L239" i="2"/>
  <c r="K239" i="2"/>
  <c r="J239" i="2"/>
  <c r="I239" i="2"/>
  <c r="H239" i="2"/>
  <c r="M238" i="2"/>
  <c r="L238" i="2"/>
  <c r="K238" i="2"/>
  <c r="J238" i="2"/>
  <c r="I238" i="2"/>
  <c r="H238" i="2"/>
  <c r="M237" i="2"/>
  <c r="L237" i="2"/>
  <c r="K237" i="2"/>
  <c r="J237" i="2"/>
  <c r="I237" i="2"/>
  <c r="H237" i="2"/>
  <c r="M236" i="2"/>
  <c r="L236" i="2"/>
  <c r="K236" i="2"/>
  <c r="J236" i="2"/>
  <c r="I236" i="2"/>
  <c r="H236" i="2"/>
  <c r="M235" i="2"/>
  <c r="L235" i="2"/>
  <c r="K235" i="2"/>
  <c r="J235" i="2"/>
  <c r="I235" i="2"/>
  <c r="H235" i="2"/>
  <c r="M234" i="2"/>
  <c r="L234" i="2"/>
  <c r="K234" i="2"/>
  <c r="J234" i="2"/>
  <c r="I234" i="2"/>
  <c r="H234" i="2"/>
  <c r="M233" i="2"/>
  <c r="L233" i="2"/>
  <c r="K233" i="2"/>
  <c r="J233" i="2"/>
  <c r="I233" i="2"/>
  <c r="H233" i="2"/>
  <c r="M232" i="2"/>
  <c r="L232" i="2"/>
  <c r="K232" i="2"/>
  <c r="J232" i="2"/>
  <c r="I232" i="2"/>
  <c r="H232" i="2"/>
  <c r="M231" i="2"/>
  <c r="L231" i="2"/>
  <c r="K231" i="2"/>
  <c r="J231" i="2"/>
  <c r="I231" i="2"/>
  <c r="H231" i="2"/>
  <c r="M230" i="2"/>
  <c r="L230" i="2"/>
  <c r="K230" i="2"/>
  <c r="J230" i="2"/>
  <c r="I230" i="2"/>
  <c r="H230" i="2"/>
  <c r="M229" i="2"/>
  <c r="L229" i="2"/>
  <c r="K229" i="2"/>
  <c r="J229" i="2"/>
  <c r="I229" i="2"/>
  <c r="H229" i="2"/>
  <c r="M228" i="2"/>
  <c r="L228" i="2"/>
  <c r="K228" i="2"/>
  <c r="J228" i="2"/>
  <c r="I228" i="2"/>
  <c r="H228" i="2"/>
  <c r="M227" i="2"/>
  <c r="L227" i="2"/>
  <c r="K227" i="2"/>
  <c r="J227" i="2"/>
  <c r="I227" i="2"/>
  <c r="H227" i="2"/>
  <c r="M226" i="2"/>
  <c r="L226" i="2"/>
  <c r="K226" i="2"/>
  <c r="J226" i="2"/>
  <c r="I226" i="2"/>
  <c r="H226" i="2"/>
  <c r="M225" i="2"/>
  <c r="L225" i="2"/>
  <c r="K225" i="2"/>
  <c r="J225" i="2"/>
  <c r="I225" i="2"/>
  <c r="H225" i="2"/>
  <c r="M224" i="2"/>
  <c r="L224" i="2"/>
  <c r="K224" i="2"/>
  <c r="J224" i="2"/>
  <c r="I224" i="2"/>
  <c r="H224" i="2"/>
  <c r="M223" i="2"/>
  <c r="L223" i="2"/>
  <c r="K223" i="2"/>
  <c r="J223" i="2"/>
  <c r="I223" i="2"/>
  <c r="H223" i="2"/>
  <c r="M222" i="2"/>
  <c r="L222" i="2"/>
  <c r="K222" i="2"/>
  <c r="J222" i="2"/>
  <c r="I222" i="2"/>
  <c r="H222" i="2"/>
  <c r="M221" i="2"/>
  <c r="L221" i="2"/>
  <c r="K221" i="2"/>
  <c r="J221" i="2"/>
  <c r="I221" i="2"/>
  <c r="H221" i="2"/>
  <c r="M220" i="2"/>
  <c r="L220" i="2"/>
  <c r="K220" i="2"/>
  <c r="J220" i="2"/>
  <c r="I220" i="2"/>
  <c r="H220" i="2"/>
  <c r="M219" i="2"/>
  <c r="L219" i="2"/>
  <c r="K219" i="2"/>
  <c r="J219" i="2"/>
  <c r="I219" i="2"/>
  <c r="H219" i="2"/>
  <c r="M218" i="2"/>
  <c r="L218" i="2"/>
  <c r="K218" i="2"/>
  <c r="J218" i="2"/>
  <c r="I218" i="2"/>
  <c r="H218" i="2"/>
  <c r="M217" i="2"/>
  <c r="L217" i="2"/>
  <c r="K217" i="2"/>
  <c r="J217" i="2"/>
  <c r="I217" i="2"/>
  <c r="H217" i="2"/>
  <c r="M216" i="2"/>
  <c r="L216" i="2"/>
  <c r="K216" i="2"/>
  <c r="J216" i="2"/>
  <c r="I216" i="2"/>
  <c r="H216" i="2"/>
  <c r="M215" i="2"/>
  <c r="L215" i="2"/>
  <c r="K215" i="2"/>
  <c r="J215" i="2"/>
  <c r="I215" i="2"/>
  <c r="H215" i="2"/>
  <c r="M214" i="2"/>
  <c r="L214" i="2"/>
  <c r="K214" i="2"/>
  <c r="J214" i="2"/>
  <c r="I214" i="2"/>
  <c r="H214" i="2"/>
  <c r="M213" i="2"/>
  <c r="L213" i="2"/>
  <c r="K213" i="2"/>
  <c r="J213" i="2"/>
  <c r="I213" i="2"/>
  <c r="H213" i="2"/>
  <c r="M212" i="2"/>
  <c r="L212" i="2"/>
  <c r="K212" i="2"/>
  <c r="J212" i="2"/>
  <c r="I212" i="2"/>
  <c r="H212" i="2"/>
  <c r="M211" i="2"/>
  <c r="L211" i="2"/>
  <c r="K211" i="2"/>
  <c r="J211" i="2"/>
  <c r="I211" i="2"/>
  <c r="H211" i="2"/>
  <c r="M210" i="2"/>
  <c r="L210" i="2"/>
  <c r="K210" i="2"/>
  <c r="J210" i="2"/>
  <c r="I210" i="2"/>
  <c r="H210" i="2"/>
  <c r="M209" i="2"/>
  <c r="L209" i="2"/>
  <c r="K209" i="2"/>
  <c r="J209" i="2"/>
  <c r="I209" i="2"/>
  <c r="H209" i="2"/>
  <c r="M208" i="2"/>
  <c r="L208" i="2"/>
  <c r="K208" i="2"/>
  <c r="J208" i="2"/>
  <c r="I208" i="2"/>
  <c r="H208" i="2"/>
  <c r="M207" i="2"/>
  <c r="L207" i="2"/>
  <c r="K207" i="2"/>
  <c r="J207" i="2"/>
  <c r="I207" i="2"/>
  <c r="H207" i="2"/>
  <c r="M206" i="2"/>
  <c r="L206" i="2"/>
  <c r="K206" i="2"/>
  <c r="J206" i="2"/>
  <c r="I206" i="2"/>
  <c r="H206" i="2"/>
  <c r="M205" i="2"/>
  <c r="L205" i="2"/>
  <c r="K205" i="2"/>
  <c r="J205" i="2"/>
  <c r="I205" i="2"/>
  <c r="H205" i="2"/>
  <c r="M204" i="2"/>
  <c r="L204" i="2"/>
  <c r="K204" i="2"/>
  <c r="J204" i="2"/>
  <c r="I204" i="2"/>
  <c r="H204" i="2"/>
  <c r="M203" i="2"/>
  <c r="L203" i="2"/>
  <c r="K203" i="2"/>
  <c r="J203" i="2"/>
  <c r="I203" i="2"/>
  <c r="H203" i="2"/>
  <c r="M202" i="2"/>
  <c r="L202" i="2"/>
  <c r="K202" i="2"/>
  <c r="J202" i="2"/>
  <c r="I202" i="2"/>
  <c r="H202" i="2"/>
  <c r="M201" i="2"/>
  <c r="L201" i="2"/>
  <c r="K201" i="2"/>
  <c r="J201" i="2"/>
  <c r="I201" i="2"/>
  <c r="H201" i="2"/>
  <c r="M200" i="2"/>
  <c r="L200" i="2"/>
  <c r="K200" i="2"/>
  <c r="J200" i="2"/>
  <c r="I200" i="2"/>
  <c r="H200" i="2"/>
  <c r="M199" i="2"/>
  <c r="L199" i="2"/>
  <c r="K199" i="2"/>
  <c r="J199" i="2"/>
  <c r="I199" i="2"/>
  <c r="H199" i="2"/>
  <c r="M198" i="2"/>
  <c r="L198" i="2"/>
  <c r="K198" i="2"/>
  <c r="J198" i="2"/>
  <c r="I198" i="2"/>
  <c r="H198" i="2"/>
  <c r="M197" i="2"/>
  <c r="L197" i="2"/>
  <c r="K197" i="2"/>
  <c r="J197" i="2"/>
  <c r="I197" i="2"/>
  <c r="H197" i="2"/>
  <c r="M196" i="2"/>
  <c r="L196" i="2"/>
  <c r="K196" i="2"/>
  <c r="J196" i="2"/>
  <c r="I196" i="2"/>
  <c r="H196" i="2"/>
  <c r="M195" i="2"/>
  <c r="L195" i="2"/>
  <c r="K195" i="2"/>
  <c r="J195" i="2"/>
  <c r="I195" i="2"/>
  <c r="H195" i="2"/>
  <c r="M194" i="2"/>
  <c r="L194" i="2"/>
  <c r="K194" i="2"/>
  <c r="J194" i="2"/>
  <c r="I194" i="2"/>
  <c r="H194" i="2"/>
  <c r="M193" i="2"/>
  <c r="L193" i="2"/>
  <c r="K193" i="2"/>
  <c r="J193" i="2"/>
  <c r="I193" i="2"/>
  <c r="H193" i="2"/>
  <c r="M192" i="2"/>
  <c r="L192" i="2"/>
  <c r="K192" i="2"/>
  <c r="J192" i="2"/>
  <c r="I192" i="2"/>
  <c r="H192" i="2"/>
  <c r="M191" i="2"/>
  <c r="L191" i="2"/>
  <c r="K191" i="2"/>
  <c r="J191" i="2"/>
  <c r="I191" i="2"/>
  <c r="H191" i="2"/>
  <c r="M190" i="2"/>
  <c r="L190" i="2"/>
  <c r="K190" i="2"/>
  <c r="J190" i="2"/>
  <c r="I190" i="2"/>
  <c r="H190" i="2"/>
  <c r="M189" i="2"/>
  <c r="L189" i="2"/>
  <c r="K189" i="2"/>
  <c r="J189" i="2"/>
  <c r="I189" i="2"/>
  <c r="H189" i="2"/>
  <c r="M188" i="2"/>
  <c r="L188" i="2"/>
  <c r="K188" i="2"/>
  <c r="J188" i="2"/>
  <c r="I188" i="2"/>
  <c r="H188" i="2"/>
  <c r="M187" i="2"/>
  <c r="L187" i="2"/>
  <c r="K187" i="2"/>
  <c r="J187" i="2"/>
  <c r="I187" i="2"/>
  <c r="H187" i="2"/>
  <c r="M186" i="2"/>
  <c r="L186" i="2"/>
  <c r="K186" i="2"/>
  <c r="J186" i="2"/>
  <c r="I186" i="2"/>
  <c r="H186" i="2"/>
  <c r="M185" i="2"/>
  <c r="L185" i="2"/>
  <c r="K185" i="2"/>
  <c r="J185" i="2"/>
  <c r="I185" i="2"/>
  <c r="H185" i="2"/>
  <c r="M184" i="2"/>
  <c r="L184" i="2"/>
  <c r="K184" i="2"/>
  <c r="J184" i="2"/>
  <c r="I184" i="2"/>
  <c r="H184" i="2"/>
  <c r="M183" i="2"/>
  <c r="L183" i="2"/>
  <c r="K183" i="2"/>
  <c r="J183" i="2"/>
  <c r="I183" i="2"/>
  <c r="H183" i="2"/>
  <c r="M182" i="2"/>
  <c r="L182" i="2"/>
  <c r="K182" i="2"/>
  <c r="J182" i="2"/>
  <c r="I182" i="2"/>
  <c r="H182" i="2"/>
  <c r="M181" i="2"/>
  <c r="L181" i="2"/>
  <c r="K181" i="2"/>
  <c r="J181" i="2"/>
  <c r="I181" i="2"/>
  <c r="H181" i="2"/>
  <c r="M180" i="2"/>
  <c r="L180" i="2"/>
  <c r="K180" i="2"/>
  <c r="J180" i="2"/>
  <c r="I180" i="2"/>
  <c r="H180" i="2"/>
  <c r="M179" i="2"/>
  <c r="L179" i="2"/>
  <c r="K179" i="2"/>
  <c r="J179" i="2"/>
  <c r="I179" i="2"/>
  <c r="H179" i="2"/>
  <c r="M178" i="2"/>
  <c r="L178" i="2"/>
  <c r="K178" i="2"/>
  <c r="J178" i="2"/>
  <c r="I178" i="2"/>
  <c r="H178" i="2"/>
  <c r="M177" i="2"/>
  <c r="L177" i="2"/>
  <c r="K177" i="2"/>
  <c r="J177" i="2"/>
  <c r="I177" i="2"/>
  <c r="H177" i="2"/>
  <c r="M176" i="2"/>
  <c r="L176" i="2"/>
  <c r="K176" i="2"/>
  <c r="J176" i="2"/>
  <c r="I176" i="2"/>
  <c r="H176" i="2"/>
  <c r="M175" i="2"/>
  <c r="L175" i="2"/>
  <c r="K175" i="2"/>
  <c r="J175" i="2"/>
  <c r="I175" i="2"/>
  <c r="H175" i="2"/>
  <c r="M174" i="2"/>
  <c r="L174" i="2"/>
  <c r="K174" i="2"/>
  <c r="J174" i="2"/>
  <c r="I174" i="2"/>
  <c r="H174" i="2"/>
  <c r="M173" i="2"/>
  <c r="L173" i="2"/>
  <c r="K173" i="2"/>
  <c r="J173" i="2"/>
  <c r="I173" i="2"/>
  <c r="H173" i="2"/>
  <c r="M172" i="2"/>
  <c r="L172" i="2"/>
  <c r="K172" i="2"/>
  <c r="J172" i="2"/>
  <c r="I172" i="2"/>
  <c r="H172" i="2"/>
  <c r="M171" i="2"/>
  <c r="L171" i="2"/>
  <c r="K171" i="2"/>
  <c r="J171" i="2"/>
  <c r="I171" i="2"/>
  <c r="H171" i="2"/>
  <c r="M170" i="2"/>
  <c r="L170" i="2"/>
  <c r="K170" i="2"/>
  <c r="J170" i="2"/>
  <c r="I170" i="2"/>
  <c r="H170" i="2"/>
  <c r="M169" i="2"/>
  <c r="L169" i="2"/>
  <c r="K169" i="2"/>
  <c r="J169" i="2"/>
  <c r="I169" i="2"/>
  <c r="H169" i="2"/>
  <c r="M168" i="2"/>
  <c r="L168" i="2"/>
  <c r="K168" i="2"/>
  <c r="J168" i="2"/>
  <c r="I168" i="2"/>
  <c r="H168" i="2"/>
  <c r="M167" i="2"/>
  <c r="L167" i="2"/>
  <c r="K167" i="2"/>
  <c r="J167" i="2"/>
  <c r="I167" i="2"/>
  <c r="H167" i="2"/>
  <c r="M166" i="2"/>
  <c r="L166" i="2"/>
  <c r="K166" i="2"/>
  <c r="J166" i="2"/>
  <c r="I166" i="2"/>
  <c r="H166" i="2"/>
  <c r="M165" i="2"/>
  <c r="L165" i="2"/>
  <c r="K165" i="2"/>
  <c r="J165" i="2"/>
  <c r="I165" i="2"/>
  <c r="H165" i="2"/>
  <c r="M164" i="2"/>
  <c r="L164" i="2"/>
  <c r="K164" i="2"/>
  <c r="J164" i="2"/>
  <c r="I164" i="2"/>
  <c r="H164" i="2"/>
  <c r="M163" i="2"/>
  <c r="L163" i="2"/>
  <c r="K163" i="2"/>
  <c r="J163" i="2"/>
  <c r="I163" i="2"/>
  <c r="H163" i="2"/>
  <c r="M162" i="2"/>
  <c r="L162" i="2"/>
  <c r="K162" i="2"/>
  <c r="J162" i="2"/>
  <c r="I162" i="2"/>
  <c r="H162" i="2"/>
  <c r="M161" i="2"/>
  <c r="L161" i="2"/>
  <c r="K161" i="2"/>
  <c r="J161" i="2"/>
  <c r="I161" i="2"/>
  <c r="H161" i="2"/>
  <c r="M160" i="2"/>
  <c r="L160" i="2"/>
  <c r="K160" i="2"/>
  <c r="J160" i="2"/>
  <c r="I160" i="2"/>
  <c r="H160" i="2"/>
  <c r="M159" i="2"/>
  <c r="L159" i="2"/>
  <c r="K159" i="2"/>
  <c r="J159" i="2"/>
  <c r="I159" i="2"/>
  <c r="H159" i="2"/>
  <c r="M158" i="2"/>
  <c r="L158" i="2"/>
  <c r="K158" i="2"/>
  <c r="J158" i="2"/>
  <c r="I158" i="2"/>
  <c r="H158" i="2"/>
  <c r="M157" i="2"/>
  <c r="L157" i="2"/>
  <c r="K157" i="2"/>
  <c r="J157" i="2"/>
  <c r="I157" i="2"/>
  <c r="H157" i="2"/>
  <c r="M156" i="2"/>
  <c r="L156" i="2"/>
  <c r="K156" i="2"/>
  <c r="J156" i="2"/>
  <c r="I156" i="2"/>
  <c r="H156" i="2"/>
  <c r="M155" i="2"/>
  <c r="L155" i="2"/>
  <c r="K155" i="2"/>
  <c r="J155" i="2"/>
  <c r="I155" i="2"/>
  <c r="H155" i="2"/>
  <c r="M154" i="2"/>
  <c r="L154" i="2"/>
  <c r="K154" i="2"/>
  <c r="J154" i="2"/>
  <c r="I154" i="2"/>
  <c r="H154" i="2"/>
  <c r="M153" i="2"/>
  <c r="L153" i="2"/>
  <c r="K153" i="2"/>
  <c r="J153" i="2"/>
  <c r="I153" i="2"/>
  <c r="H153" i="2"/>
  <c r="M152" i="2"/>
  <c r="L152" i="2"/>
  <c r="K152" i="2"/>
  <c r="J152" i="2"/>
  <c r="I152" i="2"/>
  <c r="H152" i="2"/>
  <c r="M151" i="2"/>
  <c r="L151" i="2"/>
  <c r="K151" i="2"/>
  <c r="J151" i="2"/>
  <c r="I151" i="2"/>
  <c r="H151" i="2"/>
  <c r="M150" i="2"/>
  <c r="L150" i="2"/>
  <c r="K150" i="2"/>
  <c r="J150" i="2"/>
  <c r="I150" i="2"/>
  <c r="H150" i="2"/>
  <c r="M149" i="2"/>
  <c r="L149" i="2"/>
  <c r="K149" i="2"/>
  <c r="J149" i="2"/>
  <c r="I149" i="2"/>
  <c r="H149" i="2"/>
  <c r="M148" i="2"/>
  <c r="L148" i="2"/>
  <c r="K148" i="2"/>
  <c r="J148" i="2"/>
  <c r="I148" i="2"/>
  <c r="H148" i="2"/>
  <c r="M147" i="2"/>
  <c r="L147" i="2"/>
  <c r="K147" i="2"/>
  <c r="J147" i="2"/>
  <c r="I147" i="2"/>
  <c r="H147" i="2"/>
  <c r="M146" i="2"/>
  <c r="L146" i="2"/>
  <c r="K146" i="2"/>
  <c r="J146" i="2"/>
  <c r="I146" i="2"/>
  <c r="H146" i="2"/>
  <c r="M145" i="2"/>
  <c r="L145" i="2"/>
  <c r="K145" i="2"/>
  <c r="J145" i="2"/>
  <c r="I145" i="2"/>
  <c r="H145" i="2"/>
  <c r="M144" i="2"/>
  <c r="L144" i="2"/>
  <c r="K144" i="2"/>
  <c r="J144" i="2"/>
  <c r="I144" i="2"/>
  <c r="H144" i="2"/>
  <c r="M143" i="2"/>
  <c r="L143" i="2"/>
  <c r="K143" i="2"/>
  <c r="J143" i="2"/>
  <c r="I143" i="2"/>
  <c r="H143" i="2"/>
  <c r="M142" i="2"/>
  <c r="L142" i="2"/>
  <c r="K142" i="2"/>
  <c r="J142" i="2"/>
  <c r="I142" i="2"/>
  <c r="H142" i="2"/>
  <c r="M141" i="2"/>
  <c r="L141" i="2"/>
  <c r="K141" i="2"/>
  <c r="J141" i="2"/>
  <c r="I141" i="2"/>
  <c r="H141" i="2"/>
  <c r="M140" i="2"/>
  <c r="L140" i="2"/>
  <c r="K140" i="2"/>
  <c r="J140" i="2"/>
  <c r="I140" i="2"/>
  <c r="H140" i="2"/>
  <c r="M139" i="2"/>
  <c r="L139" i="2"/>
  <c r="K139" i="2"/>
  <c r="J139" i="2"/>
  <c r="I139" i="2"/>
  <c r="H139" i="2"/>
  <c r="M138" i="2"/>
  <c r="L138" i="2"/>
  <c r="K138" i="2"/>
  <c r="J138" i="2"/>
  <c r="I138" i="2"/>
  <c r="H138" i="2"/>
  <c r="M137" i="2"/>
  <c r="L137" i="2"/>
  <c r="K137" i="2"/>
  <c r="J137" i="2"/>
  <c r="I137" i="2"/>
  <c r="H137" i="2"/>
  <c r="M136" i="2"/>
  <c r="L136" i="2"/>
  <c r="K136" i="2"/>
  <c r="J136" i="2"/>
  <c r="I136" i="2"/>
  <c r="H136" i="2"/>
  <c r="M135" i="2"/>
  <c r="L135" i="2"/>
  <c r="K135" i="2"/>
  <c r="J135" i="2"/>
  <c r="I135" i="2"/>
  <c r="H135" i="2"/>
  <c r="M134" i="2"/>
  <c r="L134" i="2"/>
  <c r="K134" i="2"/>
  <c r="J134" i="2"/>
  <c r="I134" i="2"/>
  <c r="H134" i="2"/>
  <c r="M133" i="2"/>
  <c r="L133" i="2"/>
  <c r="K133" i="2"/>
  <c r="J133" i="2"/>
  <c r="I133" i="2"/>
  <c r="H133" i="2"/>
  <c r="M132" i="2"/>
  <c r="L132" i="2"/>
  <c r="K132" i="2"/>
  <c r="J132" i="2"/>
  <c r="I132" i="2"/>
  <c r="H132" i="2"/>
  <c r="M131" i="2"/>
  <c r="L131" i="2"/>
  <c r="K131" i="2"/>
  <c r="J131" i="2"/>
  <c r="I131" i="2"/>
  <c r="H131" i="2"/>
  <c r="M130" i="2"/>
  <c r="L130" i="2"/>
  <c r="K130" i="2"/>
  <c r="J130" i="2"/>
  <c r="I130" i="2"/>
  <c r="H130" i="2"/>
  <c r="M129" i="2"/>
  <c r="L129" i="2"/>
  <c r="K129" i="2"/>
  <c r="J129" i="2"/>
  <c r="I129" i="2"/>
  <c r="H129" i="2"/>
  <c r="M128" i="2"/>
  <c r="L128" i="2"/>
  <c r="K128" i="2"/>
  <c r="J128" i="2"/>
  <c r="I128" i="2"/>
  <c r="H128" i="2"/>
  <c r="M127" i="2"/>
  <c r="L127" i="2"/>
  <c r="K127" i="2"/>
  <c r="J127" i="2"/>
  <c r="I127" i="2"/>
  <c r="H127" i="2"/>
  <c r="M126" i="2"/>
  <c r="L126" i="2"/>
  <c r="K126" i="2"/>
  <c r="J126" i="2"/>
  <c r="I126" i="2"/>
  <c r="H126" i="2"/>
  <c r="M125" i="2"/>
  <c r="L125" i="2"/>
  <c r="K125" i="2"/>
  <c r="J125" i="2"/>
  <c r="I125" i="2"/>
  <c r="H125" i="2"/>
  <c r="M124" i="2"/>
  <c r="L124" i="2"/>
  <c r="K124" i="2"/>
  <c r="J124" i="2"/>
  <c r="I124" i="2"/>
  <c r="H124" i="2"/>
  <c r="M123" i="2"/>
  <c r="L123" i="2"/>
  <c r="K123" i="2"/>
  <c r="J123" i="2"/>
  <c r="I123" i="2"/>
  <c r="H123" i="2"/>
  <c r="M122" i="2"/>
  <c r="L122" i="2"/>
  <c r="K122" i="2"/>
  <c r="J122" i="2"/>
  <c r="I122" i="2"/>
  <c r="H122" i="2"/>
  <c r="M121" i="2"/>
  <c r="L121" i="2"/>
  <c r="K121" i="2"/>
  <c r="J121" i="2"/>
  <c r="I121" i="2"/>
  <c r="H121" i="2"/>
  <c r="M120" i="2"/>
  <c r="L120" i="2"/>
  <c r="K120" i="2"/>
  <c r="J120" i="2"/>
  <c r="I120" i="2"/>
  <c r="H120" i="2"/>
  <c r="M119" i="2"/>
  <c r="L119" i="2"/>
  <c r="K119" i="2"/>
  <c r="J119" i="2"/>
  <c r="I119" i="2"/>
  <c r="H119" i="2"/>
  <c r="M118" i="2"/>
  <c r="L118" i="2"/>
  <c r="K118" i="2"/>
  <c r="J118" i="2"/>
  <c r="I118" i="2"/>
  <c r="H118" i="2"/>
  <c r="M117" i="2"/>
  <c r="L117" i="2"/>
  <c r="K117" i="2"/>
  <c r="J117" i="2"/>
  <c r="I117" i="2"/>
  <c r="H117" i="2"/>
  <c r="M116" i="2"/>
  <c r="L116" i="2"/>
  <c r="K116" i="2"/>
  <c r="J116" i="2"/>
  <c r="I116" i="2"/>
  <c r="H116" i="2"/>
  <c r="M115" i="2"/>
  <c r="L115" i="2"/>
  <c r="K115" i="2"/>
  <c r="J115" i="2"/>
  <c r="I115" i="2"/>
  <c r="H115" i="2"/>
  <c r="M114" i="2"/>
  <c r="L114" i="2"/>
  <c r="K114" i="2"/>
  <c r="J114" i="2"/>
  <c r="I114" i="2"/>
  <c r="H114" i="2"/>
  <c r="M113" i="2"/>
  <c r="L113" i="2"/>
  <c r="K113" i="2"/>
  <c r="J113" i="2"/>
  <c r="I113" i="2"/>
  <c r="H113" i="2"/>
  <c r="M112" i="2"/>
  <c r="L112" i="2"/>
  <c r="K112" i="2"/>
  <c r="J112" i="2"/>
  <c r="I112" i="2"/>
  <c r="H112" i="2"/>
  <c r="M111" i="2"/>
  <c r="L111" i="2"/>
  <c r="K111" i="2"/>
  <c r="J111" i="2"/>
  <c r="I111" i="2"/>
  <c r="H111" i="2"/>
  <c r="M110" i="2"/>
  <c r="L110" i="2"/>
  <c r="K110" i="2"/>
  <c r="J110" i="2"/>
  <c r="I110" i="2"/>
  <c r="H110" i="2"/>
  <c r="M109" i="2"/>
  <c r="L109" i="2"/>
  <c r="K109" i="2"/>
  <c r="J109" i="2"/>
  <c r="I109" i="2"/>
  <c r="H109" i="2"/>
  <c r="M108" i="2"/>
  <c r="L108" i="2"/>
  <c r="K108" i="2"/>
  <c r="J108" i="2"/>
  <c r="I108" i="2"/>
  <c r="H108" i="2"/>
  <c r="M107" i="2"/>
  <c r="L107" i="2"/>
  <c r="K107" i="2"/>
  <c r="J107" i="2"/>
  <c r="I107" i="2"/>
  <c r="H107" i="2"/>
  <c r="M106" i="2"/>
  <c r="L106" i="2"/>
  <c r="K106" i="2"/>
  <c r="J106" i="2"/>
  <c r="I106" i="2"/>
  <c r="H106" i="2"/>
  <c r="M105" i="2"/>
  <c r="L105" i="2"/>
  <c r="K105" i="2"/>
  <c r="J105" i="2"/>
  <c r="I105" i="2"/>
  <c r="H105" i="2"/>
  <c r="M104" i="2"/>
  <c r="L104" i="2"/>
  <c r="K104" i="2"/>
  <c r="J104" i="2"/>
  <c r="I104" i="2"/>
  <c r="H104" i="2"/>
  <c r="M103" i="2"/>
  <c r="L103" i="2"/>
  <c r="K103" i="2"/>
  <c r="J103" i="2"/>
  <c r="I103" i="2"/>
  <c r="H103" i="2"/>
  <c r="M102" i="2"/>
  <c r="L102" i="2"/>
  <c r="K102" i="2"/>
  <c r="J102" i="2"/>
  <c r="I102" i="2"/>
  <c r="H102" i="2"/>
  <c r="M101" i="2"/>
  <c r="L101" i="2"/>
  <c r="K101" i="2"/>
  <c r="J101" i="2"/>
  <c r="I101" i="2"/>
  <c r="H101" i="2"/>
  <c r="M100" i="2"/>
  <c r="L100" i="2"/>
  <c r="K100" i="2"/>
  <c r="J100" i="2"/>
  <c r="I100" i="2"/>
  <c r="H100" i="2"/>
  <c r="M99" i="2"/>
  <c r="L99" i="2"/>
  <c r="K99" i="2"/>
  <c r="J99" i="2"/>
  <c r="I99" i="2"/>
  <c r="H99" i="2"/>
  <c r="M98" i="2"/>
  <c r="L98" i="2"/>
  <c r="K98" i="2"/>
  <c r="J98" i="2"/>
  <c r="I98" i="2"/>
  <c r="H98" i="2"/>
  <c r="M97" i="2"/>
  <c r="L97" i="2"/>
  <c r="K97" i="2"/>
  <c r="J97" i="2"/>
  <c r="I97" i="2"/>
  <c r="H97" i="2"/>
  <c r="M96" i="2"/>
  <c r="L96" i="2"/>
  <c r="K96" i="2"/>
  <c r="J96" i="2"/>
  <c r="I96" i="2"/>
  <c r="H96" i="2"/>
  <c r="M95" i="2"/>
  <c r="L95" i="2"/>
  <c r="K95" i="2"/>
  <c r="J95" i="2"/>
  <c r="I95" i="2"/>
  <c r="H95" i="2"/>
  <c r="M94" i="2"/>
  <c r="L94" i="2"/>
  <c r="K94" i="2"/>
  <c r="J94" i="2"/>
  <c r="I94" i="2"/>
  <c r="H94" i="2"/>
  <c r="M93" i="2"/>
  <c r="L93" i="2"/>
  <c r="K93" i="2"/>
  <c r="J93" i="2"/>
  <c r="I93" i="2"/>
  <c r="H93" i="2"/>
  <c r="M92" i="2"/>
  <c r="L92" i="2"/>
  <c r="K92" i="2"/>
  <c r="J92" i="2"/>
  <c r="I92" i="2"/>
  <c r="H92" i="2"/>
  <c r="M91" i="2"/>
  <c r="L91" i="2"/>
  <c r="K91" i="2"/>
  <c r="J91" i="2"/>
  <c r="I91" i="2"/>
  <c r="H91" i="2"/>
  <c r="M90" i="2"/>
  <c r="L90" i="2"/>
  <c r="K90" i="2"/>
  <c r="J90" i="2"/>
  <c r="I90" i="2"/>
  <c r="H90" i="2"/>
  <c r="M89" i="2"/>
  <c r="L89" i="2"/>
  <c r="K89" i="2"/>
  <c r="J89" i="2"/>
  <c r="I89" i="2"/>
  <c r="H89" i="2"/>
  <c r="M88" i="2"/>
  <c r="L88" i="2"/>
  <c r="K88" i="2"/>
  <c r="J88" i="2"/>
  <c r="I88" i="2"/>
  <c r="H88" i="2"/>
  <c r="M87" i="2"/>
  <c r="L87" i="2"/>
  <c r="K87" i="2"/>
  <c r="J87" i="2"/>
  <c r="I87" i="2"/>
  <c r="H87" i="2"/>
  <c r="M86" i="2"/>
  <c r="L86" i="2"/>
  <c r="K86" i="2"/>
  <c r="J86" i="2"/>
  <c r="I86" i="2"/>
  <c r="H86" i="2"/>
  <c r="M85" i="2"/>
  <c r="L85" i="2"/>
  <c r="K85" i="2"/>
  <c r="J85" i="2"/>
  <c r="I85" i="2"/>
  <c r="H85" i="2"/>
  <c r="M84" i="2"/>
  <c r="L84" i="2"/>
  <c r="K84" i="2"/>
  <c r="J84" i="2"/>
  <c r="I84" i="2"/>
  <c r="H84" i="2"/>
  <c r="M83" i="2"/>
  <c r="L83" i="2"/>
  <c r="K83" i="2"/>
  <c r="J83" i="2"/>
  <c r="I83" i="2"/>
  <c r="H83" i="2"/>
  <c r="M82" i="2"/>
  <c r="L82" i="2"/>
  <c r="K82" i="2"/>
  <c r="J82" i="2"/>
  <c r="I82" i="2"/>
  <c r="H82" i="2"/>
  <c r="M81" i="2"/>
  <c r="L81" i="2"/>
  <c r="K81" i="2"/>
  <c r="J81" i="2"/>
  <c r="I81" i="2"/>
  <c r="H81" i="2"/>
  <c r="M80" i="2"/>
  <c r="L80" i="2"/>
  <c r="K80" i="2"/>
  <c r="J80" i="2"/>
  <c r="I80" i="2"/>
  <c r="H80" i="2"/>
  <c r="M79" i="2"/>
  <c r="L79" i="2"/>
  <c r="K79" i="2"/>
  <c r="J79" i="2"/>
  <c r="I79" i="2"/>
  <c r="H79" i="2"/>
  <c r="M78" i="2"/>
  <c r="L78" i="2"/>
  <c r="K78" i="2"/>
  <c r="J78" i="2"/>
  <c r="I78" i="2"/>
  <c r="H78" i="2"/>
  <c r="M77" i="2"/>
  <c r="L77" i="2"/>
  <c r="K77" i="2"/>
  <c r="J77" i="2"/>
  <c r="I77" i="2"/>
  <c r="H77" i="2"/>
  <c r="M76" i="2"/>
  <c r="L76" i="2"/>
  <c r="K76" i="2"/>
  <c r="J76" i="2"/>
  <c r="I76" i="2"/>
  <c r="H76" i="2"/>
  <c r="M75" i="2"/>
  <c r="L75" i="2"/>
  <c r="K75" i="2"/>
  <c r="J75" i="2"/>
  <c r="I75" i="2"/>
  <c r="H75" i="2"/>
  <c r="M74" i="2"/>
  <c r="L74" i="2"/>
  <c r="K74" i="2"/>
  <c r="J74" i="2"/>
  <c r="I74" i="2"/>
  <c r="H74" i="2"/>
  <c r="M73" i="2"/>
  <c r="L73" i="2"/>
  <c r="K73" i="2"/>
  <c r="J73" i="2"/>
  <c r="I73" i="2"/>
  <c r="H73" i="2"/>
  <c r="M72" i="2"/>
  <c r="L72" i="2"/>
  <c r="K72" i="2"/>
  <c r="J72" i="2"/>
  <c r="I72" i="2"/>
  <c r="H72" i="2"/>
  <c r="M71" i="2"/>
  <c r="L71" i="2"/>
  <c r="K71" i="2"/>
  <c r="J71" i="2"/>
  <c r="I71" i="2"/>
  <c r="H71" i="2"/>
  <c r="M70" i="2"/>
  <c r="L70" i="2"/>
  <c r="K70" i="2"/>
  <c r="J70" i="2"/>
  <c r="I70" i="2"/>
  <c r="H70" i="2"/>
  <c r="M69" i="2"/>
  <c r="L69" i="2"/>
  <c r="K69" i="2"/>
  <c r="J69" i="2"/>
  <c r="I69" i="2"/>
  <c r="H69" i="2"/>
  <c r="M68" i="2"/>
  <c r="L68" i="2"/>
  <c r="K68" i="2"/>
  <c r="J68" i="2"/>
  <c r="I68" i="2"/>
  <c r="H68" i="2"/>
  <c r="M67" i="2"/>
  <c r="L67" i="2"/>
  <c r="K67" i="2"/>
  <c r="J67" i="2"/>
  <c r="I67" i="2"/>
  <c r="H67" i="2"/>
  <c r="M66" i="2"/>
  <c r="L66" i="2"/>
  <c r="K66" i="2"/>
  <c r="J66" i="2"/>
  <c r="I66" i="2"/>
  <c r="H66" i="2"/>
  <c r="M65" i="2"/>
  <c r="L65" i="2"/>
  <c r="K65" i="2"/>
  <c r="J65" i="2"/>
  <c r="I65" i="2"/>
  <c r="H65" i="2"/>
  <c r="M64" i="2"/>
  <c r="L64" i="2"/>
  <c r="K64" i="2"/>
  <c r="J64" i="2"/>
  <c r="I64" i="2"/>
  <c r="H64" i="2"/>
  <c r="M63" i="2"/>
  <c r="L63" i="2"/>
  <c r="K63" i="2"/>
  <c r="J63" i="2"/>
  <c r="I63" i="2"/>
  <c r="H63" i="2"/>
  <c r="M62" i="2"/>
  <c r="L62" i="2"/>
  <c r="K62" i="2"/>
  <c r="J62" i="2"/>
  <c r="I62" i="2"/>
  <c r="H62" i="2"/>
  <c r="M61" i="2"/>
  <c r="L61" i="2"/>
  <c r="K61" i="2"/>
  <c r="J61" i="2"/>
  <c r="I61" i="2"/>
  <c r="H61" i="2"/>
  <c r="M60" i="2"/>
  <c r="L60" i="2"/>
  <c r="K60" i="2"/>
  <c r="J60" i="2"/>
  <c r="I60" i="2"/>
  <c r="H60" i="2"/>
  <c r="M59" i="2"/>
  <c r="L59" i="2"/>
  <c r="K59" i="2"/>
  <c r="J59" i="2"/>
  <c r="I59" i="2"/>
  <c r="H59" i="2"/>
  <c r="M58" i="2"/>
  <c r="L58" i="2"/>
  <c r="K58" i="2"/>
  <c r="J58" i="2"/>
  <c r="I58" i="2"/>
  <c r="H58" i="2"/>
  <c r="M57" i="2"/>
  <c r="L57" i="2"/>
  <c r="K57" i="2"/>
  <c r="J57" i="2"/>
  <c r="I57" i="2"/>
  <c r="H57" i="2"/>
  <c r="M56" i="2"/>
  <c r="L56" i="2"/>
  <c r="K56" i="2"/>
  <c r="J56" i="2"/>
  <c r="I56" i="2"/>
  <c r="H56" i="2"/>
  <c r="M55" i="2"/>
  <c r="L55" i="2"/>
  <c r="K55" i="2"/>
  <c r="J55" i="2"/>
  <c r="I55" i="2"/>
  <c r="H55" i="2"/>
  <c r="M54" i="2"/>
  <c r="L54" i="2"/>
  <c r="K54" i="2"/>
  <c r="J54" i="2"/>
  <c r="I54" i="2"/>
  <c r="H54" i="2"/>
  <c r="M53" i="2"/>
  <c r="L53" i="2"/>
  <c r="K53" i="2"/>
  <c r="J53" i="2"/>
  <c r="I53" i="2"/>
  <c r="H53" i="2"/>
  <c r="M52" i="2"/>
  <c r="L52" i="2"/>
  <c r="K52" i="2"/>
  <c r="J52" i="2"/>
  <c r="I52" i="2"/>
  <c r="H52" i="2"/>
  <c r="M51" i="2"/>
  <c r="L51" i="2"/>
  <c r="K51" i="2"/>
  <c r="J51" i="2"/>
  <c r="I51" i="2"/>
  <c r="H51" i="2"/>
  <c r="M50" i="2"/>
  <c r="L50" i="2"/>
  <c r="K50" i="2"/>
  <c r="J50" i="2"/>
  <c r="I50" i="2"/>
  <c r="H50" i="2"/>
  <c r="M49" i="2"/>
  <c r="L49" i="2"/>
  <c r="K49" i="2"/>
  <c r="J49" i="2"/>
  <c r="I49" i="2"/>
  <c r="H49" i="2"/>
  <c r="M48" i="2"/>
  <c r="L48" i="2"/>
  <c r="K48" i="2"/>
  <c r="J48" i="2"/>
  <c r="I48" i="2"/>
  <c r="H48" i="2"/>
  <c r="M47" i="2"/>
  <c r="L47" i="2"/>
  <c r="K47" i="2"/>
  <c r="J47" i="2"/>
  <c r="I47" i="2"/>
  <c r="H47" i="2"/>
  <c r="M46" i="2"/>
  <c r="L46" i="2"/>
  <c r="K46" i="2"/>
  <c r="J46" i="2"/>
  <c r="I46" i="2"/>
  <c r="H46" i="2"/>
  <c r="M45" i="2"/>
  <c r="L45" i="2"/>
  <c r="K45" i="2"/>
  <c r="J45" i="2"/>
  <c r="I45" i="2"/>
  <c r="H45" i="2"/>
  <c r="M44" i="2"/>
  <c r="L44" i="2"/>
  <c r="K44" i="2"/>
  <c r="J44" i="2"/>
  <c r="I44" i="2"/>
  <c r="H44" i="2"/>
  <c r="M43" i="2"/>
  <c r="L43" i="2"/>
  <c r="K43" i="2"/>
  <c r="J43" i="2"/>
  <c r="I43" i="2"/>
  <c r="H43" i="2"/>
  <c r="M42" i="2"/>
  <c r="L42" i="2"/>
  <c r="K42" i="2"/>
  <c r="J42" i="2"/>
  <c r="I42" i="2"/>
  <c r="H42" i="2"/>
  <c r="M41" i="2"/>
  <c r="L41" i="2"/>
  <c r="K41" i="2"/>
  <c r="J41" i="2"/>
  <c r="I41" i="2"/>
  <c r="H41" i="2"/>
  <c r="M40" i="2"/>
  <c r="L40" i="2"/>
  <c r="K40" i="2"/>
  <c r="J40" i="2"/>
  <c r="I40" i="2"/>
  <c r="H40" i="2"/>
  <c r="M39" i="2"/>
  <c r="L39" i="2"/>
  <c r="K39" i="2"/>
  <c r="J39" i="2"/>
  <c r="I39" i="2"/>
  <c r="H39" i="2"/>
  <c r="M38" i="2"/>
  <c r="L38" i="2"/>
  <c r="K38" i="2"/>
  <c r="J38" i="2"/>
  <c r="I38" i="2"/>
  <c r="H38" i="2"/>
  <c r="M37" i="2"/>
  <c r="L37" i="2"/>
  <c r="K37" i="2"/>
  <c r="J37" i="2"/>
  <c r="I37" i="2"/>
  <c r="H37" i="2"/>
  <c r="M36" i="2"/>
  <c r="L36" i="2"/>
  <c r="K36" i="2"/>
  <c r="J36" i="2"/>
  <c r="I36" i="2"/>
  <c r="H36" i="2"/>
  <c r="M35" i="2"/>
  <c r="L35" i="2"/>
  <c r="K35" i="2"/>
  <c r="J35" i="2"/>
  <c r="I35" i="2"/>
  <c r="H35" i="2"/>
  <c r="M34" i="2"/>
  <c r="L34" i="2"/>
  <c r="K34" i="2"/>
  <c r="J34" i="2"/>
  <c r="I34" i="2"/>
  <c r="H34" i="2"/>
  <c r="M33" i="2"/>
  <c r="L33" i="2"/>
  <c r="K33" i="2"/>
  <c r="J33" i="2"/>
  <c r="I33" i="2"/>
  <c r="H33" i="2"/>
  <c r="M32" i="2"/>
  <c r="L32" i="2"/>
  <c r="K32" i="2"/>
  <c r="J32" i="2"/>
  <c r="I32" i="2"/>
  <c r="H32" i="2"/>
  <c r="M31" i="2"/>
  <c r="L31" i="2"/>
  <c r="K31" i="2"/>
  <c r="J31" i="2"/>
  <c r="I31" i="2"/>
  <c r="H31" i="2"/>
  <c r="M30" i="2"/>
  <c r="L30" i="2"/>
  <c r="K30" i="2"/>
  <c r="J30" i="2"/>
  <c r="I30" i="2"/>
  <c r="H30" i="2"/>
  <c r="M29" i="2"/>
  <c r="L29" i="2"/>
  <c r="K29" i="2"/>
  <c r="J29" i="2"/>
  <c r="I29" i="2"/>
  <c r="H29" i="2"/>
  <c r="M28" i="2"/>
  <c r="L28" i="2"/>
  <c r="K28" i="2"/>
  <c r="J28" i="2"/>
  <c r="I28" i="2"/>
  <c r="H28" i="2"/>
  <c r="M27" i="2"/>
  <c r="L27" i="2"/>
  <c r="K27" i="2"/>
  <c r="J27" i="2"/>
  <c r="I27" i="2"/>
  <c r="H27" i="2"/>
  <c r="M26" i="2"/>
  <c r="L26" i="2"/>
  <c r="K26" i="2"/>
  <c r="J26" i="2"/>
  <c r="I26" i="2"/>
  <c r="H26" i="2"/>
  <c r="M25" i="2"/>
  <c r="L25" i="2"/>
  <c r="K25" i="2"/>
  <c r="J25" i="2"/>
  <c r="I25" i="2"/>
  <c r="H25" i="2"/>
  <c r="M24" i="2"/>
  <c r="L24" i="2"/>
  <c r="K24" i="2"/>
  <c r="J24" i="2"/>
  <c r="I24" i="2"/>
  <c r="H24" i="2"/>
  <c r="M23" i="2"/>
  <c r="L23" i="2"/>
  <c r="K23" i="2"/>
  <c r="J23" i="2"/>
  <c r="I23" i="2"/>
  <c r="H23" i="2"/>
  <c r="M22" i="2"/>
  <c r="L22" i="2"/>
  <c r="K22" i="2"/>
  <c r="J22" i="2"/>
  <c r="I22" i="2"/>
  <c r="H22" i="2"/>
  <c r="M21" i="2"/>
  <c r="L21" i="2"/>
  <c r="K21" i="2"/>
  <c r="J21" i="2"/>
  <c r="I21" i="2"/>
  <c r="H21" i="2"/>
  <c r="M20" i="2"/>
  <c r="L20" i="2"/>
  <c r="K20" i="2"/>
  <c r="J20" i="2"/>
  <c r="I20" i="2"/>
  <c r="H20" i="2"/>
  <c r="M19" i="2"/>
  <c r="L19" i="2"/>
  <c r="K19" i="2"/>
  <c r="J19" i="2"/>
  <c r="I19" i="2"/>
  <c r="H19" i="2"/>
  <c r="M18" i="2"/>
  <c r="L18" i="2"/>
  <c r="K18" i="2"/>
  <c r="J18" i="2"/>
  <c r="I18" i="2"/>
  <c r="H18" i="2"/>
  <c r="M17" i="2"/>
  <c r="L17" i="2"/>
  <c r="K17" i="2"/>
  <c r="J17" i="2"/>
  <c r="I17" i="2"/>
  <c r="H17" i="2"/>
  <c r="M16" i="2"/>
  <c r="L16" i="2"/>
  <c r="K16" i="2"/>
  <c r="J16" i="2"/>
  <c r="I16" i="2"/>
  <c r="H16" i="2"/>
  <c r="M15" i="2"/>
  <c r="L15" i="2"/>
  <c r="K15" i="2"/>
  <c r="J15" i="2"/>
  <c r="I15" i="2"/>
  <c r="H15" i="2"/>
  <c r="M14" i="2"/>
  <c r="L14" i="2"/>
  <c r="K14" i="2"/>
  <c r="J14" i="2"/>
  <c r="I14" i="2"/>
  <c r="H14" i="2"/>
  <c r="M13" i="2"/>
  <c r="L13" i="2"/>
  <c r="K13" i="2"/>
  <c r="J13" i="2"/>
  <c r="I13" i="2"/>
  <c r="H13" i="2"/>
  <c r="M12" i="2"/>
  <c r="L12" i="2"/>
  <c r="K12" i="2"/>
  <c r="J12" i="2"/>
  <c r="I12" i="2"/>
  <c r="H12" i="2"/>
  <c r="M11" i="2"/>
  <c r="L11" i="2"/>
  <c r="K11" i="2"/>
  <c r="J11" i="2"/>
  <c r="I11" i="2"/>
  <c r="H11" i="2"/>
  <c r="M10" i="2"/>
  <c r="L10" i="2"/>
  <c r="K10" i="2"/>
  <c r="J10" i="2"/>
  <c r="I10" i="2"/>
  <c r="H10" i="2"/>
  <c r="M9" i="2"/>
  <c r="L9" i="2"/>
  <c r="K9" i="2"/>
  <c r="J9" i="2"/>
  <c r="I9" i="2"/>
  <c r="H9" i="2"/>
  <c r="M8" i="2"/>
  <c r="L8" i="2"/>
  <c r="K8" i="2"/>
  <c r="J8" i="2"/>
  <c r="I8" i="2"/>
  <c r="H8" i="2"/>
  <c r="M7" i="2"/>
  <c r="L7" i="2"/>
  <c r="K7" i="2"/>
  <c r="J7" i="2"/>
  <c r="I7" i="2"/>
  <c r="H7" i="2"/>
  <c r="M6" i="2"/>
  <c r="L6" i="2"/>
  <c r="K6" i="2"/>
  <c r="J6" i="2"/>
  <c r="I6" i="2"/>
  <c r="H6" i="2"/>
  <c r="M5" i="2"/>
  <c r="L5" i="2"/>
  <c r="K5" i="2"/>
  <c r="J5" i="2"/>
  <c r="I5" i="2"/>
  <c r="H5" i="2"/>
  <c r="M4" i="2"/>
  <c r="L4" i="2"/>
  <c r="K4" i="2"/>
  <c r="J4" i="2"/>
  <c r="I4" i="2"/>
  <c r="H4" i="2"/>
  <c r="M3" i="2"/>
  <c r="L3" i="2"/>
  <c r="K3" i="2"/>
  <c r="J3" i="2"/>
  <c r="I3" i="2"/>
  <c r="H3" i="2"/>
  <c r="M2" i="2"/>
  <c r="L2" i="2"/>
  <c r="K2" i="2"/>
  <c r="J2" i="2"/>
  <c r="I2" i="2"/>
  <c r="H2" i="2"/>
</calcChain>
</file>

<file path=xl/sharedStrings.xml><?xml version="1.0" encoding="utf-8"?>
<sst xmlns="http://schemas.openxmlformats.org/spreadsheetml/2006/main" count="2527" uniqueCount="425">
  <si>
    <t>Customer_ID</t>
  </si>
  <si>
    <t>Registration_Date</t>
  </si>
  <si>
    <t>Gender</t>
  </si>
  <si>
    <t>Age</t>
  </si>
  <si>
    <t>City</t>
  </si>
  <si>
    <t>Occupation</t>
  </si>
  <si>
    <t>Monthly_Income</t>
  </si>
  <si>
    <t>CUS00005</t>
  </si>
  <si>
    <t>Male</t>
  </si>
  <si>
    <t>Mogadishu</t>
  </si>
  <si>
    <t>Healthcare</t>
  </si>
  <si>
    <t>CUS00034</t>
  </si>
  <si>
    <t>Baidoa</t>
  </si>
  <si>
    <t>Teacher</t>
  </si>
  <si>
    <t>CUS00176</t>
  </si>
  <si>
    <t>Hargeisa</t>
  </si>
  <si>
    <t>CUS00026</t>
  </si>
  <si>
    <t>Female</t>
  </si>
  <si>
    <t>Student</t>
  </si>
  <si>
    <t>CUS00195</t>
  </si>
  <si>
    <t>Bosaso</t>
  </si>
  <si>
    <t>Self-Employed</t>
  </si>
  <si>
    <t>CUS00191</t>
  </si>
  <si>
    <t>Civil Servant</t>
  </si>
  <si>
    <t>CUS00060</t>
  </si>
  <si>
    <t>CUS00229</t>
  </si>
  <si>
    <t>CUS00172</t>
  </si>
  <si>
    <t>CUS00233</t>
  </si>
  <si>
    <t>CUS00245</t>
  </si>
  <si>
    <t>CUS00224</t>
  </si>
  <si>
    <t>Business Owner</t>
  </si>
  <si>
    <t>CUS00124</t>
  </si>
  <si>
    <t>CUS00075</t>
  </si>
  <si>
    <t>CUS00155</t>
  </si>
  <si>
    <t>CUS00070</t>
  </si>
  <si>
    <t>CUS00227</t>
  </si>
  <si>
    <t>CUS00077</t>
  </si>
  <si>
    <t>CUS00252</t>
  </si>
  <si>
    <t>CUS00260</t>
  </si>
  <si>
    <t>Kismayo</t>
  </si>
  <si>
    <t>CUS00231</t>
  </si>
  <si>
    <t>Unknown</t>
  </si>
  <si>
    <t>CUS00243</t>
  </si>
  <si>
    <t>CUS00146</t>
  </si>
  <si>
    <t>Engineer</t>
  </si>
  <si>
    <t>CUS00137</t>
  </si>
  <si>
    <t>CUS00058</t>
  </si>
  <si>
    <t>CUS00023</t>
  </si>
  <si>
    <t>CUS00040</t>
  </si>
  <si>
    <t>CUS00205</t>
  </si>
  <si>
    <t>CUS00061</t>
  </si>
  <si>
    <t>CUS00268</t>
  </si>
  <si>
    <t>CUS00241</t>
  </si>
  <si>
    <t>CUS00102</t>
  </si>
  <si>
    <t>NULL</t>
  </si>
  <si>
    <t>CUS00287</t>
  </si>
  <si>
    <t>CUS00283</t>
  </si>
  <si>
    <t>CUS00181</t>
  </si>
  <si>
    <t>CUS00018</t>
  </si>
  <si>
    <t>CUS00082</t>
  </si>
  <si>
    <t>CUS00114</t>
  </si>
  <si>
    <t>CUS00278</t>
  </si>
  <si>
    <t>CUS00141</t>
  </si>
  <si>
    <t>CUS00150</t>
  </si>
  <si>
    <t>CUS00236</t>
  </si>
  <si>
    <t>CUS00273</t>
  </si>
  <si>
    <t>CUS00225</t>
  </si>
  <si>
    <t>CUS00073</t>
  </si>
  <si>
    <t>CUS00093</t>
  </si>
  <si>
    <t>CUS00068</t>
  </si>
  <si>
    <t>CUS00218</t>
  </si>
  <si>
    <t>CUS00028</t>
  </si>
  <si>
    <t>CUS00064</t>
  </si>
  <si>
    <t>CUS00174</t>
  </si>
  <si>
    <t>Garowe</t>
  </si>
  <si>
    <t>CUS00223</t>
  </si>
  <si>
    <t>CUS00277</t>
  </si>
  <si>
    <t>CUS00255</t>
  </si>
  <si>
    <t>CUS00083</t>
  </si>
  <si>
    <t>CUS00025</t>
  </si>
  <si>
    <t>CUS00126</t>
  </si>
  <si>
    <t>CUS00053</t>
  </si>
  <si>
    <t>CUS00226</t>
  </si>
  <si>
    <t>CUS00186</t>
  </si>
  <si>
    <t>CUS00138</t>
  </si>
  <si>
    <t>CUS00127</t>
  </si>
  <si>
    <t>CUS00103</t>
  </si>
  <si>
    <t>CUS00112</t>
  </si>
  <si>
    <t>CUS00098</t>
  </si>
  <si>
    <t>CUS00100</t>
  </si>
  <si>
    <t>CUS00099</t>
  </si>
  <si>
    <t>CUS00069</t>
  </si>
  <si>
    <t>CUS00289</t>
  </si>
  <si>
    <t>CUS00108</t>
  </si>
  <si>
    <t>CUS00121</t>
  </si>
  <si>
    <t>CUS00242</t>
  </si>
  <si>
    <t>CUS00048</t>
  </si>
  <si>
    <t>CUS00238</t>
  </si>
  <si>
    <t>CUS00063</t>
  </si>
  <si>
    <t>CUS00091</t>
  </si>
  <si>
    <t>CUS00094</t>
  </si>
  <si>
    <t>CUS00274</t>
  </si>
  <si>
    <t>CUS00055</t>
  </si>
  <si>
    <t>CUS00057</t>
  </si>
  <si>
    <t>CUS00076</t>
  </si>
  <si>
    <t>CUS00039</t>
  </si>
  <si>
    <t>CUS00280</t>
  </si>
  <si>
    <t>CUS00022</t>
  </si>
  <si>
    <t>CUS00071</t>
  </si>
  <si>
    <t>CUS00232</t>
  </si>
  <si>
    <t>CUS00261</t>
  </si>
  <si>
    <t>CUS00257</t>
  </si>
  <si>
    <t>CUS00105</t>
  </si>
  <si>
    <t>CUS00049</t>
  </si>
  <si>
    <t>N/A</t>
  </si>
  <si>
    <t>CUS00131</t>
  </si>
  <si>
    <t>CUS00007</t>
  </si>
  <si>
    <t>CUS00084</t>
  </si>
  <si>
    <t>CUS00173</t>
  </si>
  <si>
    <t>CUS00088</t>
  </si>
  <si>
    <t>CUS00258</t>
  </si>
  <si>
    <t>CUS00104</t>
  </si>
  <si>
    <t>CUS00256</t>
  </si>
  <si>
    <t>CUS00142</t>
  </si>
  <si>
    <t>CUS00134</t>
  </si>
  <si>
    <t>CUS00201</t>
  </si>
  <si>
    <t>CUS00081</t>
  </si>
  <si>
    <t>CUS00267</t>
  </si>
  <si>
    <t>CUS00119</t>
  </si>
  <si>
    <t>CUS00246</t>
  </si>
  <si>
    <t>CUS00004</t>
  </si>
  <si>
    <t>CUS00183</t>
  </si>
  <si>
    <t>CUS00240</t>
  </si>
  <si>
    <t>CUS00086</t>
  </si>
  <si>
    <t>CUS00235</t>
  </si>
  <si>
    <t>CUS00122</t>
  </si>
  <si>
    <t>CUS00128</t>
  </si>
  <si>
    <t>CUS00037</t>
  </si>
  <si>
    <t>CUS00152</t>
  </si>
  <si>
    <t>CUS00222</t>
  </si>
  <si>
    <t>CUS00090</t>
  </si>
  <si>
    <t>CUS00014</t>
  </si>
  <si>
    <t>CUS00203</t>
  </si>
  <si>
    <t>CIVIL SERVANT</t>
  </si>
  <si>
    <t>CUS00219</t>
  </si>
  <si>
    <t>CUS00110</t>
  </si>
  <si>
    <t>CUS00200</t>
  </si>
  <si>
    <t>CUS00148</t>
  </si>
  <si>
    <t>CUS00079</t>
  </si>
  <si>
    <t>CUS00118</t>
  </si>
  <si>
    <t>-</t>
  </si>
  <si>
    <t>CUS00292</t>
  </si>
  <si>
    <t>CUS00202</t>
  </si>
  <si>
    <t>CUS00132</t>
  </si>
  <si>
    <t>CUS00087</t>
  </si>
  <si>
    <t>CUS00021</t>
  </si>
  <si>
    <t>CUS00228</t>
  </si>
  <si>
    <t>CUS00269</t>
  </si>
  <si>
    <t>CUS00248</t>
  </si>
  <si>
    <t>CUS00153</t>
  </si>
  <si>
    <t>CUS00215</t>
  </si>
  <si>
    <t>CUS00281</t>
  </si>
  <si>
    <t>CUS00169</t>
  </si>
  <si>
    <t>CUS00264</t>
  </si>
  <si>
    <t>CUS00154</t>
  </si>
  <si>
    <t>CUS00116</t>
  </si>
  <si>
    <t>CUS00288</t>
  </si>
  <si>
    <t>CUS00125</t>
  </si>
  <si>
    <t>CUS00047</t>
  </si>
  <si>
    <t>CUS00270</t>
  </si>
  <si>
    <t>CUS00085</t>
  </si>
  <si>
    <t>CUS00030</t>
  </si>
  <si>
    <t>CUS00237</t>
  </si>
  <si>
    <t>CUS00041</t>
  </si>
  <si>
    <t>CUS00095</t>
  </si>
  <si>
    <t>CUS00011</t>
  </si>
  <si>
    <t>CUS00042</t>
  </si>
  <si>
    <t>CUS00210</t>
  </si>
  <si>
    <t>CUS00147</t>
  </si>
  <si>
    <t>CUS00066</t>
  </si>
  <si>
    <t>CUS00187</t>
  </si>
  <si>
    <t>CUS00160</t>
  </si>
  <si>
    <t>CUS00162</t>
  </si>
  <si>
    <t>CUS00175</t>
  </si>
  <si>
    <t>CUS00208</t>
  </si>
  <si>
    <t>CUS00045</t>
  </si>
  <si>
    <t>CUS00271</t>
  </si>
  <si>
    <t>CUS00135</t>
  </si>
  <si>
    <t>CUS00140</t>
  </si>
  <si>
    <t>CUS00212</t>
  </si>
  <si>
    <t>CUS00230</t>
  </si>
  <si>
    <t>CUS00254</t>
  </si>
  <si>
    <t>male</t>
  </si>
  <si>
    <t>CUS00143</t>
  </si>
  <si>
    <t>CUS00265</t>
  </si>
  <si>
    <t>CS</t>
  </si>
  <si>
    <t>CUS00092</t>
  </si>
  <si>
    <t>CUS00050</t>
  </si>
  <si>
    <t>CUS00198</t>
  </si>
  <si>
    <t>CUS00123</t>
  </si>
  <si>
    <t>CUS00012</t>
  </si>
  <si>
    <t>CUS00056</t>
  </si>
  <si>
    <t>CUS00156</t>
  </si>
  <si>
    <t>CUS00262</t>
  </si>
  <si>
    <t>CUS00266</t>
  </si>
  <si>
    <t>CUS00214</t>
  </si>
  <si>
    <t>CUS00166</t>
  </si>
  <si>
    <t>CUS00006</t>
  </si>
  <si>
    <t>CUS00046</t>
  </si>
  <si>
    <t>CUS00167</t>
  </si>
  <si>
    <t>CUS00188</t>
  </si>
  <si>
    <t>CUS00010</t>
  </si>
  <si>
    <t>CUS00136</t>
  </si>
  <si>
    <t>CUS00199</t>
  </si>
  <si>
    <t>CUS00008</t>
  </si>
  <si>
    <t>CUS00001</t>
  </si>
  <si>
    <t>CUS00157</t>
  </si>
  <si>
    <t>CUS00206</t>
  </si>
  <si>
    <t>CUS00286</t>
  </si>
  <si>
    <t>CUS00189</t>
  </si>
  <si>
    <t>CUS00027</t>
  </si>
  <si>
    <t>CUS00033</t>
  </si>
  <si>
    <t>CUS00096</t>
  </si>
  <si>
    <t>CUS00130</t>
  </si>
  <si>
    <t>CUS00107</t>
  </si>
  <si>
    <t>CUS00197</t>
  </si>
  <si>
    <t>female</t>
  </si>
  <si>
    <t>CUS00177</t>
  </si>
  <si>
    <t>CUS00249</t>
  </si>
  <si>
    <t>CUS00164</t>
  </si>
  <si>
    <t>CUS00051</t>
  </si>
  <si>
    <t>CUS00003</t>
  </si>
  <si>
    <t>CUS00272</t>
  </si>
  <si>
    <t>CUS00216</t>
  </si>
  <si>
    <t>CUS00052</t>
  </si>
  <si>
    <t>CUS00017</t>
  </si>
  <si>
    <t>CUS00285</t>
  </si>
  <si>
    <t>CUS00106</t>
  </si>
  <si>
    <t>CUS00178</t>
  </si>
  <si>
    <t>CUS00163</t>
  </si>
  <si>
    <t>CUS00171</t>
  </si>
  <si>
    <t>CUS00275</t>
  </si>
  <si>
    <t>CUS00013</t>
  </si>
  <si>
    <t>CUS00209</t>
  </si>
  <si>
    <t>CUS00065</t>
  </si>
  <si>
    <t>CUS00002</t>
  </si>
  <si>
    <t>CUS00149</t>
  </si>
  <si>
    <t>CUS00168</t>
  </si>
  <si>
    <t>CUS00054</t>
  </si>
  <si>
    <t>TEACHER</t>
  </si>
  <si>
    <t>CUS00194</t>
  </si>
  <si>
    <t>CUS00059</t>
  </si>
  <si>
    <t>CUS00290</t>
  </si>
  <si>
    <t>CUS00109</t>
  </si>
  <si>
    <t>CUS00234</t>
  </si>
  <si>
    <t>CUS00067</t>
  </si>
  <si>
    <t>student</t>
  </si>
  <si>
    <t>CUS00276</t>
  </si>
  <si>
    <t>CUS00291</t>
  </si>
  <si>
    <t>CUS00015</t>
  </si>
  <si>
    <t>CUS00158</t>
  </si>
  <si>
    <t>CUS00115</t>
  </si>
  <si>
    <t>CUS00213</t>
  </si>
  <si>
    <t>CUS00036</t>
  </si>
  <si>
    <t>CUS00043</t>
  </si>
  <si>
    <t>CUS00089</t>
  </si>
  <si>
    <t>CUS00019</t>
  </si>
  <si>
    <t>CUS00239</t>
  </si>
  <si>
    <t>CUS00259</t>
  </si>
  <si>
    <t>CUS00182</t>
  </si>
  <si>
    <t>CUS00193</t>
  </si>
  <si>
    <t>CUS00250</t>
  </si>
  <si>
    <t>CUS00062</t>
  </si>
  <si>
    <t>CUS00247</t>
  </si>
  <si>
    <t>CUS00184</t>
  </si>
  <si>
    <t>CUS00072</t>
  </si>
  <si>
    <t>CUS00031</t>
  </si>
  <si>
    <t>CUS00165</t>
  </si>
  <si>
    <t>CUS00279</t>
  </si>
  <si>
    <t>CUS00180</t>
  </si>
  <si>
    <t>CUS00221</t>
  </si>
  <si>
    <t>CUS00217</t>
  </si>
  <si>
    <t>CUS00207</t>
  </si>
  <si>
    <t>CUS00129</t>
  </si>
  <si>
    <t>CUS00074</t>
  </si>
  <si>
    <t>CUS00192</t>
  </si>
  <si>
    <t>CUS00144</t>
  </si>
  <si>
    <t>CUS00020</t>
  </si>
  <si>
    <t>CUS00284</t>
  </si>
  <si>
    <t>CUS00196</t>
  </si>
  <si>
    <t>CUS00220</t>
  </si>
  <si>
    <t>CUS00016</t>
  </si>
  <si>
    <t>CUS00029</t>
  </si>
  <si>
    <t>CUS00170</t>
  </si>
  <si>
    <t>CUS00185</t>
  </si>
  <si>
    <t>CUS00078</t>
  </si>
  <si>
    <t>mogadishu</t>
  </si>
  <si>
    <t>CUS00032</t>
  </si>
  <si>
    <t>CUS00211</t>
  </si>
  <si>
    <t>CUS00161</t>
  </si>
  <si>
    <t>CUS00139</t>
  </si>
  <si>
    <t>CUS00111</t>
  </si>
  <si>
    <t>CUS00133</t>
  </si>
  <si>
    <t>CUS00024</t>
  </si>
  <si>
    <t>CUS00282</t>
  </si>
  <si>
    <t>CUS00253</t>
  </si>
  <si>
    <t>CUS00080</t>
  </si>
  <si>
    <t>self-employed</t>
  </si>
  <si>
    <t>CUS00145</t>
  </si>
  <si>
    <t>CUS00035</t>
  </si>
  <si>
    <t>CUS00097</t>
  </si>
  <si>
    <t>Gender_Clean</t>
  </si>
  <si>
    <t>City_Clean</t>
  </si>
  <si>
    <t>Occupation_Clean</t>
  </si>
  <si>
    <t>Income_Level</t>
  </si>
  <si>
    <t>Reg_Year</t>
  </si>
  <si>
    <t>Reg_Month</t>
  </si>
  <si>
    <t>Missing</t>
  </si>
  <si>
    <t xml:space="preserve">Missing </t>
  </si>
  <si>
    <t>CUS00190</t>
  </si>
  <si>
    <t>Basic calculations</t>
  </si>
  <si>
    <t>Metric</t>
  </si>
  <si>
    <t>Result</t>
  </si>
  <si>
    <t>Meaning</t>
  </si>
  <si>
    <t>Total Income</t>
  </si>
  <si>
    <t>Sum of all monthly income</t>
  </si>
  <si>
    <t>Average Income</t>
  </si>
  <si>
    <t xml:space="preserve"> Average monthly income</t>
  </si>
  <si>
    <t>Average Age</t>
  </si>
  <si>
    <t>Average customer age</t>
  </si>
  <si>
    <t>Number of Customers</t>
  </si>
  <si>
    <t>Total records</t>
  </si>
  <si>
    <t>Youngest Age</t>
  </si>
  <si>
    <t>Minimum age</t>
  </si>
  <si>
    <t>Oldest Age</t>
  </si>
  <si>
    <t>Maximum age</t>
  </si>
  <si>
    <t>Lowest Income</t>
  </si>
  <si>
    <t>Minimum income</t>
  </si>
  <si>
    <t xml:space="preserve"> Highest Income</t>
  </si>
  <si>
    <t>Maximum income</t>
  </si>
  <si>
    <t>CONDITIONAL FUNCTIONS</t>
  </si>
  <si>
    <t>Customers in Mogadishu</t>
  </si>
  <si>
    <t>Avg Income - Teacher</t>
  </si>
  <si>
    <t>Average income for Teachers</t>
  </si>
  <si>
    <t>Logical Functions</t>
  </si>
  <si>
    <t xml:space="preserve">Nested IF </t>
  </si>
  <si>
    <t>Income level for customer row 2</t>
  </si>
  <si>
    <t>IF + AND</t>
  </si>
  <si>
    <t>Female and income &gt;= 1000</t>
  </si>
  <si>
    <t>DATE ANALYSIS</t>
  </si>
  <si>
    <t>Today</t>
  </si>
  <si>
    <t>Current date</t>
  </si>
  <si>
    <t>NOW</t>
  </si>
  <si>
    <t xml:space="preserve"> Current date &amp; time</t>
  </si>
  <si>
    <t>Day (row 2)</t>
  </si>
  <si>
    <t>Registration day</t>
  </si>
  <si>
    <t>Year (row 2)</t>
  </si>
  <si>
    <t>Registration year</t>
  </si>
  <si>
    <t>Month(row 2)</t>
  </si>
  <si>
    <t>Registration Month</t>
  </si>
  <si>
    <t xml:space="preserve">Example DATE </t>
  </si>
  <si>
    <t>Build a date</t>
  </si>
  <si>
    <t>Working days since reg (row 2)</t>
  </si>
  <si>
    <t>Workdays from registration to today</t>
  </si>
  <si>
    <t>Row Labels</t>
  </si>
  <si>
    <t>Sum of Monthly_Income</t>
  </si>
  <si>
    <t>Count of Customer_ID</t>
  </si>
  <si>
    <t>Column Labels</t>
  </si>
  <si>
    <t>Grand Total</t>
  </si>
  <si>
    <t>(All)</t>
  </si>
  <si>
    <t>Average of Monthly_Income</t>
  </si>
  <si>
    <t>High</t>
  </si>
  <si>
    <t>Low</t>
  </si>
  <si>
    <t>Medium</t>
  </si>
  <si>
    <t>Customer Demographic Dashboard</t>
  </si>
  <si>
    <t>Total Customers</t>
  </si>
  <si>
    <t>Average Monthly Income</t>
  </si>
  <si>
    <t xml:space="preserve"> Customers in Mogadishu (Top City)</t>
  </si>
  <si>
    <t>Female Customers</t>
  </si>
  <si>
    <t>CUSTOMER DEMOGRAPHIC DATA ANALYSIS — FINDINGS</t>
  </si>
  <si>
    <t>DATA CLEANING NOTES (Part B)</t>
  </si>
  <si>
    <t>7.1 Duplicate Records</t>
  </si>
  <si>
    <t>• Exact duplicate records were identified using Conditional Formatting and removed from Clean_Data.</t>
  </si>
  <si>
    <t>• Duplicate Customer_IDs with identical details were removed (e.g. CUS00026, CUS00040, CUS00075, CUS00095, CUS00143, CUS00194, CUS00224).</t>
  </si>
  <si>
    <t>• CUS00049 was investigated: the incomplete row was removed and the complete row was kept.</t>
  </si>
  <si>
    <t>• Two fully empty rows (295 and 296) were deleted.</t>
  </si>
  <si>
    <t>• Blank Customer_IDs were left as missing; no fake IDs were created.</t>
  </si>
  <si>
    <t>7.2 Missing Values</t>
  </si>
  <si>
    <t>• Missing values were found as blank cells, N/A, Unknown, NULL, and "-".</t>
  </si>
  <si>
    <t>• Registration_Date missing values were standardized to "Missing" (no fake dates were created).</t>
  </si>
  <si>
    <t>• Gender, City, and Occupation blanks were replaced with "Unknown" or "Missing".</t>
  </si>
  <si>
    <t>• Missing Age values were replaced with the average age (~44).</t>
  </si>
  <si>
    <t>• Missing Monthly_Income values were replaced with the average income ($923.87).</t>
  </si>
  <si>
    <t>PART C — TEXT CLEANING</t>
  </si>
  <si>
    <t>• TRIM was used to remove extra spaces from text fields.</t>
  </si>
  <si>
    <t>• PROPER was used to standardize capitalization in Gender, City, and Occupation.</t>
  </si>
  <si>
    <t>• SUBSTITUTE was used to replace "CS" with "Civil Servant" and fix inconsistent occupation labels.</t>
  </si>
  <si>
    <t>PART E — SORTING &amp; FILTERING</t>
  </si>
  <si>
    <t>• Sorting demonstrated: City A–Z, Occupation Z–A, Age Smallest–Largest, Income Largest–Smallest, Registration_Date Oldest–Newest and Newest–Oldest.</t>
  </si>
  <si>
    <t>• Basic filtering: City = Mogadishu showed 110 customers; Gender = Female showed 143 customers.</t>
  </si>
  <si>
    <t>• Multilevel filtering: Female + Mogadishu and Engineer + High income were applied to answer combined questions.</t>
  </si>
  <si>
    <t>• Multilevel sort: City A–Z, then Monthly_Income Largest–Smallest.</t>
  </si>
  <si>
    <t>PART F — CONDITIONAL FORMATTING</t>
  </si>
  <si>
    <t>• Data Bars were applied to Monthly_Income to compare earnings visually.</t>
  </si>
  <si>
    <t>• Color Scales were applied to Age to show age distribution across customers.</t>
  </si>
  <si>
    <t>KEY ANALYSIS FINDINGS</t>
  </si>
  <si>
    <t>1. Mogadishu has the largest customer base (110 customers) and generates the highest total monthly income ($111,504), representing about 41% of total income.</t>
  </si>
  <si>
    <t>2. The average monthly income across all customers is $923.87, with an average age of 44 years.</t>
  </si>
  <si>
    <t>3. Female customers (143) slightly outnumber Male customers (133); average income is similar for both groups (Female: $878 vs Male: $904).</t>
  </si>
  <si>
    <t>4. Most customers fall into Medium ($800–$1,499) and Low (&lt;$800) income levels; only 22 customers are classified as High income (≥$1,500).</t>
  </si>
  <si>
    <t>5. Business Owners and Healthcare workers have the highest average monthly incomes; registration activity peaked in May (33 customers registered).</t>
  </si>
  <si>
    <t>RECOMMENDATIONS</t>
  </si>
  <si>
    <t>1. Focus marketing and customer retention efforts on Mogadishu, as it is the largest and highest-revenue city.</t>
  </si>
  <si>
    <t>2. Develop targeted campaigns for Female customers in major cities, as they represent nearly half of the customer base.</t>
  </si>
  <si>
    <t>3. Create income-based product offers for Medium and Low income customers, and explore strategies to grow the High income segment.</t>
  </si>
  <si>
    <t>Average Income - Female</t>
  </si>
  <si>
    <t>Average income for Female customers</t>
  </si>
  <si>
    <t>Values</t>
  </si>
  <si>
    <t>Count customers by "Mogadishu"</t>
  </si>
  <si>
    <t>Avg Age</t>
  </si>
  <si>
    <t>Teacher Avg</t>
  </si>
  <si>
    <t>Dashboard 2 Charts and Pivot table</t>
  </si>
  <si>
    <t>Dashboard 1 Charts and Pivot table</t>
  </si>
  <si>
    <t xml:space="preserve">High Income Customers </t>
  </si>
  <si>
    <t>INCOME &amp; OCCUPATION ANALYTICS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</si>
</sst>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0.00"/>
  </numFmts>
  <fonts count="17">
    <font>
      <sz val="11"/>
      <color theme="1"/>
      <name val="Calibri"/>
      <family val="2"/>
      <scheme val="minor"/>
    </font>
    <font>
      <b/>
      <sz val="11"/>
      <name val="Carlito"/>
    </font>
    <font>
      <b/>
      <sz val="11"/>
      <color theme="0"/>
      <name val="Calibri"/>
      <family val="2"/>
      <scheme val="minor"/>
    </font>
    <font>
      <sz val="11"/>
      <color theme="0"/>
      <name val="Calibri"/>
      <family val="2"/>
      <scheme val="minor"/>
    </font>
    <font>
      <sz val="9"/>
      <color theme="1"/>
      <name val="Consolas"/>
      <family val="3"/>
    </font>
    <font>
      <sz val="11"/>
      <color theme="1"/>
      <name val="Calibri "/>
    </font>
    <font>
      <sz val="12"/>
      <name val="Calibri "/>
    </font>
    <font>
      <b/>
      <sz val="12"/>
      <color theme="0"/>
      <name val="Calibri"/>
      <family val="2"/>
      <scheme val="minor"/>
    </font>
    <font>
      <sz val="11"/>
      <name val="Calibri "/>
    </font>
    <font>
      <b/>
      <sz val="24"/>
      <color theme="0"/>
      <name val="Calibri"/>
      <family val="2"/>
      <scheme val="minor"/>
    </font>
    <font>
      <sz val="24"/>
      <color theme="0"/>
      <name val="Calibri"/>
      <family val="2"/>
      <scheme val="minor"/>
    </font>
    <font>
      <b/>
      <sz val="12"/>
      <name val="Calibri"/>
    </font>
    <font>
      <sz val="11"/>
      <name val="Calibri"/>
    </font>
    <font>
      <b/>
      <sz val="11"/>
      <name val="Calibri"/>
    </font>
    <font>
      <sz val="36"/>
      <color theme="0"/>
      <name val="Calibri"/>
      <family val="2"/>
      <scheme val="minor"/>
    </font>
    <font>
      <b/>
      <sz val="48"/>
      <color theme="0"/>
      <name val="Calibri"/>
      <family val="2"/>
      <scheme val="minor"/>
    </font>
    <font>
      <b/>
      <sz val="20"/>
      <color theme="0"/>
      <name val="Calibri"/>
      <family val="2"/>
      <scheme val="minor"/>
    </font>
  </fonts>
  <fills count="7">
    <fill>
      <patternFill patternType="none"/>
    </fill>
    <fill>
      <patternFill patternType="gray125"/>
    </fill>
    <fill>
      <patternFill patternType="solid">
        <fgColor rgb="FFD9EAF7"/>
      </patternFill>
    </fill>
    <fill>
      <patternFill patternType="solid">
        <fgColor theme="8"/>
      </patternFill>
    </fill>
    <fill>
      <patternFill patternType="solid">
        <fgColor theme="8" tint="0.39997558519241921"/>
        <bgColor indexed="65"/>
      </patternFill>
    </fill>
    <fill>
      <patternFill patternType="solid">
        <fgColor theme="4" tint="-0.499984740745262"/>
        <bgColor indexed="64"/>
      </patternFill>
    </fill>
    <fill>
      <patternFill patternType="solid">
        <fgColor rgb="FF0070C0"/>
        <bgColor indexed="64"/>
      </patternFill>
    </fill>
  </fills>
  <borders count="1">
    <border>
      <left/>
      <right/>
      <top/>
      <bottom/>
      <diagonal/>
    </border>
  </borders>
  <cellStyleXfs count="3">
    <xf numFmtId="0" fontId="0" fillId="0" borderId="0"/>
    <xf numFmtId="0" fontId="3" fillId="3" borderId="0"/>
    <xf numFmtId="0" fontId="3" fillId="4" borderId="0"/>
  </cellStyleXfs>
  <cellXfs count="45">
    <xf numFmtId="0" fontId="0" fillId="0" borderId="0" xfId="0"/>
    <xf numFmtId="0" fontId="1" fillId="2" borderId="0" xfId="0" applyFont="1" applyFill="1" applyAlignment="1">
      <alignment horizontal="center" vertical="center"/>
    </xf>
    <xf numFmtId="164" fontId="0" fillId="0" borderId="0" xfId="0" applyNumberFormat="1"/>
    <xf numFmtId="165" fontId="0" fillId="0" borderId="0" xfId="0" applyNumberFormat="1"/>
    <xf numFmtId="0" fontId="2" fillId="3" borderId="0" xfId="1" applyFont="1" applyAlignment="1">
      <alignment horizontal="left" vertical="center"/>
    </xf>
    <xf numFmtId="0" fontId="2" fillId="3" borderId="0" xfId="1" applyFont="1" applyAlignment="1">
      <alignment horizontal="left"/>
    </xf>
    <xf numFmtId="0" fontId="0" fillId="0" borderId="0" xfId="0" applyAlignment="1">
      <alignment horizontal="left"/>
    </xf>
    <xf numFmtId="165" fontId="0" fillId="0" borderId="0" xfId="0" applyNumberFormat="1" applyAlignment="1">
      <alignment horizontal="left"/>
    </xf>
    <xf numFmtId="0" fontId="4" fillId="0" borderId="0" xfId="0" applyFont="1" applyAlignment="1">
      <alignment horizontal="left"/>
    </xf>
    <xf numFmtId="0" fontId="5" fillId="0" borderId="0" xfId="0" applyFont="1" applyAlignment="1">
      <alignment horizontal="left"/>
    </xf>
    <xf numFmtId="0" fontId="6" fillId="0" borderId="0" xfId="0" applyFont="1" applyAlignment="1">
      <alignment horizontal="left"/>
    </xf>
    <xf numFmtId="0" fontId="7" fillId="3" borderId="0" xfId="1" applyFont="1" applyAlignment="1">
      <alignment horizontal="left"/>
    </xf>
    <xf numFmtId="0" fontId="3" fillId="4" borderId="0" xfId="2" applyAlignment="1">
      <alignment horizontal="left"/>
    </xf>
    <xf numFmtId="0" fontId="3" fillId="3" borderId="0" xfId="1" applyAlignment="1">
      <alignment horizontal="left"/>
    </xf>
    <xf numFmtId="14" fontId="0" fillId="0" borderId="0" xfId="0" applyNumberFormat="1" applyAlignment="1">
      <alignment horizontal="left"/>
    </xf>
    <xf numFmtId="22" fontId="0" fillId="0" borderId="0" xfId="0" applyNumberFormat="1" applyAlignment="1">
      <alignment horizontal="left"/>
    </xf>
    <xf numFmtId="0" fontId="0" fillId="0" borderId="0" xfId="0" applyAlignment="1">
      <alignment horizontal="left" wrapText="1"/>
    </xf>
    <xf numFmtId="0" fontId="8" fillId="0" borderId="0" xfId="0" applyFont="1" applyAlignment="1">
      <alignment horizontal="left"/>
    </xf>
    <xf numFmtId="14" fontId="2" fillId="3" borderId="0" xfId="1" applyNumberFormat="1" applyFont="1" applyAlignment="1">
      <alignment horizontal="left" vertical="center"/>
    </xf>
    <xf numFmtId="0" fontId="0" fillId="0" borderId="0" xfId="0" pivotButton="1"/>
    <xf numFmtId="0" fontId="0" fillId="0" borderId="0" xfId="0"/>
    <xf numFmtId="0" fontId="3" fillId="3" borderId="0" xfId="1" applyAlignment="1">
      <alignment horizontal="left" vertical="center"/>
    </xf>
    <xf numFmtId="0" fontId="3" fillId="3" borderId="0" xfId="1"/>
    <xf numFmtId="0" fontId="3" fillId="3" borderId="0" xfId="1" applyAlignment="1">
      <alignment horizontal="center" vertical="top"/>
    </xf>
    <xf numFmtId="0" fontId="9" fillId="3" borderId="0" xfId="1" applyFont="1"/>
    <xf numFmtId="0" fontId="9" fillId="3" borderId="0" xfId="1" applyFont="1" applyAlignment="1">
      <alignment horizontal="left" vertical="center"/>
    </xf>
    <xf numFmtId="0" fontId="9" fillId="3" borderId="0" xfId="1" applyFont="1" applyAlignment="1">
      <alignment horizontal="center" vertical="top"/>
    </xf>
    <xf numFmtId="0" fontId="3" fillId="3" borderId="0" xfId="1" applyAlignment="1">
      <alignment horizontal="center"/>
    </xf>
    <xf numFmtId="0" fontId="10" fillId="3" borderId="0" xfId="1" applyFont="1" applyAlignment="1">
      <alignment horizontal="center"/>
    </xf>
    <xf numFmtId="0" fontId="11" fillId="0" borderId="0" xfId="0" applyFont="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0" fillId="5" borderId="0" xfId="0" applyFill="1"/>
    <xf numFmtId="0" fontId="0" fillId="5" borderId="0" xfId="0" applyFill="1" applyAlignment="1">
      <alignment horizontal="center"/>
    </xf>
    <xf numFmtId="0" fontId="14" fillId="5" borderId="0" xfId="0" applyFont="1" applyFill="1"/>
    <xf numFmtId="0" fontId="0" fillId="0" borderId="0" xfId="0" applyNumberFormat="1"/>
    <xf numFmtId="0" fontId="2" fillId="3" borderId="0" xfId="1" applyFont="1"/>
    <xf numFmtId="0" fontId="3" fillId="6" borderId="0" xfId="0" applyFont="1" applyFill="1"/>
    <xf numFmtId="0" fontId="15" fillId="6" borderId="0" xfId="0" applyFont="1" applyFill="1"/>
    <xf numFmtId="0" fontId="2" fillId="6" borderId="0" xfId="0" applyFont="1" applyFill="1"/>
    <xf numFmtId="0" fontId="16" fillId="6" borderId="0" xfId="0" applyFont="1" applyFill="1"/>
    <xf numFmtId="0" fontId="3" fillId="6" borderId="0" xfId="0" applyFont="1" applyFill="1" applyAlignment="1"/>
    <xf numFmtId="0" fontId="16" fillId="6" borderId="0" xfId="0" applyFont="1" applyFill="1" applyAlignment="1">
      <alignment horizontal="center"/>
    </xf>
    <xf numFmtId="0" fontId="2" fillId="6" borderId="0" xfId="0" applyFont="1" applyFill="1" applyAlignment="1">
      <alignment horizontal="center"/>
    </xf>
    <xf numFmtId="0" fontId="3" fillId="6" borderId="0" xfId="0" applyFont="1" applyFill="1" applyAlignment="1">
      <alignment horizontal="center"/>
    </xf>
  </cellXfs>
  <cellStyles count="3">
    <cellStyle name="60% - Accent5" xfId="2" builtinId="48"/>
    <cellStyle name="Accent5" xfId="1" builtinId="45"/>
    <cellStyle name="Normal" xfId="0" builtinId="0"/>
  </cellStyles>
  <dxfs count="6">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theme="9"/>
        </patternFill>
      </fill>
    </dxf>
    <dxf>
      <font>
        <color rgb="FF006100"/>
      </font>
      <fill>
        <patternFill>
          <bgColor rgb="FFC6EF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microsoft.com/office/2007/relationships/slicerCache" Target="slicerCaches/slicerCache5.xml"/><Relationship Id="rId10" Type="http://schemas.openxmlformats.org/officeDocument/2006/relationships/pivotCacheDefinition" Target="pivotCache/pivotCacheDefinition2.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4.xml"/></Relationships>
</file>

<file path=xl/charts/_rels/chart8.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9.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10.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1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17.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8.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[Customer Demographic Data Analysis Data.xlsx]PivotTables!PivotTable2</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0" i="0" strike="noStrike" baseline="0"/>
              <a:t>Total Income by City</a:t>
            </a:r>
            <a:endParaRPr lang="en-US"/>
          </a:p>
        </c:rich>
      </c:tx>
      <c:layout/>
      <c:overlay val="0"/>
      <c:spPr>
        <a:noFill/>
        <a:ln>
          <a:noFill/>
          <a:prstDash val="solid"/>
        </a:ln>
      </c:spPr>
    </c:title>
    <c:autoTitleDeleted val="0"/>
    <c:pivotFmts>
      <c:pivotFmt>
        <c:idx val="0"/>
        <c:spPr>
          <a:solidFill>
            <a:schemeClr val="accent2"/>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PivotTables!$B$15</c:f>
              <c:strCache>
                <c:ptCount val="1"/>
                <c:pt idx="0">
                  <c:v>Total</c:v>
                </c:pt>
              </c:strCache>
            </c:strRef>
          </c:tx>
          <c:spPr>
            <a:solidFill>
              <a:schemeClr val="accent2"/>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PivotTables!$A$16:$A$23</c:f>
              <c:strCache>
                <c:ptCount val="7"/>
                <c:pt idx="0">
                  <c:v>Baidoa</c:v>
                </c:pt>
                <c:pt idx="1">
                  <c:v>Bosaso</c:v>
                </c:pt>
                <c:pt idx="2">
                  <c:v>Garowe</c:v>
                </c:pt>
                <c:pt idx="3">
                  <c:v>Hargeisa</c:v>
                </c:pt>
                <c:pt idx="4">
                  <c:v>Kismayo</c:v>
                </c:pt>
                <c:pt idx="5">
                  <c:v>Missing</c:v>
                </c:pt>
                <c:pt idx="6">
                  <c:v>Mogadishu</c:v>
                </c:pt>
              </c:strCache>
            </c:strRef>
          </c:cat>
          <c:val>
            <c:numRef>
              <c:f>PivotTables!$B$16:$B$23</c:f>
              <c:numCache>
                <c:formatCode>General</c:formatCode>
                <c:ptCount val="7"/>
                <c:pt idx="0">
                  <c:v>19068.93</c:v>
                </c:pt>
                <c:pt idx="1">
                  <c:v>39854.100000000006</c:v>
                </c:pt>
                <c:pt idx="2">
                  <c:v>17991.009999999998</c:v>
                </c:pt>
                <c:pt idx="3">
                  <c:v>38385.03</c:v>
                </c:pt>
                <c:pt idx="4">
                  <c:v>30250.91</c:v>
                </c:pt>
                <c:pt idx="5">
                  <c:v>13639.55</c:v>
                </c:pt>
                <c:pt idx="6">
                  <c:v>111503.65999999997</c:v>
                </c:pt>
              </c:numCache>
            </c:numRef>
          </c:val>
          <c:extLst>
            <c:ext xmlns:c16="http://schemas.microsoft.com/office/drawing/2014/chart" uri="{C3380CC4-5D6E-409C-BE32-E72D297353CC}">
              <c16:uniqueId val="{00000000-ABD3-48B0-852E-FFB40F819260}"/>
            </c:ext>
          </c:extLst>
        </c:ser>
        <c:dLbls>
          <c:dLblPos val="outEnd"/>
          <c:showLegendKey val="0"/>
          <c:showVal val="1"/>
          <c:showCatName val="0"/>
          <c:showSerName val="0"/>
          <c:showPercent val="0"/>
          <c:showBubbleSize val="0"/>
        </c:dLbls>
        <c:gapWidth val="219"/>
        <c:overlap val="-27"/>
        <c:axId val="1898291759"/>
        <c:axId val="1898292175"/>
      </c:barChart>
      <c:catAx>
        <c:axId val="189829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898292175"/>
        <c:crosses val="autoZero"/>
        <c:auto val="1"/>
        <c:lblAlgn val="ctr"/>
        <c:lblOffset val="100"/>
        <c:noMultiLvlLbl val="0"/>
      </c:catAx>
      <c:valAx>
        <c:axId val="1898292175"/>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898291759"/>
        <c:crosses val="autoZero"/>
        <c:crossBetween val="between"/>
      </c:valAx>
    </c:plotArea>
    <c:legend>
      <c:legendPos val="r"/>
      <c:layout/>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[Customer Demographic Data Analysis Data.xlsx]PivotTables!PivotTable4</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i="0"/>
              <a:t>Income by Occupation</a:t>
            </a:r>
          </a:p>
        </c:rich>
      </c:tx>
      <c:layout/>
      <c:overlay val="0"/>
      <c:spPr>
        <a:noFill/>
        <a:ln>
          <a:noFill/>
          <a:prstDash val="solid"/>
        </a:ln>
      </c:spPr>
    </c:title>
    <c:autoTitleDeleted val="0"/>
    <c:pivotFmts>
      <c:pivotFmt>
        <c:idx val="0"/>
        <c:spPr>
          <a:solidFill>
            <a:schemeClr val="accent2"/>
          </a:solidFill>
          <a:ln>
            <a:noFill/>
            <a:prstDash val="solid"/>
          </a:ln>
        </c:spPr>
        <c:marker>
          <c:symbol val="none"/>
        </c:marker>
      </c:pivotFmt>
      <c:pivotFmt>
        <c:idx val="1"/>
        <c:spPr>
          <a:solidFill>
            <a:schemeClr val="accent2"/>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2"/>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PivotTables!$B$37</c:f>
              <c:strCache>
                <c:ptCount val="1"/>
                <c:pt idx="0">
                  <c:v>Total</c:v>
                </c:pt>
              </c:strCache>
            </c:strRef>
          </c:tx>
          <c:spPr>
            <a:solidFill>
              <a:schemeClr val="accent2"/>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PivotTables!$A$38:$A$46</c:f>
              <c:strCache>
                <c:ptCount val="8"/>
                <c:pt idx="0">
                  <c:v>Business Owner</c:v>
                </c:pt>
                <c:pt idx="1">
                  <c:v>Civil Servant</c:v>
                </c:pt>
                <c:pt idx="2">
                  <c:v>Engineer</c:v>
                </c:pt>
                <c:pt idx="3">
                  <c:v>Healthcare</c:v>
                </c:pt>
                <c:pt idx="4">
                  <c:v>Missing</c:v>
                </c:pt>
                <c:pt idx="5">
                  <c:v>Self-Employed</c:v>
                </c:pt>
                <c:pt idx="6">
                  <c:v>Student</c:v>
                </c:pt>
                <c:pt idx="7">
                  <c:v>Teacher</c:v>
                </c:pt>
              </c:strCache>
            </c:strRef>
          </c:cat>
          <c:val>
            <c:numRef>
              <c:f>PivotTables!$B$38:$B$46</c:f>
              <c:numCache>
                <c:formatCode>General</c:formatCode>
                <c:ptCount val="8"/>
                <c:pt idx="0">
                  <c:v>63062.01</c:v>
                </c:pt>
                <c:pt idx="1">
                  <c:v>30275.03000000001</c:v>
                </c:pt>
                <c:pt idx="2">
                  <c:v>43298.039999999994</c:v>
                </c:pt>
                <c:pt idx="3">
                  <c:v>41695.880000000005</c:v>
                </c:pt>
                <c:pt idx="4">
                  <c:v>9200.06</c:v>
                </c:pt>
                <c:pt idx="5">
                  <c:v>42372.009999999995</c:v>
                </c:pt>
                <c:pt idx="6">
                  <c:v>11241.05</c:v>
                </c:pt>
                <c:pt idx="7">
                  <c:v>29549.109999999993</c:v>
                </c:pt>
              </c:numCache>
            </c:numRef>
          </c:val>
          <c:extLst>
            <c:ext xmlns:c16="http://schemas.microsoft.com/office/drawing/2014/chart" uri="{C3380CC4-5D6E-409C-BE32-E72D297353CC}">
              <c16:uniqueId val="{00000000-14D3-40B7-8CD4-A0DF72D55151}"/>
            </c:ext>
          </c:extLst>
        </c:ser>
        <c:dLbls>
          <c:dLblPos val="ctr"/>
          <c:showLegendKey val="0"/>
          <c:showVal val="1"/>
          <c:showCatName val="0"/>
          <c:showSerName val="0"/>
          <c:showPercent val="0"/>
          <c:showBubbleSize val="0"/>
        </c:dLbls>
        <c:gapWidth val="150"/>
        <c:overlap val="100"/>
        <c:axId val="1701217007"/>
        <c:axId val="1701212847"/>
      </c:barChart>
      <c:catAx>
        <c:axId val="17012170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01212847"/>
        <c:crosses val="autoZero"/>
        <c:auto val="1"/>
        <c:lblAlgn val="ctr"/>
        <c:lblOffset val="100"/>
        <c:noMultiLvlLbl val="0"/>
      </c:catAx>
      <c:valAx>
        <c:axId val="1701212847"/>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01217007"/>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[Customer Demographic Data Analysis Data.xlsx]PivotTables!PivotTable3</c:name>
    <c:fmtId val="1"/>
  </c:pivotSource>
  <c:chart>
    <c:title>
      <c:tx>
        <c:rich>
          <a:bodyPr rot="0" spcFirstLastPara="1" vertOverflow="ellipsis" vert="horz" wrap="square" anchor="ctr" anchorCtr="1"/>
          <a:lstStyle/>
          <a:p>
            <a:pPr marL="0" marR="0" indent="0" algn="ctr" defTabSz="914400" rtl="0" eaLnBrk="1" fontAlgn="auto" latinLnBrk="0" hangingPunct="1">
              <a:defRPr sz="1400" b="0" i="0" strike="noStrike" kern="1200" spc="0" baseline="0">
                <a:solidFill>
                  <a:sysClr val="windowText" lastClr="000000">
                    <a:lumOff val="35000"/>
                    <a:lumMod val="65000"/>
                  </a:sysClr>
                </a:solidFill>
                <a:latin typeface="+mn-lt"/>
                <a:ea typeface="+mn-ea"/>
                <a:cs typeface="+mn-cs"/>
              </a:defRPr>
            </a:pPr>
            <a:r>
              <a:rPr lang="en-US" b="1" i="0"/>
              <a:t> Gender × City (Rows + Columns)</a:t>
            </a:r>
          </a:p>
        </c:rich>
      </c:tx>
      <c:layout/>
      <c:overlay val="0"/>
      <c:spPr>
        <a:noFill/>
        <a:ln>
          <a:noFill/>
          <a:prstDash val="solid"/>
        </a:ln>
      </c:spPr>
    </c:title>
    <c:autoTitleDeleted val="0"/>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4"/>
        <c:spPr>
          <a:solidFill>
            <a:schemeClr val="accent2"/>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5"/>
        <c:spPr>
          <a:solidFill>
            <a:schemeClr val="accent3"/>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PivotTables!$N$17:$N$18</c:f>
              <c:strCache>
                <c:ptCount val="1"/>
                <c:pt idx="0">
                  <c:v>Female</c:v>
                </c:pt>
              </c:strCache>
            </c:strRef>
          </c:tx>
          <c:spPr>
            <a:solidFill>
              <a:schemeClr val="accent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PivotTables!$M$19:$M$26</c:f>
              <c:strCache>
                <c:ptCount val="7"/>
                <c:pt idx="0">
                  <c:v>Baidoa</c:v>
                </c:pt>
                <c:pt idx="1">
                  <c:v>Bosaso</c:v>
                </c:pt>
                <c:pt idx="2">
                  <c:v>Garowe</c:v>
                </c:pt>
                <c:pt idx="3">
                  <c:v>Hargeisa</c:v>
                </c:pt>
                <c:pt idx="4">
                  <c:v>Kismayo</c:v>
                </c:pt>
                <c:pt idx="5">
                  <c:v>Missing</c:v>
                </c:pt>
                <c:pt idx="6">
                  <c:v>Mogadishu</c:v>
                </c:pt>
              </c:strCache>
            </c:strRef>
          </c:cat>
          <c:val>
            <c:numRef>
              <c:f>PivotTables!$N$19:$N$26</c:f>
              <c:numCache>
                <c:formatCode>General</c:formatCode>
                <c:ptCount val="7"/>
                <c:pt idx="0">
                  <c:v>12</c:v>
                </c:pt>
                <c:pt idx="1">
                  <c:v>16</c:v>
                </c:pt>
                <c:pt idx="2">
                  <c:v>10</c:v>
                </c:pt>
                <c:pt idx="3">
                  <c:v>23</c:v>
                </c:pt>
                <c:pt idx="4">
                  <c:v>14</c:v>
                </c:pt>
                <c:pt idx="5">
                  <c:v>10</c:v>
                </c:pt>
                <c:pt idx="6">
                  <c:v>53</c:v>
                </c:pt>
              </c:numCache>
            </c:numRef>
          </c:val>
          <c:extLst>
            <c:ext xmlns:c16="http://schemas.microsoft.com/office/drawing/2014/chart" uri="{C3380CC4-5D6E-409C-BE32-E72D297353CC}">
              <c16:uniqueId val="{00000000-F00F-49FB-AA7D-D5EFF417FB54}"/>
            </c:ext>
          </c:extLst>
        </c:ser>
        <c:ser>
          <c:idx val="1"/>
          <c:order val="1"/>
          <c:tx>
            <c:strRef>
              <c:f>PivotTables!$O$17:$O$18</c:f>
              <c:strCache>
                <c:ptCount val="1"/>
                <c:pt idx="0">
                  <c:v>Male</c:v>
                </c:pt>
              </c:strCache>
            </c:strRef>
          </c:tx>
          <c:spPr>
            <a:solidFill>
              <a:schemeClr val="accent2"/>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PivotTables!$M$19:$M$26</c:f>
              <c:strCache>
                <c:ptCount val="7"/>
                <c:pt idx="0">
                  <c:v>Baidoa</c:v>
                </c:pt>
                <c:pt idx="1">
                  <c:v>Bosaso</c:v>
                </c:pt>
                <c:pt idx="2">
                  <c:v>Garowe</c:v>
                </c:pt>
                <c:pt idx="3">
                  <c:v>Hargeisa</c:v>
                </c:pt>
                <c:pt idx="4">
                  <c:v>Kismayo</c:v>
                </c:pt>
                <c:pt idx="5">
                  <c:v>Missing</c:v>
                </c:pt>
                <c:pt idx="6">
                  <c:v>Mogadishu</c:v>
                </c:pt>
              </c:strCache>
            </c:strRef>
          </c:cat>
          <c:val>
            <c:numRef>
              <c:f>PivotTables!$O$19:$O$26</c:f>
              <c:numCache>
                <c:formatCode>General</c:formatCode>
                <c:ptCount val="7"/>
                <c:pt idx="0">
                  <c:v>9</c:v>
                </c:pt>
                <c:pt idx="1">
                  <c:v>16</c:v>
                </c:pt>
                <c:pt idx="2">
                  <c:v>10</c:v>
                </c:pt>
                <c:pt idx="3">
                  <c:v>19</c:v>
                </c:pt>
                <c:pt idx="4">
                  <c:v>19</c:v>
                </c:pt>
                <c:pt idx="5">
                  <c:v>6</c:v>
                </c:pt>
                <c:pt idx="6">
                  <c:v>45</c:v>
                </c:pt>
              </c:numCache>
            </c:numRef>
          </c:val>
          <c:extLst>
            <c:ext xmlns:c16="http://schemas.microsoft.com/office/drawing/2014/chart" uri="{C3380CC4-5D6E-409C-BE32-E72D297353CC}">
              <c16:uniqueId val="{00000001-4864-4DC4-A657-EDC9C2F4C1CC}"/>
            </c:ext>
          </c:extLst>
        </c:ser>
        <c:ser>
          <c:idx val="2"/>
          <c:order val="2"/>
          <c:tx>
            <c:strRef>
              <c:f>PivotTables!$P$17:$P$18</c:f>
              <c:strCache>
                <c:ptCount val="1"/>
                <c:pt idx="0">
                  <c:v>Missing</c:v>
                </c:pt>
              </c:strCache>
            </c:strRef>
          </c:tx>
          <c:spPr>
            <a:solidFill>
              <a:schemeClr val="accent3"/>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PivotTables!$M$19:$M$26</c:f>
              <c:strCache>
                <c:ptCount val="7"/>
                <c:pt idx="0">
                  <c:v>Baidoa</c:v>
                </c:pt>
                <c:pt idx="1">
                  <c:v>Bosaso</c:v>
                </c:pt>
                <c:pt idx="2">
                  <c:v>Garowe</c:v>
                </c:pt>
                <c:pt idx="3">
                  <c:v>Hargeisa</c:v>
                </c:pt>
                <c:pt idx="4">
                  <c:v>Kismayo</c:v>
                </c:pt>
                <c:pt idx="5">
                  <c:v>Missing</c:v>
                </c:pt>
                <c:pt idx="6">
                  <c:v>Mogadishu</c:v>
                </c:pt>
              </c:strCache>
            </c:strRef>
          </c:cat>
          <c:val>
            <c:numRef>
              <c:f>PivotTables!$P$19:$P$26</c:f>
              <c:numCache>
                <c:formatCode>General</c:formatCode>
                <c:ptCount val="7"/>
                <c:pt idx="0">
                  <c:v>3</c:v>
                </c:pt>
                <c:pt idx="1">
                  <c:v>3</c:v>
                </c:pt>
                <c:pt idx="2">
                  <c:v>1</c:v>
                </c:pt>
                <c:pt idx="3">
                  <c:v>1</c:v>
                </c:pt>
                <c:pt idx="4">
                  <c:v>2</c:v>
                </c:pt>
                <c:pt idx="6">
                  <c:v>7</c:v>
                </c:pt>
              </c:numCache>
            </c:numRef>
          </c:val>
          <c:extLst>
            <c:ext xmlns:c16="http://schemas.microsoft.com/office/drawing/2014/chart" uri="{C3380CC4-5D6E-409C-BE32-E72D297353CC}">
              <c16:uniqueId val="{00000004-4864-4DC4-A657-EDC9C2F4C1CC}"/>
            </c:ext>
          </c:extLst>
        </c:ser>
        <c:dLbls>
          <c:dLblPos val="outEnd"/>
          <c:showLegendKey val="0"/>
          <c:showVal val="1"/>
          <c:showCatName val="0"/>
          <c:showSerName val="0"/>
          <c:showPercent val="0"/>
          <c:showBubbleSize val="0"/>
        </c:dLbls>
        <c:gapWidth val="219"/>
        <c:overlap val="-27"/>
        <c:axId val="1906634287"/>
        <c:axId val="1906618895"/>
      </c:barChart>
      <c:catAx>
        <c:axId val="1906634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906618895"/>
        <c:crosses val="autoZero"/>
        <c:auto val="1"/>
        <c:lblAlgn val="ctr"/>
        <c:lblOffset val="100"/>
        <c:noMultiLvlLbl val="0"/>
      </c:catAx>
      <c:valAx>
        <c:axId val="1906618895"/>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906634287"/>
        <c:crosses val="autoZero"/>
        <c:crossBetween val="between"/>
      </c:valAx>
    </c:plotArea>
    <c:legend>
      <c:legendPos val="r"/>
      <c:layout/>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[Customer Demographic Data Analysis Data.xlsx]PivotTables!PivotTable5</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0" i="0" strike="noStrike" baseline="0"/>
              <a:t>Income Level by City — Customer Count &amp; Average Income</a:t>
            </a:r>
            <a:endParaRPr lang="en-US"/>
          </a:p>
        </c:rich>
      </c:tx>
      <c:layout/>
      <c:overlay val="0"/>
      <c:spPr>
        <a:noFill/>
        <a:ln>
          <a:noFill/>
          <a:prstDash val="solid"/>
        </a:ln>
      </c:spPr>
    </c:title>
    <c:autoTitleDeleted val="0"/>
    <c:pivotFmts>
      <c:pivotFmt>
        <c:idx val="0"/>
        <c:spPr>
          <a:solidFill>
            <a:schemeClr val="accent1"/>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
        <c:spPr>
          <a:solidFill>
            <a:schemeClr val="accent2"/>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PivotTables!$N$42:$N$43</c:f>
              <c:strCache>
                <c:ptCount val="1"/>
                <c:pt idx="0">
                  <c:v>Count of Customer_ID</c:v>
                </c:pt>
              </c:strCache>
            </c:strRef>
          </c:tx>
          <c:spPr>
            <a:solidFill>
              <a:schemeClr val="accent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PivotTables!$M$44:$M$47</c:f>
              <c:strCache>
                <c:ptCount val="3"/>
                <c:pt idx="0">
                  <c:v>High</c:v>
                </c:pt>
                <c:pt idx="1">
                  <c:v>Low</c:v>
                </c:pt>
                <c:pt idx="2">
                  <c:v>Medium</c:v>
                </c:pt>
              </c:strCache>
            </c:strRef>
          </c:cat>
          <c:val>
            <c:numRef>
              <c:f>PivotTables!$N$44:$N$47</c:f>
              <c:numCache>
                <c:formatCode>General</c:formatCode>
                <c:ptCount val="3"/>
                <c:pt idx="0">
                  <c:v>20</c:v>
                </c:pt>
                <c:pt idx="1">
                  <c:v>128</c:v>
                </c:pt>
                <c:pt idx="2">
                  <c:v>131</c:v>
                </c:pt>
              </c:numCache>
            </c:numRef>
          </c:val>
          <c:extLst>
            <c:ext xmlns:c16="http://schemas.microsoft.com/office/drawing/2014/chart" uri="{C3380CC4-5D6E-409C-BE32-E72D297353CC}">
              <c16:uniqueId val="{00000000-25C8-4919-AA76-106F99A7DF8E}"/>
            </c:ext>
          </c:extLst>
        </c:ser>
        <c:ser>
          <c:idx val="1"/>
          <c:order val="1"/>
          <c:tx>
            <c:strRef>
              <c:f>PivotTables!$O$42:$O$43</c:f>
              <c:strCache>
                <c:ptCount val="1"/>
                <c:pt idx="0">
                  <c:v>Average of Monthly_Income</c:v>
                </c:pt>
              </c:strCache>
            </c:strRef>
          </c:tx>
          <c:spPr>
            <a:solidFill>
              <a:schemeClr val="accent2"/>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PivotTables!$M$44:$M$47</c:f>
              <c:strCache>
                <c:ptCount val="3"/>
                <c:pt idx="0">
                  <c:v>High</c:v>
                </c:pt>
                <c:pt idx="1">
                  <c:v>Low</c:v>
                </c:pt>
                <c:pt idx="2">
                  <c:v>Medium</c:v>
                </c:pt>
              </c:strCache>
            </c:strRef>
          </c:cat>
          <c:val>
            <c:numRef>
              <c:f>PivotTables!$O$44:$O$47</c:f>
              <c:numCache>
                <c:formatCode>General</c:formatCode>
                <c:ptCount val="3"/>
                <c:pt idx="0">
                  <c:v>2563.3863636363635</c:v>
                </c:pt>
                <c:pt idx="1">
                  <c:v>518.12446969696919</c:v>
                </c:pt>
                <c:pt idx="2">
                  <c:v>1049.6853237410066</c:v>
                </c:pt>
              </c:numCache>
            </c:numRef>
          </c:val>
          <c:extLst>
            <c:ext xmlns:c16="http://schemas.microsoft.com/office/drawing/2014/chart" uri="{C3380CC4-5D6E-409C-BE32-E72D297353CC}">
              <c16:uniqueId val="{00000001-25C8-4919-AA76-106F99A7DF8E}"/>
            </c:ext>
          </c:extLst>
        </c:ser>
        <c:dLbls>
          <c:dLblPos val="outEnd"/>
          <c:showLegendKey val="0"/>
          <c:showVal val="1"/>
          <c:showCatName val="0"/>
          <c:showSerName val="0"/>
          <c:showPercent val="0"/>
          <c:showBubbleSize val="0"/>
        </c:dLbls>
        <c:gapWidth val="219"/>
        <c:overlap val="-27"/>
        <c:axId val="1906192703"/>
        <c:axId val="1906203519"/>
      </c:barChart>
      <c:catAx>
        <c:axId val="1906192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906203519"/>
        <c:crosses val="autoZero"/>
        <c:auto val="1"/>
        <c:lblAlgn val="ctr"/>
        <c:lblOffset val="100"/>
        <c:noMultiLvlLbl val="0"/>
      </c:catAx>
      <c:valAx>
        <c:axId val="1906203519"/>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906192703"/>
        <c:crosses val="autoZero"/>
        <c:crossBetween val="between"/>
      </c:valAx>
    </c:plotArea>
    <c:legend>
      <c:legendPos val="r"/>
      <c:layout/>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[Customer Demographic Data Analysis Data.xlsx]PivotTables!PivotTable1</c:name>
    <c:fmtId val="1"/>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Sum of Income</a:t>
            </a:r>
            <a:r>
              <a:rPr lang="en-US" sz="1400" b="0" i="0" strike="noStrike" baseline="0"/>
              <a:t> by Gender</a:t>
            </a:r>
            <a:endParaRPr lang="en-US"/>
          </a:p>
        </c:rich>
      </c:tx>
      <c:layout/>
      <c:overlay val="0"/>
      <c:spPr>
        <a:noFill/>
        <a:ln>
          <a:noFill/>
          <a:prstDash val="solid"/>
        </a:ln>
      </c:spPr>
    </c:title>
    <c:autoTitleDeleted val="0"/>
    <c:pivotFmts>
      <c:pivotFmt>
        <c:idx val="0"/>
        <c:spPr>
          <a:ln>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1"/>
        <c:spPr>
          <a:solidFill>
            <a:schemeClr val="accent1"/>
          </a:solidFill>
          <a:ln w="19050">
            <a:solidFill>
              <a:schemeClr val="lt1"/>
            </a:solidFill>
            <a:prstDash val="solid"/>
          </a:ln>
        </c:spPr>
      </c:pivotFmt>
      <c:pivotFmt>
        <c:idx val="2"/>
        <c:spPr>
          <a:solidFill>
            <a:schemeClr val="accent2"/>
          </a:solidFill>
          <a:ln w="19050">
            <a:solidFill>
              <a:schemeClr val="lt1"/>
            </a:solidFill>
            <a:prstDash val="solid"/>
          </a:ln>
        </c:spPr>
      </c:pivotFmt>
      <c:pivotFmt>
        <c:idx val="3"/>
        <c:spPr>
          <a:solidFill>
            <a:schemeClr val="accent3"/>
          </a:solidFill>
          <a:ln w="19050">
            <a:solidFill>
              <a:schemeClr val="lt1"/>
            </a:solidFill>
            <a:prstDash val="solid"/>
          </a:ln>
        </c:spPr>
      </c:pivotFmt>
    </c:pivotFmts>
    <c:plotArea>
      <c:layout/>
      <c:pieChart>
        <c:varyColors val="1"/>
        <c:ser>
          <c:idx val="0"/>
          <c:order val="0"/>
          <c:tx>
            <c:strRef>
              <c:f>PivotTables!$W$16</c:f>
              <c:strCache>
                <c:ptCount val="1"/>
                <c:pt idx="0">
                  <c:v>Total</c:v>
                </c:pt>
              </c:strCache>
            </c:strRef>
          </c:tx>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9669-4466-9928-F48AC68A0807}"/>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9669-4466-9928-F48AC68A0807}"/>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9669-4466-9928-F48AC68A0807}"/>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15:layout/>
              </c:ext>
            </c:extLst>
          </c:dLbls>
          <c:cat>
            <c:strRef>
              <c:f>PivotTables!$V$17:$V$20</c:f>
              <c:strCache>
                <c:ptCount val="3"/>
                <c:pt idx="0">
                  <c:v>Female</c:v>
                </c:pt>
                <c:pt idx="1">
                  <c:v>Male</c:v>
                </c:pt>
                <c:pt idx="2">
                  <c:v>Missing</c:v>
                </c:pt>
              </c:strCache>
            </c:strRef>
          </c:cat>
          <c:val>
            <c:numRef>
              <c:f>PivotTables!$W$17:$W$20</c:f>
              <c:numCache>
                <c:formatCode>General</c:formatCode>
                <c:ptCount val="3"/>
                <c:pt idx="0">
                  <c:v>125509.16000000002</c:v>
                </c:pt>
                <c:pt idx="1">
                  <c:v>120191.5</c:v>
                </c:pt>
                <c:pt idx="2">
                  <c:v>24992.530000000006</c:v>
                </c:pt>
              </c:numCache>
            </c:numRef>
          </c:val>
          <c:extLst>
            <c:ext xmlns:c16="http://schemas.microsoft.com/office/drawing/2014/chart" uri="{C3380CC4-5D6E-409C-BE32-E72D297353CC}">
              <c16:uniqueId val="{00000006-9669-4466-9928-F48AC68A0807}"/>
            </c:ext>
          </c:extLst>
        </c:ser>
        <c:dLbls>
          <c:dLblPos val="bestFit"/>
          <c:showLegendKey val="0"/>
          <c:showVal val="1"/>
          <c:showCatName val="0"/>
          <c:showSerName val="0"/>
          <c:showPercent val="0"/>
          <c:showBubbleSize val="0"/>
          <c:showLeaderLines val="1"/>
        </c:dLbls>
        <c:firstSliceAng val="0"/>
      </c:pieChart>
    </c:plotArea>
    <c:legend>
      <c:legendPos val="r"/>
      <c:layout/>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[Customer Demographic Data Analysis Data.xlsx]PivotTables!PivotTable10</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i="0"/>
              <a:t>Customer Registrations by Month</a:t>
            </a:r>
          </a:p>
        </c:rich>
      </c:tx>
      <c:layout/>
      <c:overlay val="0"/>
      <c:spPr>
        <a:noFill/>
        <a:ln>
          <a:noFill/>
          <a:prstDash val="solid"/>
        </a:ln>
      </c:spPr>
    </c:title>
    <c:autoTitleDeleted val="0"/>
    <c:pivotFmts>
      <c:pivotFmt>
        <c:idx val="0"/>
        <c:spPr>
          <a:solidFill>
            <a:schemeClr val="accent1"/>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PivotTables!$W$37</c:f>
              <c:strCache>
                <c:ptCount val="1"/>
                <c:pt idx="0">
                  <c:v>Total</c:v>
                </c:pt>
              </c:strCache>
            </c:strRef>
          </c:tx>
          <c:spPr>
            <a:solidFill>
              <a:schemeClr val="accent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PivotTables!$V$38:$V$51</c:f>
              <c:strCache>
                <c:ptCount val="13"/>
                <c:pt idx="0">
                  <c:v>1</c:v>
                </c:pt>
                <c:pt idx="1">
                  <c:v>2</c:v>
                </c:pt>
                <c:pt idx="2">
                  <c:v>3</c:v>
                </c:pt>
                <c:pt idx="3">
                  <c:v>4</c:v>
                </c:pt>
                <c:pt idx="4">
                  <c:v>5</c:v>
                </c:pt>
                <c:pt idx="5">
                  <c:v>6</c:v>
                </c:pt>
                <c:pt idx="6">
                  <c:v>7</c:v>
                </c:pt>
                <c:pt idx="7">
                  <c:v>8</c:v>
                </c:pt>
                <c:pt idx="8">
                  <c:v>9</c:v>
                </c:pt>
                <c:pt idx="9">
                  <c:v>10</c:v>
                </c:pt>
                <c:pt idx="10">
                  <c:v>11</c:v>
                </c:pt>
                <c:pt idx="11">
                  <c:v>12</c:v>
                </c:pt>
              </c:strCache>
            </c:strRef>
          </c:cat>
          <c:val>
            <c:numRef>
              <c:f>PivotTables!$W$38:$W$51</c:f>
              <c:numCache>
                <c:formatCode>General</c:formatCode>
                <c:ptCount val="13"/>
                <c:pt idx="0">
                  <c:v>28</c:v>
                </c:pt>
                <c:pt idx="1">
                  <c:v>26</c:v>
                </c:pt>
                <c:pt idx="2">
                  <c:v>27</c:v>
                </c:pt>
                <c:pt idx="3">
                  <c:v>29</c:v>
                </c:pt>
                <c:pt idx="4">
                  <c:v>32</c:v>
                </c:pt>
                <c:pt idx="5">
                  <c:v>21</c:v>
                </c:pt>
                <c:pt idx="6">
                  <c:v>21</c:v>
                </c:pt>
                <c:pt idx="7">
                  <c:v>25</c:v>
                </c:pt>
                <c:pt idx="8">
                  <c:v>9</c:v>
                </c:pt>
                <c:pt idx="9">
                  <c:v>15</c:v>
                </c:pt>
                <c:pt idx="10">
                  <c:v>12</c:v>
                </c:pt>
                <c:pt idx="11">
                  <c:v>16</c:v>
                </c:pt>
                <c:pt idx="12">
                  <c:v>18</c:v>
                </c:pt>
              </c:numCache>
            </c:numRef>
          </c:val>
          <c:extLst>
            <c:ext xmlns:c16="http://schemas.microsoft.com/office/drawing/2014/chart" uri="{C3380CC4-5D6E-409C-BE32-E72D297353CC}">
              <c16:uniqueId val="{00000000-B0EE-4F45-A634-490AB1ADFAE6}"/>
            </c:ext>
          </c:extLst>
        </c:ser>
        <c:dLbls>
          <c:dLblPos val="outEnd"/>
          <c:showLegendKey val="0"/>
          <c:showVal val="1"/>
          <c:showCatName val="0"/>
          <c:showSerName val="0"/>
          <c:showPercent val="0"/>
          <c:showBubbleSize val="0"/>
        </c:dLbls>
        <c:gapWidth val="219"/>
        <c:overlap val="-27"/>
        <c:axId val="340035024"/>
        <c:axId val="340034608"/>
      </c:barChart>
      <c:catAx>
        <c:axId val="340035024"/>
        <c:scaling>
          <c:orientation val="minMax"/>
        </c:scaling>
        <c:delete val="1"/>
        <c:axPos val="b"/>
        <c:numFmt formatCode="General" sourceLinked="1"/>
        <c:majorTickMark val="out"/>
        <c:minorTickMark val="none"/>
        <c:tickLblPos val="nextTo"/>
        <c:crossAx val="340034608"/>
        <c:crosses val="autoZero"/>
        <c:auto val="1"/>
        <c:lblAlgn val="ctr"/>
        <c:lblOffset val="100"/>
        <c:noMultiLvlLbl val="0"/>
      </c:catAx>
      <c:valAx>
        <c:axId val="340034608"/>
        <c:scaling>
          <c:orientation val="minMax"/>
        </c:scaling>
        <c:delete val="1"/>
        <c:axPos val="l"/>
        <c:majorGridlines>
          <c:spPr>
            <a:ln w="9525" cap="flat" cmpd="sng" algn="ctr">
              <a:solidFill>
                <a:schemeClr val="tx1">
                  <a:lumMod val="15000"/>
                  <a:lumOff val="85000"/>
                </a:schemeClr>
              </a:solidFill>
              <a:prstDash val="solid"/>
              <a:round/>
            </a:ln>
          </c:spPr>
        </c:majorGridlines>
        <c:numFmt formatCode="General" sourceLinked="1"/>
        <c:majorTickMark val="out"/>
        <c:minorTickMark val="none"/>
        <c:tickLblPos val="nextTo"/>
        <c:crossAx val="34003502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[Customer Demographic Data Analysis Data.xlsx]PivotTables!PivotTable6</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Yearly Total Income</a:t>
            </a:r>
            <a:endParaRPr lang="en-US"/>
          </a:p>
        </c:rich>
      </c:tx>
      <c:layout/>
      <c:overlay val="0"/>
      <c:spPr>
        <a:noFill/>
        <a:ln>
          <a:noFill/>
          <a:prstDash val="solid"/>
        </a:ln>
      </c:spPr>
    </c:title>
    <c:autoTitleDeleted val="0"/>
    <c:pivotFmts>
      <c:pivotFmt>
        <c:idx val="0"/>
        <c:spPr>
          <a:ln>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1"/>
        <c:spPr>
          <a:solidFill>
            <a:schemeClr val="accent1"/>
          </a:solidFill>
          <a:ln w="19050">
            <a:solidFill>
              <a:schemeClr val="lt1"/>
            </a:solidFill>
            <a:prstDash val="solid"/>
          </a:ln>
        </c:spPr>
      </c:pivotFmt>
      <c:pivotFmt>
        <c:idx val="2"/>
        <c:spPr>
          <a:solidFill>
            <a:schemeClr val="accent2"/>
          </a:solidFill>
          <a:ln w="19050">
            <a:solidFill>
              <a:schemeClr val="lt1"/>
            </a:solidFill>
            <a:prstDash val="solid"/>
          </a:ln>
        </c:spPr>
      </c:pivotFmt>
      <c:pivotFmt>
        <c:idx val="3"/>
        <c:spPr>
          <a:solidFill>
            <a:schemeClr val="accent3"/>
          </a:solidFill>
          <a:ln w="19050">
            <a:solidFill>
              <a:schemeClr val="lt1"/>
            </a:solidFill>
            <a:prstDash val="solid"/>
          </a:ln>
        </c:spPr>
      </c:pivotFmt>
    </c:pivotFmts>
    <c:plotArea>
      <c:layout/>
      <c:pieChart>
        <c:varyColors val="1"/>
        <c:ser>
          <c:idx val="0"/>
          <c:order val="0"/>
          <c:tx>
            <c:strRef>
              <c:f>PivotTables!$B$58</c:f>
              <c:strCache>
                <c:ptCount val="1"/>
                <c:pt idx="0">
                  <c:v>Total</c:v>
                </c:pt>
              </c:strCache>
            </c:strRef>
          </c:tx>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9032-48F1-9936-2ADA2DCC9EB7}"/>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9032-48F1-9936-2ADA2DCC9EB7}"/>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9032-48F1-9936-2ADA2DCC9EB7}"/>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15:layout/>
              </c:ext>
            </c:extLst>
          </c:dLbls>
          <c:cat>
            <c:strRef>
              <c:f>PivotTables!$A$59:$A$62</c:f>
              <c:strCache>
                <c:ptCount val="3"/>
                <c:pt idx="0">
                  <c:v>2025</c:v>
                </c:pt>
                <c:pt idx="1">
                  <c:v>2026</c:v>
                </c:pt>
              </c:strCache>
            </c:strRef>
          </c:cat>
          <c:val>
            <c:numRef>
              <c:f>PivotTables!$B$59:$B$62</c:f>
              <c:numCache>
                <c:formatCode>General</c:formatCode>
                <c:ptCount val="3"/>
                <c:pt idx="0">
                  <c:v>183206.52999999997</c:v>
                </c:pt>
                <c:pt idx="1">
                  <c:v>70430.230000000025</c:v>
                </c:pt>
                <c:pt idx="2">
                  <c:v>17056.43</c:v>
                </c:pt>
              </c:numCache>
            </c:numRef>
          </c:val>
          <c:extLst>
            <c:ext xmlns:c16="http://schemas.microsoft.com/office/drawing/2014/chart" uri="{C3380CC4-5D6E-409C-BE32-E72D297353CC}">
              <c16:uniqueId val="{00000006-9032-48F1-9936-2ADA2DCC9EB7}"/>
            </c:ext>
          </c:extLst>
        </c:ser>
        <c:dLbls>
          <c:dLblPos val="bestFit"/>
          <c:showLegendKey val="0"/>
          <c:showVal val="1"/>
          <c:showCatName val="0"/>
          <c:showSerName val="0"/>
          <c:showPercent val="0"/>
          <c:showBubbleSize val="0"/>
          <c:showLeaderLines val="1"/>
        </c:dLbls>
        <c:firstSliceAng val="0"/>
      </c:pieChart>
    </c:plotArea>
    <c:legend>
      <c:legendPos val="r"/>
      <c:layout/>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800" b="1">
                <a:effectLst/>
              </a:rPr>
              <a:t/>
            </a:r>
            <a:br>
              <a:rPr lang="en-US" sz="2800" b="1">
                <a:effectLst/>
              </a:rPr>
            </a:br>
            <a:r>
              <a:rPr lang="en-US" sz="2800" b="1">
                <a:effectLst/>
              </a:rPr>
              <a:t>Customers by Occupation</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PivotTables!$B$91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PivotTables!$A$92:$A$100</c:f>
              <c:strCache>
                <c:ptCount val="8"/>
                <c:pt idx="0">
                  <c:v>Business Owner</c:v>
                </c:pt>
                <c:pt idx="1">
                  <c:v>Civil Servant</c:v>
                </c:pt>
                <c:pt idx="2">
                  <c:v>Engineer</c:v>
                </c:pt>
                <c:pt idx="3">
                  <c:v>Healthcare</c:v>
                </c:pt>
                <c:pt idx="4">
                  <c:v>Missing</c:v>
                </c:pt>
                <c:pt idx="5">
                  <c:v>Self-Employed</c:v>
                </c:pt>
                <c:pt idx="6">
                  <c:v>Student</c:v>
                </c:pt>
                <c:pt idx="7">
                  <c:v>Teacher</c:v>
                </c:pt>
              </c:strCache>
            </c:strRef>
          </c:cat>
          <c:val>
            <c:numRef>
              <c:f>PivotTables!$B$92:$B$100</c:f>
              <c:numCache>
                <c:formatCode>General</c:formatCode>
                <c:ptCount val="8"/>
                <c:pt idx="0">
                  <c:v>46</c:v>
                </c:pt>
                <c:pt idx="1">
                  <c:v>37</c:v>
                </c:pt>
                <c:pt idx="2">
                  <c:v>42</c:v>
                </c:pt>
                <c:pt idx="3">
                  <c:v>28</c:v>
                </c:pt>
                <c:pt idx="4">
                  <c:v>15</c:v>
                </c:pt>
                <c:pt idx="5">
                  <c:v>37</c:v>
                </c:pt>
                <c:pt idx="6">
                  <c:v>34</c:v>
                </c:pt>
                <c:pt idx="7">
                  <c:v>40</c:v>
                </c:pt>
              </c:numCache>
            </c:numRef>
          </c:val>
          <c:extLst>
            <c:ext xmlns:c16="http://schemas.microsoft.com/office/drawing/2014/chart" uri="{C3380CC4-5D6E-409C-BE32-E72D297353CC}">
              <c16:uniqueId val="{00000000-C90A-4F6C-A2F5-92EF3A7E0C8D}"/>
            </c:ext>
          </c:extLst>
        </c:ser>
        <c:dLbls>
          <c:dLblPos val="outEnd"/>
          <c:showLegendKey val="0"/>
          <c:showVal val="1"/>
          <c:showCatName val="0"/>
          <c:showSerName val="0"/>
          <c:showPercent val="0"/>
          <c:showBubbleSize val="0"/>
        </c:dLbls>
        <c:gapWidth val="219"/>
        <c:overlap val="-27"/>
        <c:axId val="2094484016"/>
        <c:axId val="105019312"/>
      </c:barChart>
      <c:catAx>
        <c:axId val="2094484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019312"/>
        <c:crosses val="autoZero"/>
        <c:auto val="1"/>
        <c:lblAlgn val="ctr"/>
        <c:lblOffset val="100"/>
        <c:noMultiLvlLbl val="0"/>
      </c:catAx>
      <c:valAx>
        <c:axId val="105019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448401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Data.xlsx]PivotTables!PivotTable8</c:name>
    <c:fmtId val="0"/>
  </c:pivotSource>
  <c:chart>
    <c:title>
      <c:tx>
        <c:rich>
          <a:bodyPr rot="0" spcFirstLastPara="1" vertOverflow="ellipsis" vert="horz" wrap="square" anchor="ctr" anchorCtr="1"/>
          <a:lstStyle/>
          <a:p>
            <a:pPr marL="0" marR="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800" b="1">
                <a:effectLst/>
              </a:rPr>
              <a:t/>
            </a:r>
            <a:br>
              <a:rPr lang="en-US" sz="1800" b="1">
                <a:effectLst/>
              </a:rPr>
            </a:br>
            <a:r>
              <a:rPr lang="en-US" sz="1800" b="1">
                <a:effectLst/>
              </a:rPr>
              <a:t>Income Level Distribution</a:t>
            </a:r>
          </a:p>
          <a:p>
            <a:pPr marL="0" marR="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layout>
        <c:manualLayout>
          <c:xMode val="edge"/>
          <c:yMode val="edge"/>
          <c:x val="0.32444790176109578"/>
          <c:y val="7.3822564544346617E-2"/>
        </c:manualLayout>
      </c:layout>
      <c:overlay val="0"/>
      <c:spPr>
        <a:noFill/>
        <a:ln>
          <a:noFill/>
        </a:ln>
        <a:effectLst/>
      </c:spPr>
      <c:txPr>
        <a:bodyPr rot="0" spcFirstLastPara="1" vertOverflow="ellipsis" vert="horz" wrap="square" anchor="ctr" anchorCtr="1"/>
        <a:lstStyle/>
        <a:p>
          <a:pPr marL="0" marR="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PivotTables!$M$91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C1A-49AD-9E36-BE129712958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C1A-49AD-9E36-BE129712958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C1A-49AD-9E36-BE129712958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PivotTables!$L$92:$L$95</c:f>
              <c:strCache>
                <c:ptCount val="3"/>
                <c:pt idx="0">
                  <c:v>High</c:v>
                </c:pt>
                <c:pt idx="1">
                  <c:v>Low</c:v>
                </c:pt>
                <c:pt idx="2">
                  <c:v>Medium</c:v>
                </c:pt>
              </c:strCache>
            </c:strRef>
          </c:cat>
          <c:val>
            <c:numRef>
              <c:f>PivotTables!$M$92:$M$95</c:f>
              <c:numCache>
                <c:formatCode>General</c:formatCode>
                <c:ptCount val="3"/>
                <c:pt idx="0">
                  <c:v>20</c:v>
                </c:pt>
                <c:pt idx="1">
                  <c:v>128</c:v>
                </c:pt>
                <c:pt idx="2">
                  <c:v>131</c:v>
                </c:pt>
              </c:numCache>
            </c:numRef>
          </c:val>
          <c:extLst>
            <c:ext xmlns:c16="http://schemas.microsoft.com/office/drawing/2014/chart" uri="{C3380CC4-5D6E-409C-BE32-E72D297353CC}">
              <c16:uniqueId val="{00000000-0CFB-41F4-831A-6EE95B7DF8F5}"/>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400" b="1" i="0" u="none" strike="noStrike" baseline="0">
                <a:effectLst/>
              </a:rPr>
              <a:t>Total Income by Registration Month</a:t>
            </a:r>
            <a:endParaRPr lang="en-US" sz="2400"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PivotTables!$V$92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PivotTables!$U$93:$U$106</c:f>
              <c:strCache>
                <c:ptCount val="13"/>
                <c:pt idx="0">
                  <c:v>1</c:v>
                </c:pt>
                <c:pt idx="1">
                  <c:v>2</c:v>
                </c:pt>
                <c:pt idx="2">
                  <c:v>3</c:v>
                </c:pt>
                <c:pt idx="3">
                  <c:v>4</c:v>
                </c:pt>
                <c:pt idx="4">
                  <c:v>5</c:v>
                </c:pt>
                <c:pt idx="5">
                  <c:v>6</c:v>
                </c:pt>
                <c:pt idx="6">
                  <c:v>7</c:v>
                </c:pt>
                <c:pt idx="7">
                  <c:v>8</c:v>
                </c:pt>
                <c:pt idx="8">
                  <c:v>9</c:v>
                </c:pt>
                <c:pt idx="9">
                  <c:v>10</c:v>
                </c:pt>
                <c:pt idx="10">
                  <c:v>11</c:v>
                </c:pt>
                <c:pt idx="11">
                  <c:v>12</c:v>
                </c:pt>
              </c:strCache>
            </c:strRef>
          </c:cat>
          <c:val>
            <c:numRef>
              <c:f>PivotTables!$V$93:$V$106</c:f>
              <c:numCache>
                <c:formatCode>General</c:formatCode>
                <c:ptCount val="13"/>
                <c:pt idx="0">
                  <c:v>26370.550000000003</c:v>
                </c:pt>
                <c:pt idx="1">
                  <c:v>23302.670000000006</c:v>
                </c:pt>
                <c:pt idx="2">
                  <c:v>34635.78</c:v>
                </c:pt>
                <c:pt idx="3">
                  <c:v>34902.79</c:v>
                </c:pt>
                <c:pt idx="4">
                  <c:v>27538.690000000002</c:v>
                </c:pt>
                <c:pt idx="5">
                  <c:v>18235.07</c:v>
                </c:pt>
                <c:pt idx="6">
                  <c:v>16303.44</c:v>
                </c:pt>
                <c:pt idx="7">
                  <c:v>24419.969999999998</c:v>
                </c:pt>
                <c:pt idx="8">
                  <c:v>10009.130000000001</c:v>
                </c:pt>
                <c:pt idx="9">
                  <c:v>14348.779999999999</c:v>
                </c:pt>
                <c:pt idx="10">
                  <c:v>10046.290000000001</c:v>
                </c:pt>
                <c:pt idx="11">
                  <c:v>13523.6</c:v>
                </c:pt>
                <c:pt idx="12">
                  <c:v>17056.43</c:v>
                </c:pt>
              </c:numCache>
            </c:numRef>
          </c:val>
          <c:extLst>
            <c:ext xmlns:c16="http://schemas.microsoft.com/office/drawing/2014/chart" uri="{C3380CC4-5D6E-409C-BE32-E72D297353CC}">
              <c16:uniqueId val="{00000000-B3B5-40D9-BF82-905E06DA73CA}"/>
            </c:ext>
          </c:extLst>
        </c:ser>
        <c:dLbls>
          <c:dLblPos val="outEnd"/>
          <c:showLegendKey val="0"/>
          <c:showVal val="1"/>
          <c:showCatName val="0"/>
          <c:showSerName val="0"/>
          <c:showPercent val="0"/>
          <c:showBubbleSize val="0"/>
        </c:dLbls>
        <c:gapWidth val="219"/>
        <c:overlap val="-27"/>
        <c:axId val="2093762592"/>
        <c:axId val="2093765088"/>
      </c:barChart>
      <c:catAx>
        <c:axId val="2093762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3765088"/>
        <c:crosses val="autoZero"/>
        <c:auto val="1"/>
        <c:lblAlgn val="ctr"/>
        <c:lblOffset val="100"/>
        <c:noMultiLvlLbl val="0"/>
      </c:catAx>
      <c:valAx>
        <c:axId val="20937650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376259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strike="noStrike" baseline="0"/>
              <a:t>Total Income by City</a:t>
            </a:r>
            <a:endParaRPr lang="en-US"/>
          </a:p>
        </c:rich>
      </c:tx>
      <c:layout/>
      <c:overlay val="0"/>
      <c:spPr>
        <a:noFill/>
        <a:ln>
          <a:noFill/>
          <a:prstDash val="solid"/>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prstDash val="solid"/>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prstDash val="solid"/>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prstDash val="solid"/>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prstDash val="solid"/>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prstDash val="solid"/>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prstDash val="solid"/>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9.3489277571392415E-2"/>
          <c:y val="0.10479645104454316"/>
          <c:w val="0.80847267509603982"/>
          <c:h val="0.77098473801885881"/>
        </c:manualLayout>
      </c:layout>
      <c:barChart>
        <c:barDir val="col"/>
        <c:grouping val="clustered"/>
        <c:varyColors val="0"/>
        <c:ser>
          <c:idx val="0"/>
          <c:order val="0"/>
          <c:tx>
            <c:strRef>
              <c:f>PivotTables!$B$15</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6350" cap="flat" cmpd="sng" algn="ctr">
                      <a:solidFill>
                        <a:schemeClr val="tx1"/>
                      </a:solidFill>
                      <a:prstDash val="solid"/>
                      <a:round/>
                    </a:ln>
                    <a:effectLst/>
                  </c:spPr>
                </c15:leaderLines>
              </c:ext>
            </c:extLst>
          </c:dLbls>
          <c:cat>
            <c:strRef>
              <c:f>PivotTables!$A$16:$A$23</c:f>
              <c:strCache>
                <c:ptCount val="7"/>
                <c:pt idx="0">
                  <c:v>Baidoa</c:v>
                </c:pt>
                <c:pt idx="1">
                  <c:v>Bosaso</c:v>
                </c:pt>
                <c:pt idx="2">
                  <c:v>Garowe</c:v>
                </c:pt>
                <c:pt idx="3">
                  <c:v>Hargeisa</c:v>
                </c:pt>
                <c:pt idx="4">
                  <c:v>Kismayo</c:v>
                </c:pt>
                <c:pt idx="5">
                  <c:v>Missing</c:v>
                </c:pt>
                <c:pt idx="6">
                  <c:v>Mogadishu</c:v>
                </c:pt>
              </c:strCache>
            </c:strRef>
          </c:cat>
          <c:val>
            <c:numRef>
              <c:f>PivotTables!$B$16:$B$23</c:f>
              <c:numCache>
                <c:formatCode>General</c:formatCode>
                <c:ptCount val="7"/>
                <c:pt idx="0">
                  <c:v>19068.93</c:v>
                </c:pt>
                <c:pt idx="1">
                  <c:v>39854.100000000006</c:v>
                </c:pt>
                <c:pt idx="2">
                  <c:v>17991.009999999998</c:v>
                </c:pt>
                <c:pt idx="3">
                  <c:v>38385.03</c:v>
                </c:pt>
                <c:pt idx="4">
                  <c:v>30250.91</c:v>
                </c:pt>
                <c:pt idx="5">
                  <c:v>13639.55</c:v>
                </c:pt>
                <c:pt idx="6">
                  <c:v>111503.65999999997</c:v>
                </c:pt>
              </c:numCache>
            </c:numRef>
          </c:val>
          <c:extLst>
            <c:ext xmlns:c16="http://schemas.microsoft.com/office/drawing/2014/chart" uri="{C3380CC4-5D6E-409C-BE32-E72D297353CC}">
              <c16:uniqueId val="{00000000-916D-4271-90C5-210EBE7F1E32}"/>
            </c:ext>
          </c:extLst>
        </c:ser>
        <c:dLbls>
          <c:dLblPos val="outEnd"/>
          <c:showLegendKey val="0"/>
          <c:showVal val="1"/>
          <c:showCatName val="0"/>
          <c:showSerName val="0"/>
          <c:showPercent val="0"/>
          <c:showBubbleSize val="0"/>
        </c:dLbls>
        <c:gapWidth val="219"/>
        <c:overlap val="-27"/>
        <c:axId val="1898291759"/>
        <c:axId val="1898292175"/>
      </c:barChart>
      <c:catAx>
        <c:axId val="189829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8292175"/>
        <c:crosses val="autoZero"/>
        <c:auto val="1"/>
        <c:lblAlgn val="ctr"/>
        <c:lblOffset val="100"/>
        <c:noMultiLvlLbl val="0"/>
      </c:catAx>
      <c:valAx>
        <c:axId val="1898292175"/>
        <c:scaling>
          <c:orientation val="minMax"/>
        </c:scaling>
        <c:delete val="0"/>
        <c:axPos val="l"/>
        <c:majorGridlines>
          <c:spPr>
            <a:ln w="9525" cap="flat" cmpd="sng" algn="ctr">
              <a:solidFill>
                <a:schemeClr val="tx1">
                  <a:lumMod val="15000"/>
                  <a:lumOff val="85000"/>
                </a:schemeClr>
              </a:solidFill>
              <a:prstDash val="solid"/>
              <a:round/>
            </a:ln>
            <a:effectLst/>
          </c:spPr>
        </c:majorGridlines>
        <c:numFmt formatCode="General" sourceLinked="1"/>
        <c:majorTickMark val="none"/>
        <c:minorTickMark val="none"/>
        <c:tickLblPos val="nextTo"/>
        <c:spPr>
          <a:noFill/>
          <a:ln w="6350" cap="flat" cmpd="sng" algn="ctr">
            <a:no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8291759"/>
        <c:crosses val="autoZero"/>
        <c:crossBetween val="between"/>
      </c:valAx>
      <c:spPr>
        <a:solidFill>
          <a:schemeClr val="bg1"/>
        </a:solidFill>
        <a:ln>
          <a:noFill/>
        </a:ln>
        <a:effectLst/>
      </c:spPr>
    </c:plotArea>
    <c:legend>
      <c:legendPos val="r"/>
      <c:layout/>
      <c:overlay val="0"/>
      <c:spPr>
        <a:noFill/>
        <a:ln>
          <a:noFill/>
          <a:prstDash val="solid"/>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Data.xlsx]PivotTables!PivotTable4</c:name>
    <c:fmtId val="3"/>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i="0"/>
              <a:t>Income by Occupation</a:t>
            </a:r>
          </a:p>
        </c:rich>
      </c:tx>
      <c:layout/>
      <c:overlay val="0"/>
      <c:spPr>
        <a:noFill/>
        <a:ln>
          <a:noFill/>
          <a:prstDash val="solid"/>
        </a:ln>
      </c:spPr>
    </c:title>
    <c:autoTitleDeleted val="0"/>
    <c:pivotFmts>
      <c:pivotFmt>
        <c:idx val="0"/>
        <c:spPr>
          <a:solidFill>
            <a:schemeClr val="accent2"/>
          </a:solidFill>
          <a:ln>
            <a:noFill/>
            <a:prstDash val="solid"/>
          </a:ln>
        </c:spPr>
        <c:marker>
          <c:symbol val="none"/>
        </c:marker>
      </c:pivotFmt>
      <c:pivotFmt>
        <c:idx val="1"/>
        <c:spPr>
          <a:solidFill>
            <a:schemeClr val="accent2"/>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5.5990342033389933E-3"/>
              <c:y val="-0.39770890577016327"/>
            </c:manualLayout>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14"/>
        <c:dLbl>
          <c:idx val="0"/>
          <c:layout>
            <c:manualLayout>
              <c:x val="1.8663447344463313E-3"/>
              <c:y val="-0.20847644254081138"/>
            </c:manualLayout>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15"/>
        <c:dLbl>
          <c:idx val="0"/>
          <c:layout>
            <c:manualLayout>
              <c:x val="1.8663447344462627E-3"/>
              <c:y val="-0.2790377000161629"/>
            </c:manualLayout>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16"/>
        <c:dLbl>
          <c:idx val="0"/>
          <c:layout>
            <c:manualLayout>
              <c:x val="0"/>
              <c:y val="-0.27583037013091971"/>
            </c:manualLayout>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17"/>
        <c:dLbl>
          <c:idx val="0"/>
          <c:layout>
            <c:manualLayout>
              <c:x val="-6.8431849732464514E-17"/>
              <c:y val="-8.0183247131081423E-2"/>
            </c:manualLayout>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18"/>
        <c:dLbl>
          <c:idx val="0"/>
          <c:layout>
            <c:manualLayout>
              <c:x val="0"/>
              <c:y val="-0.27903770001616296"/>
            </c:manualLayout>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19"/>
        <c:dLbl>
          <c:idx val="0"/>
          <c:layout>
            <c:manualLayout>
              <c:x val="-5.5990342033389933E-3"/>
              <c:y val="-9.9427226442540817E-2"/>
            </c:manualLayout>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20"/>
        <c:dLbl>
          <c:idx val="0"/>
          <c:layout>
            <c:manualLayout>
              <c:x val="-1.8663447344463313E-3"/>
              <c:y val="-0.20206178277032499"/>
            </c:manualLayout>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stacked"/>
        <c:varyColors val="0"/>
        <c:ser>
          <c:idx val="0"/>
          <c:order val="0"/>
          <c:tx>
            <c:strRef>
              <c:f>PivotTables!$B$37</c:f>
              <c:strCache>
                <c:ptCount val="1"/>
                <c:pt idx="0">
                  <c:v>Total</c:v>
                </c:pt>
              </c:strCache>
            </c:strRef>
          </c:tx>
          <c:spPr>
            <a:solidFill>
              <a:schemeClr val="accent2"/>
            </a:solidFill>
            <a:ln>
              <a:noFill/>
              <a:prstDash val="solid"/>
            </a:ln>
          </c:spPr>
          <c:invertIfNegative val="0"/>
          <c:dLbls>
            <c:dLbl>
              <c:idx val="0"/>
              <c:layout>
                <c:manualLayout>
                  <c:x val="5.5990342033389933E-3"/>
                  <c:y val="-0.39770890577016327"/>
                </c:manualLayout>
              </c:layout>
              <c:dLblPos val="ct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0-1F96-4FD2-AF2A-EEC73D818C52}"/>
                </c:ext>
              </c:extLst>
            </c:dLbl>
            <c:dLbl>
              <c:idx val="1"/>
              <c:layout>
                <c:manualLayout>
                  <c:x val="1.8663447344463313E-3"/>
                  <c:y val="-0.20847644254081138"/>
                </c:manualLayout>
              </c:layout>
              <c:dLblPos val="ct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1F96-4FD2-AF2A-EEC73D818C52}"/>
                </c:ext>
              </c:extLst>
            </c:dLbl>
            <c:dLbl>
              <c:idx val="2"/>
              <c:layout>
                <c:manualLayout>
                  <c:x val="1.8663447344462627E-3"/>
                  <c:y val="-0.2790377000161629"/>
                </c:manualLayout>
              </c:layout>
              <c:dLblPos val="ct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1-1F96-4FD2-AF2A-EEC73D818C52}"/>
                </c:ext>
              </c:extLst>
            </c:dLbl>
            <c:dLbl>
              <c:idx val="3"/>
              <c:layout>
                <c:manualLayout>
                  <c:x val="0"/>
                  <c:y val="-0.27583037013091971"/>
                </c:manualLayout>
              </c:layout>
              <c:dLblPos val="ct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1F96-4FD2-AF2A-EEC73D818C52}"/>
                </c:ext>
              </c:extLst>
            </c:dLbl>
            <c:dLbl>
              <c:idx val="4"/>
              <c:layout>
                <c:manualLayout>
                  <c:x val="-6.8431849732464514E-17"/>
                  <c:y val="-8.0183247131081423E-2"/>
                </c:manualLayout>
              </c:layout>
              <c:dLblPos val="ct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4-1F96-4FD2-AF2A-EEC73D818C52}"/>
                </c:ext>
              </c:extLst>
            </c:dLbl>
            <c:dLbl>
              <c:idx val="5"/>
              <c:layout>
                <c:manualLayout>
                  <c:x val="0"/>
                  <c:y val="-0.27903770001616296"/>
                </c:manualLayout>
              </c:layout>
              <c:dLblPos val="ct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1F96-4FD2-AF2A-EEC73D818C52}"/>
                </c:ext>
              </c:extLst>
            </c:dLbl>
            <c:dLbl>
              <c:idx val="6"/>
              <c:layout>
                <c:manualLayout>
                  <c:x val="-5.5990342033389933E-3"/>
                  <c:y val="-9.9427226442540817E-2"/>
                </c:manualLayout>
              </c:layout>
              <c:dLblPos val="ct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6-1F96-4FD2-AF2A-EEC73D818C52}"/>
                </c:ext>
              </c:extLst>
            </c:dLbl>
            <c:dLbl>
              <c:idx val="7"/>
              <c:layout>
                <c:manualLayout>
                  <c:x val="-1.8663447344463313E-3"/>
                  <c:y val="-0.20206178277032499"/>
                </c:manualLayout>
              </c:layout>
              <c:dLblPos val="ct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7-1F96-4FD2-AF2A-EEC73D818C52}"/>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PivotTables!$A$38:$A$46</c:f>
              <c:strCache>
                <c:ptCount val="8"/>
                <c:pt idx="0">
                  <c:v>Business Owner</c:v>
                </c:pt>
                <c:pt idx="1">
                  <c:v>Civil Servant</c:v>
                </c:pt>
                <c:pt idx="2">
                  <c:v>Engineer</c:v>
                </c:pt>
                <c:pt idx="3">
                  <c:v>Healthcare</c:v>
                </c:pt>
                <c:pt idx="4">
                  <c:v>Missing</c:v>
                </c:pt>
                <c:pt idx="5">
                  <c:v>Self-Employed</c:v>
                </c:pt>
                <c:pt idx="6">
                  <c:v>Student</c:v>
                </c:pt>
                <c:pt idx="7">
                  <c:v>Teacher</c:v>
                </c:pt>
              </c:strCache>
            </c:strRef>
          </c:cat>
          <c:val>
            <c:numRef>
              <c:f>PivotTables!$B$38:$B$46</c:f>
              <c:numCache>
                <c:formatCode>General</c:formatCode>
                <c:ptCount val="8"/>
                <c:pt idx="0">
                  <c:v>63062.01</c:v>
                </c:pt>
                <c:pt idx="1">
                  <c:v>30275.03000000001</c:v>
                </c:pt>
                <c:pt idx="2">
                  <c:v>43298.039999999994</c:v>
                </c:pt>
                <c:pt idx="3">
                  <c:v>41695.880000000005</c:v>
                </c:pt>
                <c:pt idx="4">
                  <c:v>9200.06</c:v>
                </c:pt>
                <c:pt idx="5">
                  <c:v>42372.009999999995</c:v>
                </c:pt>
                <c:pt idx="6">
                  <c:v>11241.05</c:v>
                </c:pt>
                <c:pt idx="7">
                  <c:v>29549.109999999993</c:v>
                </c:pt>
              </c:numCache>
            </c:numRef>
          </c:val>
          <c:extLst>
            <c:ext xmlns:c16="http://schemas.microsoft.com/office/drawing/2014/chart" uri="{C3380CC4-5D6E-409C-BE32-E72D297353CC}">
              <c16:uniqueId val="{00000000-D7A8-44B9-8033-73905FFE2A19}"/>
            </c:ext>
          </c:extLst>
        </c:ser>
        <c:dLbls>
          <c:dLblPos val="ctr"/>
          <c:showLegendKey val="0"/>
          <c:showVal val="1"/>
          <c:showCatName val="0"/>
          <c:showSerName val="0"/>
          <c:showPercent val="0"/>
          <c:showBubbleSize val="0"/>
        </c:dLbls>
        <c:gapWidth val="150"/>
        <c:overlap val="100"/>
        <c:axId val="1701217007"/>
        <c:axId val="1701212847"/>
      </c:barChart>
      <c:catAx>
        <c:axId val="17012170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01212847"/>
        <c:crosses val="autoZero"/>
        <c:auto val="1"/>
        <c:lblAlgn val="ctr"/>
        <c:lblOffset val="100"/>
        <c:noMultiLvlLbl val="0"/>
      </c:catAx>
      <c:valAx>
        <c:axId val="1701212847"/>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01217007"/>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Data.xlsx]PivotTables!PivotTable10</c:name>
    <c:fmtId val="3"/>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i="0"/>
              <a:t>Customer Registrations by Month</a:t>
            </a:r>
          </a:p>
        </c:rich>
      </c:tx>
      <c:layout/>
      <c:overlay val="0"/>
      <c:spPr>
        <a:noFill/>
        <a:ln>
          <a:noFill/>
          <a:prstDash val="solid"/>
        </a:ln>
      </c:spPr>
    </c:title>
    <c:autoTitleDeleted val="0"/>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PivotTables!$W$37</c:f>
              <c:strCache>
                <c:ptCount val="1"/>
                <c:pt idx="0">
                  <c:v>Total</c:v>
                </c:pt>
              </c:strCache>
            </c:strRef>
          </c:tx>
          <c:spPr>
            <a:solidFill>
              <a:schemeClr val="accent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PivotTables!$V$38:$V$51</c:f>
              <c:strCache>
                <c:ptCount val="13"/>
                <c:pt idx="0">
                  <c:v>1</c:v>
                </c:pt>
                <c:pt idx="1">
                  <c:v>2</c:v>
                </c:pt>
                <c:pt idx="2">
                  <c:v>3</c:v>
                </c:pt>
                <c:pt idx="3">
                  <c:v>4</c:v>
                </c:pt>
                <c:pt idx="4">
                  <c:v>5</c:v>
                </c:pt>
                <c:pt idx="5">
                  <c:v>6</c:v>
                </c:pt>
                <c:pt idx="6">
                  <c:v>7</c:v>
                </c:pt>
                <c:pt idx="7">
                  <c:v>8</c:v>
                </c:pt>
                <c:pt idx="8">
                  <c:v>9</c:v>
                </c:pt>
                <c:pt idx="9">
                  <c:v>10</c:v>
                </c:pt>
                <c:pt idx="10">
                  <c:v>11</c:v>
                </c:pt>
                <c:pt idx="11">
                  <c:v>12</c:v>
                </c:pt>
              </c:strCache>
            </c:strRef>
          </c:cat>
          <c:val>
            <c:numRef>
              <c:f>PivotTables!$W$38:$W$51</c:f>
              <c:numCache>
                <c:formatCode>General</c:formatCode>
                <c:ptCount val="13"/>
                <c:pt idx="0">
                  <c:v>28</c:v>
                </c:pt>
                <c:pt idx="1">
                  <c:v>26</c:v>
                </c:pt>
                <c:pt idx="2">
                  <c:v>27</c:v>
                </c:pt>
                <c:pt idx="3">
                  <c:v>29</c:v>
                </c:pt>
                <c:pt idx="4">
                  <c:v>32</c:v>
                </c:pt>
                <c:pt idx="5">
                  <c:v>21</c:v>
                </c:pt>
                <c:pt idx="6">
                  <c:v>21</c:v>
                </c:pt>
                <c:pt idx="7">
                  <c:v>25</c:v>
                </c:pt>
                <c:pt idx="8">
                  <c:v>9</c:v>
                </c:pt>
                <c:pt idx="9">
                  <c:v>15</c:v>
                </c:pt>
                <c:pt idx="10">
                  <c:v>12</c:v>
                </c:pt>
                <c:pt idx="11">
                  <c:v>16</c:v>
                </c:pt>
                <c:pt idx="12">
                  <c:v>18</c:v>
                </c:pt>
              </c:numCache>
            </c:numRef>
          </c:val>
          <c:extLst>
            <c:ext xmlns:c16="http://schemas.microsoft.com/office/drawing/2014/chart" uri="{C3380CC4-5D6E-409C-BE32-E72D297353CC}">
              <c16:uniqueId val="{00000000-509D-4600-9AEC-990819706D0D}"/>
            </c:ext>
          </c:extLst>
        </c:ser>
        <c:dLbls>
          <c:dLblPos val="outEnd"/>
          <c:showLegendKey val="0"/>
          <c:showVal val="1"/>
          <c:showCatName val="0"/>
          <c:showSerName val="0"/>
          <c:showPercent val="0"/>
          <c:showBubbleSize val="0"/>
        </c:dLbls>
        <c:gapWidth val="219"/>
        <c:overlap val="-27"/>
        <c:axId val="340035024"/>
        <c:axId val="340034608"/>
      </c:barChart>
      <c:catAx>
        <c:axId val="340035024"/>
        <c:scaling>
          <c:orientation val="minMax"/>
        </c:scaling>
        <c:delete val="0"/>
        <c:axPos val="b"/>
        <c:numFmt formatCode="General" sourceLinked="1"/>
        <c:majorTickMark val="out"/>
        <c:minorTickMark val="none"/>
        <c:tickLblPos val="nextTo"/>
        <c:crossAx val="340034608"/>
        <c:crosses val="autoZero"/>
        <c:auto val="1"/>
        <c:lblAlgn val="ctr"/>
        <c:lblOffset val="100"/>
        <c:noMultiLvlLbl val="0"/>
      </c:catAx>
      <c:valAx>
        <c:axId val="340034608"/>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out"/>
        <c:minorTickMark val="none"/>
        <c:tickLblPos val="nextTo"/>
        <c:crossAx val="34003502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Data.xlsx]PivotTables!PivotTable1</c:name>
    <c:fmtId val="4"/>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Sum of Income</a:t>
            </a:r>
            <a:r>
              <a:rPr lang="en-US" sz="1400" b="0" i="0" strike="noStrike" baseline="0"/>
              <a:t> by Gender</a:t>
            </a:r>
            <a:endParaRPr lang="en-US"/>
          </a:p>
        </c:rich>
      </c:tx>
      <c:layout/>
      <c:overlay val="0"/>
      <c:spPr>
        <a:noFill/>
        <a:ln>
          <a:noFill/>
          <a:prstDash val="solid"/>
        </a:ln>
      </c:spPr>
    </c:title>
    <c:autoTitleDeleted val="0"/>
    <c:pivotFmts>
      <c:pivotFmt>
        <c:idx val="0"/>
        <c:spPr>
          <a:ln>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prstDash val="solid"/>
          </a:ln>
        </c:spPr>
      </c:pivotFmt>
      <c:pivotFmt>
        <c:idx val="2"/>
        <c:spPr>
          <a:solidFill>
            <a:schemeClr val="accent2"/>
          </a:solidFill>
          <a:ln w="19050">
            <a:solidFill>
              <a:schemeClr val="lt1"/>
            </a:solidFill>
            <a:prstDash val="solid"/>
          </a:ln>
        </c:spPr>
      </c:pivotFmt>
      <c:pivotFmt>
        <c:idx val="3"/>
        <c:spPr>
          <a:solidFill>
            <a:schemeClr val="accent3"/>
          </a:solidFill>
          <a:ln w="19050">
            <a:solidFill>
              <a:schemeClr val="lt1"/>
            </a:solidFill>
            <a:prstDash val="solid"/>
          </a:ln>
        </c:spPr>
      </c:pivotFmt>
      <c:pivotFmt>
        <c:idx val="4"/>
        <c:spPr>
          <a:ln>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prstDash val="solid"/>
          </a:ln>
        </c:spPr>
      </c:pivotFmt>
      <c:pivotFmt>
        <c:idx val="6"/>
        <c:spPr>
          <a:solidFill>
            <a:schemeClr val="accent2"/>
          </a:solidFill>
          <a:ln w="19050">
            <a:solidFill>
              <a:schemeClr val="lt1"/>
            </a:solidFill>
            <a:prstDash val="solid"/>
          </a:ln>
        </c:spPr>
      </c:pivotFmt>
      <c:pivotFmt>
        <c:idx val="7"/>
        <c:spPr>
          <a:solidFill>
            <a:schemeClr val="accent3"/>
          </a:solidFill>
          <a:ln w="19050">
            <a:solidFill>
              <a:schemeClr val="lt1"/>
            </a:solidFill>
            <a:prstDash val="solid"/>
          </a:ln>
        </c:spPr>
      </c:pivotFmt>
      <c:pivotFmt>
        <c:idx val="8"/>
        <c:spPr>
          <a:ln>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9"/>
        <c:spPr>
          <a:solidFill>
            <a:schemeClr val="accent1"/>
          </a:solidFill>
          <a:ln w="19050">
            <a:solidFill>
              <a:schemeClr val="lt1"/>
            </a:solidFill>
            <a:prstDash val="solid"/>
          </a:ln>
        </c:spPr>
      </c:pivotFmt>
      <c:pivotFmt>
        <c:idx val="10"/>
        <c:spPr>
          <a:solidFill>
            <a:schemeClr val="accent2"/>
          </a:solidFill>
          <a:ln w="19050">
            <a:solidFill>
              <a:schemeClr val="lt1"/>
            </a:solidFill>
            <a:prstDash val="solid"/>
          </a:ln>
        </c:spPr>
      </c:pivotFmt>
      <c:pivotFmt>
        <c:idx val="11"/>
        <c:spPr>
          <a:solidFill>
            <a:schemeClr val="accent3"/>
          </a:solidFill>
          <a:ln w="19050">
            <a:solidFill>
              <a:schemeClr val="lt1"/>
            </a:solidFill>
            <a:prstDash val="solid"/>
          </a:ln>
        </c:spPr>
      </c:pivotFmt>
    </c:pivotFmts>
    <c:plotArea>
      <c:layout/>
      <c:pieChart>
        <c:varyColors val="1"/>
        <c:ser>
          <c:idx val="0"/>
          <c:order val="0"/>
          <c:tx>
            <c:strRef>
              <c:f>PivotTables!$W$16</c:f>
              <c:strCache>
                <c:ptCount val="1"/>
                <c:pt idx="0">
                  <c:v>Total</c:v>
                </c:pt>
              </c:strCache>
            </c:strRef>
          </c:tx>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F514-4730-9C9C-43A4BB725B2A}"/>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F514-4730-9C9C-43A4BB725B2A}"/>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F514-4730-9C9C-43A4BB725B2A}"/>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15:layout/>
              </c:ext>
            </c:extLst>
          </c:dLbls>
          <c:cat>
            <c:strRef>
              <c:f>PivotTables!$V$17:$V$20</c:f>
              <c:strCache>
                <c:ptCount val="3"/>
                <c:pt idx="0">
                  <c:v>Female</c:v>
                </c:pt>
                <c:pt idx="1">
                  <c:v>Male</c:v>
                </c:pt>
                <c:pt idx="2">
                  <c:v>Missing</c:v>
                </c:pt>
              </c:strCache>
            </c:strRef>
          </c:cat>
          <c:val>
            <c:numRef>
              <c:f>PivotTables!$W$17:$W$20</c:f>
              <c:numCache>
                <c:formatCode>General</c:formatCode>
                <c:ptCount val="3"/>
                <c:pt idx="0">
                  <c:v>125509.16000000002</c:v>
                </c:pt>
                <c:pt idx="1">
                  <c:v>120191.5</c:v>
                </c:pt>
                <c:pt idx="2">
                  <c:v>24992.530000000006</c:v>
                </c:pt>
              </c:numCache>
            </c:numRef>
          </c:val>
          <c:extLst>
            <c:ext xmlns:c16="http://schemas.microsoft.com/office/drawing/2014/chart" uri="{C3380CC4-5D6E-409C-BE32-E72D297353CC}">
              <c16:uniqueId val="{00000006-F514-4730-9C9C-43A4BB725B2A}"/>
            </c:ext>
          </c:extLst>
        </c:ser>
        <c:dLbls>
          <c:dLblPos val="bestFit"/>
          <c:showLegendKey val="0"/>
          <c:showVal val="1"/>
          <c:showCatName val="0"/>
          <c:showSerName val="0"/>
          <c:showPercent val="0"/>
          <c:showBubbleSize val="0"/>
          <c:showLeaderLines val="1"/>
        </c:dLbls>
        <c:firstSliceAng val="0"/>
      </c:pieChart>
    </c:plotArea>
    <c:legend>
      <c:legendPos val="r"/>
      <c:layout/>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Data.xlsx]PivotTables!PivotTable6</c:name>
    <c:fmtId val="3"/>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Yearly Total Income</a:t>
            </a:r>
            <a:endParaRPr lang="en-US"/>
          </a:p>
        </c:rich>
      </c:tx>
      <c:layout/>
      <c:overlay val="0"/>
      <c:spPr>
        <a:noFill/>
        <a:ln>
          <a:noFill/>
          <a:prstDash val="solid"/>
        </a:ln>
      </c:spPr>
    </c:title>
    <c:autoTitleDeleted val="0"/>
    <c:pivotFmts>
      <c:pivotFmt>
        <c:idx val="0"/>
        <c:spPr>
          <a:ln>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prstDash val="solid"/>
          </a:ln>
        </c:spPr>
      </c:pivotFmt>
      <c:pivotFmt>
        <c:idx val="2"/>
        <c:spPr>
          <a:solidFill>
            <a:schemeClr val="accent2"/>
          </a:solidFill>
          <a:ln w="19050">
            <a:solidFill>
              <a:schemeClr val="lt1"/>
            </a:solidFill>
            <a:prstDash val="solid"/>
          </a:ln>
        </c:spPr>
      </c:pivotFmt>
      <c:pivotFmt>
        <c:idx val="3"/>
        <c:spPr>
          <a:solidFill>
            <a:schemeClr val="accent3"/>
          </a:solidFill>
          <a:ln w="19050">
            <a:solidFill>
              <a:schemeClr val="lt1"/>
            </a:solidFill>
            <a:prstDash val="solid"/>
          </a:ln>
        </c:spPr>
      </c:pivotFmt>
      <c:pivotFmt>
        <c:idx val="4"/>
        <c:spPr>
          <a:ln>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prstDash val="solid"/>
          </a:ln>
        </c:spPr>
      </c:pivotFmt>
      <c:pivotFmt>
        <c:idx val="6"/>
        <c:spPr>
          <a:solidFill>
            <a:schemeClr val="accent2"/>
          </a:solidFill>
          <a:ln w="19050">
            <a:solidFill>
              <a:schemeClr val="lt1"/>
            </a:solidFill>
            <a:prstDash val="solid"/>
          </a:ln>
        </c:spPr>
      </c:pivotFmt>
      <c:pivotFmt>
        <c:idx val="7"/>
        <c:spPr>
          <a:solidFill>
            <a:schemeClr val="accent3"/>
          </a:solidFill>
          <a:ln w="19050">
            <a:solidFill>
              <a:schemeClr val="lt1"/>
            </a:solidFill>
            <a:prstDash val="solid"/>
          </a:ln>
        </c:spPr>
      </c:pivotFmt>
      <c:pivotFmt>
        <c:idx val="8"/>
        <c:spPr>
          <a:ln>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prstDash val="solid"/>
          </a:ln>
        </c:spPr>
      </c:pivotFmt>
      <c:pivotFmt>
        <c:idx val="10"/>
        <c:spPr>
          <a:solidFill>
            <a:schemeClr val="accent2"/>
          </a:solidFill>
          <a:ln w="19050">
            <a:solidFill>
              <a:schemeClr val="lt1"/>
            </a:solidFill>
            <a:prstDash val="solid"/>
          </a:ln>
        </c:spPr>
      </c:pivotFmt>
      <c:pivotFmt>
        <c:idx val="11"/>
        <c:spPr>
          <a:solidFill>
            <a:schemeClr val="accent3"/>
          </a:solidFill>
          <a:ln w="19050">
            <a:solidFill>
              <a:schemeClr val="lt1"/>
            </a:solidFill>
            <a:prstDash val="solid"/>
          </a:ln>
        </c:spPr>
      </c:pivotFmt>
      <c:pivotFmt>
        <c:idx val="12"/>
        <c:marker>
          <c:symbol val="none"/>
        </c:marker>
        <c:dLbl>
          <c:idx val="0"/>
          <c:layout/>
          <c:spPr>
            <a:noFill/>
            <a:ln>
              <a:noFill/>
            </a:ln>
            <a:effectLst/>
          </c:spPr>
          <c:txPr>
            <a:bodyPr wrap="square" lIns="38100" tIns="19050" rIns="38100" bIns="19050" anchor="ctr">
              <a:spAutoFit/>
            </a:bodyPr>
            <a:lstStyle/>
            <a:p>
              <a:pPr>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pieChart>
        <c:varyColors val="1"/>
        <c:ser>
          <c:idx val="0"/>
          <c:order val="0"/>
          <c:tx>
            <c:strRef>
              <c:f>PivotTables!$B$58</c:f>
              <c:strCache>
                <c:ptCount val="1"/>
                <c:pt idx="0">
                  <c:v>Total</c:v>
                </c:pt>
              </c:strCache>
            </c:strRef>
          </c:tx>
          <c:dPt>
            <c:idx val="0"/>
            <c:bubble3D val="0"/>
            <c:extLst>
              <c:ext xmlns:c16="http://schemas.microsoft.com/office/drawing/2014/chart" uri="{C3380CC4-5D6E-409C-BE32-E72D297353CC}">
                <c16:uniqueId val="{00000001-7BBC-4C8D-AAF1-EA6B3FF92CB1}"/>
              </c:ext>
            </c:extLst>
          </c:dPt>
          <c:dPt>
            <c:idx val="1"/>
            <c:bubble3D val="0"/>
            <c:extLst>
              <c:ext xmlns:c16="http://schemas.microsoft.com/office/drawing/2014/chart" uri="{C3380CC4-5D6E-409C-BE32-E72D297353CC}">
                <c16:uniqueId val="{00000003-7BBC-4C8D-AAF1-EA6B3FF92CB1}"/>
              </c:ext>
            </c:extLst>
          </c:dPt>
          <c:dPt>
            <c:idx val="2"/>
            <c:bubble3D val="0"/>
            <c:extLst>
              <c:ext xmlns:c16="http://schemas.microsoft.com/office/drawing/2014/chart" uri="{C3380CC4-5D6E-409C-BE32-E72D297353CC}">
                <c16:uniqueId val="{00000005-7BBC-4C8D-AAF1-EA6B3FF92CB1}"/>
              </c:ext>
            </c:extLst>
          </c:dPt>
          <c:dLbls>
            <c:spPr>
              <a:noFill/>
              <a:ln>
                <a:noFill/>
              </a:ln>
              <a:effectLst/>
            </c:spPr>
            <c:txPr>
              <a:bodyPr wrap="square" lIns="38100" tIns="19050" rIns="38100" bIns="19050" anchor="ctr">
                <a:spAutoFit/>
              </a:bodyPr>
              <a:lstStyle/>
              <a:p>
                <a:pPr>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15:layout/>
              </c:ext>
            </c:extLst>
          </c:dLbls>
          <c:cat>
            <c:strRef>
              <c:f>PivotTables!$A$59:$A$62</c:f>
              <c:strCache>
                <c:ptCount val="3"/>
                <c:pt idx="0">
                  <c:v>2025</c:v>
                </c:pt>
                <c:pt idx="1">
                  <c:v>2026</c:v>
                </c:pt>
              </c:strCache>
            </c:strRef>
          </c:cat>
          <c:val>
            <c:numRef>
              <c:f>PivotTables!$B$59:$B$62</c:f>
              <c:numCache>
                <c:formatCode>General</c:formatCode>
                <c:ptCount val="3"/>
                <c:pt idx="0">
                  <c:v>183206.52999999997</c:v>
                </c:pt>
                <c:pt idx="1">
                  <c:v>70430.230000000025</c:v>
                </c:pt>
                <c:pt idx="2">
                  <c:v>17056.43</c:v>
                </c:pt>
              </c:numCache>
            </c:numRef>
          </c:val>
          <c:extLst>
            <c:ext xmlns:c16="http://schemas.microsoft.com/office/drawing/2014/chart" uri="{C3380CC4-5D6E-409C-BE32-E72D297353CC}">
              <c16:uniqueId val="{00000006-7BBC-4C8D-AAF1-EA6B3FF92CB1}"/>
            </c:ext>
          </c:extLst>
        </c:ser>
        <c:dLbls>
          <c:dLblPos val="bestFit"/>
          <c:showLegendKey val="0"/>
          <c:showVal val="1"/>
          <c:showCatName val="0"/>
          <c:showSerName val="0"/>
          <c:showPercent val="0"/>
          <c:showBubbleSize val="0"/>
          <c:showLeaderLines val="1"/>
        </c:dLbls>
        <c:firstSliceAng val="0"/>
      </c:pieChart>
    </c:plotArea>
    <c:legend>
      <c:legendPos val="r"/>
      <c:layout/>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Data.xlsx]PivotTables!PivotTable3</c:name>
    <c:fmtId val="5"/>
  </c:pivotSource>
  <c:chart>
    <c:title>
      <c:tx>
        <c:rich>
          <a:bodyPr rot="0" spcFirstLastPara="1" vertOverflow="ellipsis" vert="horz" wrap="square" anchor="ctr" anchorCtr="1"/>
          <a:lstStyle/>
          <a:p>
            <a:pPr marL="0" marR="0" indent="0" algn="ctr" defTabSz="914400" rtl="0" eaLnBrk="1" fontAlgn="auto" latinLnBrk="0" hangingPunct="1">
              <a:defRPr sz="1400" b="0" i="0" strike="noStrike" kern="1200" spc="0" baseline="0">
                <a:solidFill>
                  <a:sysClr val="windowText" lastClr="000000">
                    <a:lumOff val="35000"/>
                    <a:lumMod val="65000"/>
                  </a:sysClr>
                </a:solidFill>
                <a:latin typeface="+mn-lt"/>
                <a:ea typeface="+mn-ea"/>
                <a:cs typeface="+mn-cs"/>
              </a:defRPr>
            </a:pPr>
            <a:r>
              <a:rPr lang="en-US" b="1" i="0"/>
              <a:t> Gender × City (Rows + Columns)</a:t>
            </a:r>
          </a:p>
        </c:rich>
      </c:tx>
      <c:layout/>
      <c:overlay val="0"/>
      <c:spPr>
        <a:noFill/>
        <a:ln>
          <a:noFill/>
          <a:prstDash val="solid"/>
        </a:ln>
      </c:spPr>
    </c:title>
    <c:autoTitleDeleted val="0"/>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3"/>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0"/>
        <c:spPr>
          <a:solidFill>
            <a:schemeClr val="accent2"/>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1"/>
        <c:spPr>
          <a:solidFill>
            <a:schemeClr val="accent3"/>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PivotTables!$N$17:$N$18</c:f>
              <c:strCache>
                <c:ptCount val="1"/>
                <c:pt idx="0">
                  <c:v>Female</c:v>
                </c:pt>
              </c:strCache>
            </c:strRef>
          </c:tx>
          <c:spPr>
            <a:solidFill>
              <a:schemeClr val="accent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PivotTables!$M$19:$M$26</c:f>
              <c:strCache>
                <c:ptCount val="7"/>
                <c:pt idx="0">
                  <c:v>Baidoa</c:v>
                </c:pt>
                <c:pt idx="1">
                  <c:v>Bosaso</c:v>
                </c:pt>
                <c:pt idx="2">
                  <c:v>Garowe</c:v>
                </c:pt>
                <c:pt idx="3">
                  <c:v>Hargeisa</c:v>
                </c:pt>
                <c:pt idx="4">
                  <c:v>Kismayo</c:v>
                </c:pt>
                <c:pt idx="5">
                  <c:v>Missing</c:v>
                </c:pt>
                <c:pt idx="6">
                  <c:v>Mogadishu</c:v>
                </c:pt>
              </c:strCache>
            </c:strRef>
          </c:cat>
          <c:val>
            <c:numRef>
              <c:f>PivotTables!$N$19:$N$26</c:f>
              <c:numCache>
                <c:formatCode>General</c:formatCode>
                <c:ptCount val="7"/>
                <c:pt idx="0">
                  <c:v>12</c:v>
                </c:pt>
                <c:pt idx="1">
                  <c:v>16</c:v>
                </c:pt>
                <c:pt idx="2">
                  <c:v>10</c:v>
                </c:pt>
                <c:pt idx="3">
                  <c:v>23</c:v>
                </c:pt>
                <c:pt idx="4">
                  <c:v>14</c:v>
                </c:pt>
                <c:pt idx="5">
                  <c:v>10</c:v>
                </c:pt>
                <c:pt idx="6">
                  <c:v>53</c:v>
                </c:pt>
              </c:numCache>
            </c:numRef>
          </c:val>
          <c:extLst>
            <c:ext xmlns:c16="http://schemas.microsoft.com/office/drawing/2014/chart" uri="{C3380CC4-5D6E-409C-BE32-E72D297353CC}">
              <c16:uniqueId val="{00000000-7222-4208-BB90-81C3D10FCCAB}"/>
            </c:ext>
          </c:extLst>
        </c:ser>
        <c:ser>
          <c:idx val="1"/>
          <c:order val="1"/>
          <c:tx>
            <c:strRef>
              <c:f>PivotTables!$O$17:$O$18</c:f>
              <c:strCache>
                <c:ptCount val="1"/>
                <c:pt idx="0">
                  <c:v>Male</c:v>
                </c:pt>
              </c:strCache>
            </c:strRef>
          </c:tx>
          <c:spPr>
            <a:solidFill>
              <a:schemeClr val="accent2"/>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PivotTables!$M$19:$M$26</c:f>
              <c:strCache>
                <c:ptCount val="7"/>
                <c:pt idx="0">
                  <c:v>Baidoa</c:v>
                </c:pt>
                <c:pt idx="1">
                  <c:v>Bosaso</c:v>
                </c:pt>
                <c:pt idx="2">
                  <c:v>Garowe</c:v>
                </c:pt>
                <c:pt idx="3">
                  <c:v>Hargeisa</c:v>
                </c:pt>
                <c:pt idx="4">
                  <c:v>Kismayo</c:v>
                </c:pt>
                <c:pt idx="5">
                  <c:v>Missing</c:v>
                </c:pt>
                <c:pt idx="6">
                  <c:v>Mogadishu</c:v>
                </c:pt>
              </c:strCache>
            </c:strRef>
          </c:cat>
          <c:val>
            <c:numRef>
              <c:f>PivotTables!$O$19:$O$26</c:f>
              <c:numCache>
                <c:formatCode>General</c:formatCode>
                <c:ptCount val="7"/>
                <c:pt idx="0">
                  <c:v>9</c:v>
                </c:pt>
                <c:pt idx="1">
                  <c:v>16</c:v>
                </c:pt>
                <c:pt idx="2">
                  <c:v>10</c:v>
                </c:pt>
                <c:pt idx="3">
                  <c:v>19</c:v>
                </c:pt>
                <c:pt idx="4">
                  <c:v>19</c:v>
                </c:pt>
                <c:pt idx="5">
                  <c:v>6</c:v>
                </c:pt>
                <c:pt idx="6">
                  <c:v>45</c:v>
                </c:pt>
              </c:numCache>
            </c:numRef>
          </c:val>
          <c:extLst>
            <c:ext xmlns:c16="http://schemas.microsoft.com/office/drawing/2014/chart" uri="{C3380CC4-5D6E-409C-BE32-E72D297353CC}">
              <c16:uniqueId val="{00000001-ADB3-4CE8-899C-C7372A8CEF9E}"/>
            </c:ext>
          </c:extLst>
        </c:ser>
        <c:ser>
          <c:idx val="2"/>
          <c:order val="2"/>
          <c:tx>
            <c:strRef>
              <c:f>PivotTables!$P$17:$P$18</c:f>
              <c:strCache>
                <c:ptCount val="1"/>
                <c:pt idx="0">
                  <c:v>Missing</c:v>
                </c:pt>
              </c:strCache>
            </c:strRef>
          </c:tx>
          <c:spPr>
            <a:solidFill>
              <a:schemeClr val="accent3"/>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PivotTables!$M$19:$M$26</c:f>
              <c:strCache>
                <c:ptCount val="7"/>
                <c:pt idx="0">
                  <c:v>Baidoa</c:v>
                </c:pt>
                <c:pt idx="1">
                  <c:v>Bosaso</c:v>
                </c:pt>
                <c:pt idx="2">
                  <c:v>Garowe</c:v>
                </c:pt>
                <c:pt idx="3">
                  <c:v>Hargeisa</c:v>
                </c:pt>
                <c:pt idx="4">
                  <c:v>Kismayo</c:v>
                </c:pt>
                <c:pt idx="5">
                  <c:v>Missing</c:v>
                </c:pt>
                <c:pt idx="6">
                  <c:v>Mogadishu</c:v>
                </c:pt>
              </c:strCache>
            </c:strRef>
          </c:cat>
          <c:val>
            <c:numRef>
              <c:f>PivotTables!$P$19:$P$26</c:f>
              <c:numCache>
                <c:formatCode>General</c:formatCode>
                <c:ptCount val="7"/>
                <c:pt idx="0">
                  <c:v>3</c:v>
                </c:pt>
                <c:pt idx="1">
                  <c:v>3</c:v>
                </c:pt>
                <c:pt idx="2">
                  <c:v>1</c:v>
                </c:pt>
                <c:pt idx="3">
                  <c:v>1</c:v>
                </c:pt>
                <c:pt idx="4">
                  <c:v>2</c:v>
                </c:pt>
                <c:pt idx="6">
                  <c:v>7</c:v>
                </c:pt>
              </c:numCache>
            </c:numRef>
          </c:val>
          <c:extLst>
            <c:ext xmlns:c16="http://schemas.microsoft.com/office/drawing/2014/chart" uri="{C3380CC4-5D6E-409C-BE32-E72D297353CC}">
              <c16:uniqueId val="{00000004-ADB3-4CE8-899C-C7372A8CEF9E}"/>
            </c:ext>
          </c:extLst>
        </c:ser>
        <c:dLbls>
          <c:dLblPos val="outEnd"/>
          <c:showLegendKey val="0"/>
          <c:showVal val="1"/>
          <c:showCatName val="0"/>
          <c:showSerName val="0"/>
          <c:showPercent val="0"/>
          <c:showBubbleSize val="0"/>
        </c:dLbls>
        <c:gapWidth val="219"/>
        <c:overlap val="-27"/>
        <c:axId val="1906634287"/>
        <c:axId val="1906618895"/>
      </c:barChart>
      <c:catAx>
        <c:axId val="1906634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906618895"/>
        <c:crosses val="autoZero"/>
        <c:auto val="1"/>
        <c:lblAlgn val="ctr"/>
        <c:lblOffset val="100"/>
        <c:noMultiLvlLbl val="0"/>
      </c:catAx>
      <c:valAx>
        <c:axId val="1906618895"/>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906634287"/>
        <c:crosses val="autoZero"/>
        <c:crossBetween val="between"/>
      </c:valAx>
    </c:plotArea>
    <c:legend>
      <c:legendPos val="r"/>
      <c:layout/>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800" b="1">
                <a:effectLst/>
              </a:rPr>
              <a:t/>
            </a:r>
            <a:br>
              <a:rPr lang="en-US" sz="2800" b="1">
                <a:effectLst/>
              </a:rPr>
            </a:br>
            <a:r>
              <a:rPr lang="en-US" sz="2800" b="1">
                <a:effectLst/>
              </a:rPr>
              <a:t>Customers by Occupation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PivotTables!$B$91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PivotTables!$A$92:$A$100</c:f>
              <c:strCache>
                <c:ptCount val="8"/>
                <c:pt idx="0">
                  <c:v>Business Owner</c:v>
                </c:pt>
                <c:pt idx="1">
                  <c:v>Civil Servant</c:v>
                </c:pt>
                <c:pt idx="2">
                  <c:v>Engineer</c:v>
                </c:pt>
                <c:pt idx="3">
                  <c:v>Healthcare</c:v>
                </c:pt>
                <c:pt idx="4">
                  <c:v>Missing</c:v>
                </c:pt>
                <c:pt idx="5">
                  <c:v>Self-Employed</c:v>
                </c:pt>
                <c:pt idx="6">
                  <c:v>Student</c:v>
                </c:pt>
                <c:pt idx="7">
                  <c:v>Teacher</c:v>
                </c:pt>
              </c:strCache>
            </c:strRef>
          </c:cat>
          <c:val>
            <c:numRef>
              <c:f>PivotTables!$B$92:$B$100</c:f>
              <c:numCache>
                <c:formatCode>General</c:formatCode>
                <c:ptCount val="8"/>
                <c:pt idx="0">
                  <c:v>46</c:v>
                </c:pt>
                <c:pt idx="1">
                  <c:v>37</c:v>
                </c:pt>
                <c:pt idx="2">
                  <c:v>42</c:v>
                </c:pt>
                <c:pt idx="3">
                  <c:v>28</c:v>
                </c:pt>
                <c:pt idx="4">
                  <c:v>15</c:v>
                </c:pt>
                <c:pt idx="5">
                  <c:v>37</c:v>
                </c:pt>
                <c:pt idx="6">
                  <c:v>34</c:v>
                </c:pt>
                <c:pt idx="7">
                  <c:v>40</c:v>
                </c:pt>
              </c:numCache>
            </c:numRef>
          </c:val>
          <c:extLst>
            <c:ext xmlns:c16="http://schemas.microsoft.com/office/drawing/2014/chart" uri="{C3380CC4-5D6E-409C-BE32-E72D297353CC}">
              <c16:uniqueId val="{00000000-75D7-45E2-BC31-C9F8E2E1A46E}"/>
            </c:ext>
          </c:extLst>
        </c:ser>
        <c:dLbls>
          <c:dLblPos val="outEnd"/>
          <c:showLegendKey val="0"/>
          <c:showVal val="1"/>
          <c:showCatName val="0"/>
          <c:showSerName val="0"/>
          <c:showPercent val="0"/>
          <c:showBubbleSize val="0"/>
        </c:dLbls>
        <c:gapWidth val="219"/>
        <c:overlap val="-27"/>
        <c:axId val="2094484016"/>
        <c:axId val="105019312"/>
      </c:barChart>
      <c:catAx>
        <c:axId val="2094484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019312"/>
        <c:crosses val="autoZero"/>
        <c:auto val="1"/>
        <c:lblAlgn val="ctr"/>
        <c:lblOffset val="100"/>
        <c:noMultiLvlLbl val="0"/>
      </c:catAx>
      <c:valAx>
        <c:axId val="105019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4484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Data.xlsx]PivotTables!PivotTable8</c:name>
    <c:fmtId val="3"/>
  </c:pivotSource>
  <c:chart>
    <c:title>
      <c:tx>
        <c:rich>
          <a:bodyPr rot="0" spcFirstLastPara="1" vertOverflow="ellipsis" vert="horz" wrap="square" anchor="ctr" anchorCtr="1"/>
          <a:lstStyle/>
          <a:p>
            <a:pPr marL="0" marR="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800" b="1">
                <a:effectLst/>
              </a:rPr>
              <a:t/>
            </a:r>
            <a:br>
              <a:rPr lang="en-US" sz="1800" b="1">
                <a:effectLst/>
              </a:rPr>
            </a:br>
            <a:r>
              <a:rPr lang="en-US" sz="1800" b="1">
                <a:effectLst/>
              </a:rPr>
              <a:t>Income Level Distribution</a:t>
            </a:r>
          </a:p>
          <a:p>
            <a:pPr marL="0" marR="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layout>
        <c:manualLayout>
          <c:xMode val="edge"/>
          <c:yMode val="edge"/>
          <c:x val="0.32444790176109578"/>
          <c:y val="7.3822564544346617E-2"/>
        </c:manualLayout>
      </c:layout>
      <c:overlay val="0"/>
      <c:spPr>
        <a:noFill/>
        <a:ln>
          <a:noFill/>
        </a:ln>
        <a:effectLst/>
      </c:spPr>
      <c:txPr>
        <a:bodyPr rot="0" spcFirstLastPara="1" vertOverflow="ellipsis" vert="horz" wrap="square" anchor="ctr" anchorCtr="1"/>
        <a:lstStyle/>
        <a:p>
          <a:pPr marL="0" marR="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manualLayout>
          <c:layoutTarget val="inner"/>
          <c:xMode val="edge"/>
          <c:yMode val="edge"/>
          <c:x val="0.22521533425240703"/>
          <c:y val="0.32585713971968477"/>
          <c:w val="0.31630066601652257"/>
          <c:h val="0.58954960681190149"/>
        </c:manualLayout>
      </c:layout>
      <c:pieChart>
        <c:varyColors val="1"/>
        <c:ser>
          <c:idx val="0"/>
          <c:order val="0"/>
          <c:tx>
            <c:strRef>
              <c:f>PivotTables!$M$91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BFC-43C9-80BE-178BACA5569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BFC-43C9-80BE-178BACA5569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BFC-43C9-80BE-178BACA5569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PivotTables!$L$92:$L$95</c:f>
              <c:strCache>
                <c:ptCount val="3"/>
                <c:pt idx="0">
                  <c:v>High</c:v>
                </c:pt>
                <c:pt idx="1">
                  <c:v>Low</c:v>
                </c:pt>
                <c:pt idx="2">
                  <c:v>Medium</c:v>
                </c:pt>
              </c:strCache>
            </c:strRef>
          </c:cat>
          <c:val>
            <c:numRef>
              <c:f>PivotTables!$M$92:$M$95</c:f>
              <c:numCache>
                <c:formatCode>General</c:formatCode>
                <c:ptCount val="3"/>
                <c:pt idx="0">
                  <c:v>20</c:v>
                </c:pt>
                <c:pt idx="1">
                  <c:v>128</c:v>
                </c:pt>
                <c:pt idx="2">
                  <c:v>131</c:v>
                </c:pt>
              </c:numCache>
            </c:numRef>
          </c:val>
          <c:extLst>
            <c:ext xmlns:c16="http://schemas.microsoft.com/office/drawing/2014/chart" uri="{C3380CC4-5D6E-409C-BE32-E72D297353CC}">
              <c16:uniqueId val="{00000006-BBFC-43C9-80BE-178BACA55690}"/>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400" b="1" i="0" u="none" strike="noStrike" baseline="0">
                <a:effectLst/>
              </a:rPr>
              <a:t>Total Income by Registration Month</a:t>
            </a:r>
            <a:endParaRPr lang="en-US" sz="2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PivotTables!$V$92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PivotTables!$U$93:$U$106</c:f>
              <c:strCache>
                <c:ptCount val="13"/>
                <c:pt idx="0">
                  <c:v>1</c:v>
                </c:pt>
                <c:pt idx="1">
                  <c:v>2</c:v>
                </c:pt>
                <c:pt idx="2">
                  <c:v>3</c:v>
                </c:pt>
                <c:pt idx="3">
                  <c:v>4</c:v>
                </c:pt>
                <c:pt idx="4">
                  <c:v>5</c:v>
                </c:pt>
                <c:pt idx="5">
                  <c:v>6</c:v>
                </c:pt>
                <c:pt idx="6">
                  <c:v>7</c:v>
                </c:pt>
                <c:pt idx="7">
                  <c:v>8</c:v>
                </c:pt>
                <c:pt idx="8">
                  <c:v>9</c:v>
                </c:pt>
                <c:pt idx="9">
                  <c:v>10</c:v>
                </c:pt>
                <c:pt idx="10">
                  <c:v>11</c:v>
                </c:pt>
                <c:pt idx="11">
                  <c:v>12</c:v>
                </c:pt>
              </c:strCache>
            </c:strRef>
          </c:cat>
          <c:val>
            <c:numRef>
              <c:f>PivotTables!$V$93:$V$106</c:f>
              <c:numCache>
                <c:formatCode>General</c:formatCode>
                <c:ptCount val="13"/>
                <c:pt idx="0">
                  <c:v>26370.550000000003</c:v>
                </c:pt>
                <c:pt idx="1">
                  <c:v>23302.670000000006</c:v>
                </c:pt>
                <c:pt idx="2">
                  <c:v>34635.78</c:v>
                </c:pt>
                <c:pt idx="3">
                  <c:v>34902.79</c:v>
                </c:pt>
                <c:pt idx="4">
                  <c:v>27538.690000000002</c:v>
                </c:pt>
                <c:pt idx="5">
                  <c:v>18235.07</c:v>
                </c:pt>
                <c:pt idx="6">
                  <c:v>16303.44</c:v>
                </c:pt>
                <c:pt idx="7">
                  <c:v>24419.969999999998</c:v>
                </c:pt>
                <c:pt idx="8">
                  <c:v>10009.130000000001</c:v>
                </c:pt>
                <c:pt idx="9">
                  <c:v>14348.779999999999</c:v>
                </c:pt>
                <c:pt idx="10">
                  <c:v>10046.290000000001</c:v>
                </c:pt>
                <c:pt idx="11">
                  <c:v>13523.6</c:v>
                </c:pt>
                <c:pt idx="12">
                  <c:v>17056.43</c:v>
                </c:pt>
              </c:numCache>
            </c:numRef>
          </c:val>
          <c:extLst>
            <c:ext xmlns:c16="http://schemas.microsoft.com/office/drawing/2014/chart" uri="{C3380CC4-5D6E-409C-BE32-E72D297353CC}">
              <c16:uniqueId val="{00000000-D60E-4A0B-96B8-F446800F9880}"/>
            </c:ext>
          </c:extLst>
        </c:ser>
        <c:dLbls>
          <c:dLblPos val="outEnd"/>
          <c:showLegendKey val="0"/>
          <c:showVal val="1"/>
          <c:showCatName val="0"/>
          <c:showSerName val="0"/>
          <c:showPercent val="0"/>
          <c:showBubbleSize val="0"/>
        </c:dLbls>
        <c:gapWidth val="219"/>
        <c:overlap val="-27"/>
        <c:axId val="2093762592"/>
        <c:axId val="2093765088"/>
      </c:barChart>
      <c:catAx>
        <c:axId val="2093762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3765088"/>
        <c:crosses val="autoZero"/>
        <c:auto val="1"/>
        <c:lblAlgn val="ctr"/>
        <c:lblOffset val="100"/>
        <c:noMultiLvlLbl val="0"/>
      </c:catAx>
      <c:valAx>
        <c:axId val="20937650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3762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Data.xlsx]PivotTables!PivotTable10</c:name>
    <c:fmtId val="6"/>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i="0"/>
              <a:t>Customer Registrations by Month</a:t>
            </a: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PivotTables!$W$37</c:f>
              <c:strCache>
                <c:ptCount val="1"/>
                <c:pt idx="0">
                  <c:v>Total</c:v>
                </c:pt>
              </c:strCache>
            </c:strRef>
          </c:tx>
          <c:spPr>
            <a:solidFill>
              <a:schemeClr val="accent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PivotTables!$V$38:$V$51</c:f>
              <c:strCache>
                <c:ptCount val="13"/>
                <c:pt idx="0">
                  <c:v>1</c:v>
                </c:pt>
                <c:pt idx="1">
                  <c:v>2</c:v>
                </c:pt>
                <c:pt idx="2">
                  <c:v>3</c:v>
                </c:pt>
                <c:pt idx="3">
                  <c:v>4</c:v>
                </c:pt>
                <c:pt idx="4">
                  <c:v>5</c:v>
                </c:pt>
                <c:pt idx="5">
                  <c:v>6</c:v>
                </c:pt>
                <c:pt idx="6">
                  <c:v>7</c:v>
                </c:pt>
                <c:pt idx="7">
                  <c:v>8</c:v>
                </c:pt>
                <c:pt idx="8">
                  <c:v>9</c:v>
                </c:pt>
                <c:pt idx="9">
                  <c:v>10</c:v>
                </c:pt>
                <c:pt idx="10">
                  <c:v>11</c:v>
                </c:pt>
                <c:pt idx="11">
                  <c:v>12</c:v>
                </c:pt>
              </c:strCache>
            </c:strRef>
          </c:cat>
          <c:val>
            <c:numRef>
              <c:f>PivotTables!$W$38:$W$51</c:f>
              <c:numCache>
                <c:formatCode>General</c:formatCode>
                <c:ptCount val="13"/>
                <c:pt idx="0">
                  <c:v>28</c:v>
                </c:pt>
                <c:pt idx="1">
                  <c:v>26</c:v>
                </c:pt>
                <c:pt idx="2">
                  <c:v>27</c:v>
                </c:pt>
                <c:pt idx="3">
                  <c:v>29</c:v>
                </c:pt>
                <c:pt idx="4">
                  <c:v>32</c:v>
                </c:pt>
                <c:pt idx="5">
                  <c:v>21</c:v>
                </c:pt>
                <c:pt idx="6">
                  <c:v>21</c:v>
                </c:pt>
                <c:pt idx="7">
                  <c:v>25</c:v>
                </c:pt>
                <c:pt idx="8">
                  <c:v>9</c:v>
                </c:pt>
                <c:pt idx="9">
                  <c:v>15</c:v>
                </c:pt>
                <c:pt idx="10">
                  <c:v>12</c:v>
                </c:pt>
                <c:pt idx="11">
                  <c:v>16</c:v>
                </c:pt>
                <c:pt idx="12">
                  <c:v>18</c:v>
                </c:pt>
              </c:numCache>
            </c:numRef>
          </c:val>
          <c:extLst>
            <c:ext xmlns:c16="http://schemas.microsoft.com/office/drawing/2014/chart" uri="{C3380CC4-5D6E-409C-BE32-E72D297353CC}">
              <c16:uniqueId val="{00000000-7040-4DE8-87EC-9E6A3EFEC123}"/>
            </c:ext>
          </c:extLst>
        </c:ser>
        <c:dLbls>
          <c:dLblPos val="outEnd"/>
          <c:showLegendKey val="0"/>
          <c:showVal val="1"/>
          <c:showCatName val="0"/>
          <c:showSerName val="0"/>
          <c:showPercent val="0"/>
          <c:showBubbleSize val="0"/>
        </c:dLbls>
        <c:gapWidth val="219"/>
        <c:overlap val="-27"/>
        <c:axId val="340035024"/>
        <c:axId val="340034608"/>
      </c:barChart>
      <c:catAx>
        <c:axId val="340035024"/>
        <c:scaling>
          <c:orientation val="minMax"/>
        </c:scaling>
        <c:delete val="1"/>
        <c:axPos val="b"/>
        <c:numFmt formatCode="General" sourceLinked="1"/>
        <c:majorTickMark val="out"/>
        <c:minorTickMark val="none"/>
        <c:tickLblPos val="nextTo"/>
        <c:crossAx val="340034608"/>
        <c:crosses val="autoZero"/>
        <c:auto val="1"/>
        <c:lblAlgn val="ctr"/>
        <c:lblOffset val="100"/>
        <c:noMultiLvlLbl val="0"/>
      </c:catAx>
      <c:valAx>
        <c:axId val="340034608"/>
        <c:scaling>
          <c:orientation val="minMax"/>
        </c:scaling>
        <c:delete val="1"/>
        <c:axPos val="l"/>
        <c:majorGridlines>
          <c:spPr>
            <a:ln w="9525" cap="flat" cmpd="sng" algn="ctr">
              <a:solidFill>
                <a:schemeClr val="tx1">
                  <a:lumMod val="15000"/>
                  <a:lumOff val="85000"/>
                </a:schemeClr>
              </a:solidFill>
              <a:prstDash val="solid"/>
              <a:round/>
            </a:ln>
          </c:spPr>
        </c:majorGridlines>
        <c:numFmt formatCode="General" sourceLinked="1"/>
        <c:majorTickMark val="out"/>
        <c:minorTickMark val="none"/>
        <c:tickLblPos val="nextTo"/>
        <c:crossAx val="34003502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 Id="rId4" Type="http://schemas.openxmlformats.org/officeDocument/2006/relationships/chart" Target="../charts/chart20.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84046</xdr:rowOff>
    </xdr:from>
    <xdr:to>
      <xdr:col>7</xdr:col>
      <xdr:colOff>438150</xdr:colOff>
      <xdr:row>30</xdr:row>
      <xdr:rowOff>188821</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35</xdr:row>
      <xdr:rowOff>43703</xdr:rowOff>
    </xdr:from>
    <xdr:to>
      <xdr:col>5</xdr:col>
      <xdr:colOff>381000</xdr:colOff>
      <xdr:row>49</xdr:row>
      <xdr:rowOff>119903</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1082006</xdr:colOff>
      <xdr:row>15</xdr:row>
      <xdr:rowOff>30492</xdr:rowOff>
    </xdr:from>
    <xdr:to>
      <xdr:col>19</xdr:col>
      <xdr:colOff>520592</xdr:colOff>
      <xdr:row>32</xdr:row>
      <xdr:rowOff>125743</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919522</xdr:colOff>
      <xdr:row>38</xdr:row>
      <xdr:rowOff>189699</xdr:rowOff>
    </xdr:from>
    <xdr:to>
      <xdr:col>19</xdr:col>
      <xdr:colOff>28014</xdr:colOff>
      <xdr:row>54</xdr:row>
      <xdr:rowOff>21611</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1362312</xdr:colOff>
      <xdr:row>14</xdr:row>
      <xdr:rowOff>45944</xdr:rowOff>
    </xdr:from>
    <xdr:to>
      <xdr:col>27</xdr:col>
      <xdr:colOff>143273</xdr:colOff>
      <xdr:row>31</xdr:row>
      <xdr:rowOff>106455</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775606</xdr:colOff>
      <xdr:row>35</xdr:row>
      <xdr:rowOff>188421</xdr:rowOff>
    </xdr:from>
    <xdr:to>
      <xdr:col>29</xdr:col>
      <xdr:colOff>95249</xdr:colOff>
      <xdr:row>57</xdr:row>
      <xdr:rowOff>40821</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55</xdr:row>
      <xdr:rowOff>6722</xdr:rowOff>
    </xdr:from>
    <xdr:to>
      <xdr:col>6</xdr:col>
      <xdr:colOff>358588</xdr:colOff>
      <xdr:row>74</xdr:row>
      <xdr:rowOff>22411</xdr:rowOff>
    </xdr:to>
    <xdr:graphicFrame macro="">
      <xdr:nvGraphicFramePr>
        <xdr:cNvPr id="8" name="Chart 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89</xdr:row>
      <xdr:rowOff>111577</xdr:rowOff>
    </xdr:from>
    <xdr:to>
      <xdr:col>8</xdr:col>
      <xdr:colOff>1796143</xdr:colOff>
      <xdr:row>110</xdr:row>
      <xdr:rowOff>81643</xdr:rowOff>
    </xdr:to>
    <xdr:graphicFrame macro="">
      <xdr:nvGraphicFramePr>
        <xdr:cNvPr id="9" name="Chart 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669469</xdr:colOff>
      <xdr:row>90</xdr:row>
      <xdr:rowOff>13608</xdr:rowOff>
    </xdr:from>
    <xdr:to>
      <xdr:col>16</xdr:col>
      <xdr:colOff>830035</xdr:colOff>
      <xdr:row>110</xdr:row>
      <xdr:rowOff>122464</xdr:rowOff>
    </xdr:to>
    <xdr:graphicFrame macro="">
      <xdr:nvGraphicFramePr>
        <xdr:cNvPr id="10" name="Chart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129267</xdr:colOff>
      <xdr:row>90</xdr:row>
      <xdr:rowOff>166004</xdr:rowOff>
    </xdr:from>
    <xdr:to>
      <xdr:col>26</xdr:col>
      <xdr:colOff>911680</xdr:colOff>
      <xdr:row>111</xdr:row>
      <xdr:rowOff>149679</xdr:rowOff>
    </xdr:to>
    <xdr:graphicFrame macro="">
      <xdr:nvGraphicFramePr>
        <xdr:cNvPr id="11" name="Chart 1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357869</xdr:colOff>
      <xdr:row>12</xdr:row>
      <xdr:rowOff>121105</xdr:rowOff>
    </xdr:from>
    <xdr:to>
      <xdr:col>20</xdr:col>
      <xdr:colOff>400473</xdr:colOff>
      <xdr:row>31</xdr:row>
      <xdr:rowOff>136073</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312964</xdr:colOff>
      <xdr:row>33</xdr:row>
      <xdr:rowOff>95250</xdr:rowOff>
    </xdr:from>
    <xdr:to>
      <xdr:col>20</xdr:col>
      <xdr:colOff>382173</xdr:colOff>
      <xdr:row>54</xdr:row>
      <xdr:rowOff>54430</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258534</xdr:colOff>
      <xdr:row>12</xdr:row>
      <xdr:rowOff>54429</xdr:rowOff>
    </xdr:from>
    <xdr:to>
      <xdr:col>33</xdr:col>
      <xdr:colOff>72434</xdr:colOff>
      <xdr:row>31</xdr:row>
      <xdr:rowOff>54430</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353786</xdr:colOff>
      <xdr:row>56</xdr:row>
      <xdr:rowOff>176893</xdr:rowOff>
    </xdr:from>
    <xdr:to>
      <xdr:col>20</xdr:col>
      <xdr:colOff>557893</xdr:colOff>
      <xdr:row>77</xdr:row>
      <xdr:rowOff>190499</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299358</xdr:colOff>
      <xdr:row>55</xdr:row>
      <xdr:rowOff>163286</xdr:rowOff>
    </xdr:from>
    <xdr:to>
      <xdr:col>33</xdr:col>
      <xdr:colOff>163287</xdr:colOff>
      <xdr:row>78</xdr:row>
      <xdr:rowOff>54429</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285751</xdr:colOff>
      <xdr:row>33</xdr:row>
      <xdr:rowOff>95251</xdr:rowOff>
    </xdr:from>
    <xdr:to>
      <xdr:col>33</xdr:col>
      <xdr:colOff>163285</xdr:colOff>
      <xdr:row>54</xdr:row>
      <xdr:rowOff>13607</xdr:rowOff>
    </xdr:to>
    <xdr:graphicFrame macro="">
      <xdr:nvGraphicFramePr>
        <xdr:cNvPr id="9" name="Chart 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13</xdr:col>
      <xdr:colOff>0</xdr:colOff>
      <xdr:row>83</xdr:row>
      <xdr:rowOff>0</xdr:rowOff>
    </xdr:from>
    <xdr:to>
      <xdr:col>15</xdr:col>
      <xdr:colOff>601755</xdr:colOff>
      <xdr:row>96</xdr:row>
      <xdr:rowOff>47625</xdr:rowOff>
    </xdr:to>
    <mc:AlternateContent xmlns:mc="http://schemas.openxmlformats.org/markup-compatibility/2006" xmlns:a14="http://schemas.microsoft.com/office/drawing/2010/main">
      <mc:Choice Requires="a14">
        <xdr:graphicFrame macro="">
          <xdr:nvGraphicFramePr>
            <xdr:cNvPr id="14" name="City"/>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7960179" y="16410214"/>
              <a:ext cx="1826397"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22412</xdr:colOff>
      <xdr:row>82</xdr:row>
      <xdr:rowOff>168088</xdr:rowOff>
    </xdr:from>
    <xdr:to>
      <xdr:col>20</xdr:col>
      <xdr:colOff>19050</xdr:colOff>
      <xdr:row>96</xdr:row>
      <xdr:rowOff>25213</xdr:rowOff>
    </xdr:to>
    <mc:AlternateContent xmlns:mc="http://schemas.openxmlformats.org/markup-compatibility/2006" xmlns:a14="http://schemas.microsoft.com/office/drawing/2010/main">
      <mc:Choice Requires="a14">
        <xdr:graphicFrame macro="">
          <xdr:nvGraphicFramePr>
            <xdr:cNvPr id="15" name="Occupation_Clean"/>
            <xdr:cNvGraphicFramePr/>
          </xdr:nvGraphicFramePr>
          <xdr:xfrm>
            <a:off x="0" y="0"/>
            <a:ext cx="0" cy="0"/>
          </xdr:xfrm>
          <a:graphic>
            <a:graphicData uri="http://schemas.microsoft.com/office/drawing/2010/slicer">
              <sle:slicer xmlns:sle="http://schemas.microsoft.com/office/drawing/2010/slicer" name="Occupation_Clean"/>
            </a:graphicData>
          </a:graphic>
        </xdr:graphicFrame>
      </mc:Choice>
      <mc:Fallback xmlns="">
        <xdr:sp macro="" textlink="">
          <xdr:nvSpPr>
            <xdr:cNvPr id="0" name=""/>
            <xdr:cNvSpPr>
              <a:spLocks noTextEdit="1"/>
            </xdr:cNvSpPr>
          </xdr:nvSpPr>
          <xdr:spPr>
            <a:xfrm>
              <a:off x="10431876" y="16387802"/>
              <a:ext cx="1833603"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44823</xdr:colOff>
      <xdr:row>82</xdr:row>
      <xdr:rowOff>179294</xdr:rowOff>
    </xdr:from>
    <xdr:to>
      <xdr:col>24</xdr:col>
      <xdr:colOff>41461</xdr:colOff>
      <xdr:row>96</xdr:row>
      <xdr:rowOff>36419</xdr:rowOff>
    </xdr:to>
    <mc:AlternateContent xmlns:mc="http://schemas.openxmlformats.org/markup-compatibility/2006" xmlns:a14="http://schemas.microsoft.com/office/drawing/2010/main">
      <mc:Choice Requires="a14">
        <xdr:graphicFrame macro="">
          <xdr:nvGraphicFramePr>
            <xdr:cNvPr id="16" name="Gende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2903573" y="16399008"/>
              <a:ext cx="1833602"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22411</xdr:colOff>
      <xdr:row>83</xdr:row>
      <xdr:rowOff>42422</xdr:rowOff>
    </xdr:from>
    <xdr:to>
      <xdr:col>28</xdr:col>
      <xdr:colOff>18249</xdr:colOff>
      <xdr:row>96</xdr:row>
      <xdr:rowOff>90047</xdr:rowOff>
    </xdr:to>
    <mc:AlternateContent xmlns:mc="http://schemas.openxmlformats.org/markup-compatibility/2006" xmlns:a14="http://schemas.microsoft.com/office/drawing/2010/main">
      <mc:Choice Requires="a14">
        <xdr:graphicFrame macro="">
          <xdr:nvGraphicFramePr>
            <xdr:cNvPr id="17" name="Reg_Month"/>
            <xdr:cNvGraphicFramePr/>
          </xdr:nvGraphicFramePr>
          <xdr:xfrm>
            <a:off x="0" y="0"/>
            <a:ext cx="0" cy="0"/>
          </xdr:xfrm>
          <a:graphic>
            <a:graphicData uri="http://schemas.microsoft.com/office/drawing/2010/slicer">
              <sle:slicer xmlns:sle="http://schemas.microsoft.com/office/drawing/2010/slicer" name="Reg_Month"/>
            </a:graphicData>
          </a:graphic>
        </xdr:graphicFrame>
      </mc:Choice>
      <mc:Fallback xmlns="">
        <xdr:sp macro="" textlink="">
          <xdr:nvSpPr>
            <xdr:cNvPr id="0" name=""/>
            <xdr:cNvSpPr>
              <a:spLocks noTextEdit="1"/>
            </xdr:cNvSpPr>
          </xdr:nvSpPr>
          <xdr:spPr>
            <a:xfrm>
              <a:off x="15330447" y="16452636"/>
              <a:ext cx="1832802"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12</xdr:col>
      <xdr:colOff>459442</xdr:colOff>
      <xdr:row>17</xdr:row>
      <xdr:rowOff>190499</xdr:rowOff>
    </xdr:from>
    <xdr:to>
      <xdr:col>21</xdr:col>
      <xdr:colOff>543156</xdr:colOff>
      <xdr:row>35</xdr:row>
      <xdr:rowOff>56028</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291351</xdr:colOff>
      <xdr:row>18</xdr:row>
      <xdr:rowOff>7480</xdr:rowOff>
    </xdr:from>
    <xdr:to>
      <xdr:col>32</xdr:col>
      <xdr:colOff>11205</xdr:colOff>
      <xdr:row>35</xdr:row>
      <xdr:rowOff>22411</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495059</xdr:colOff>
      <xdr:row>37</xdr:row>
      <xdr:rowOff>100854</xdr:rowOff>
    </xdr:from>
    <xdr:to>
      <xdr:col>21</xdr:col>
      <xdr:colOff>529661</xdr:colOff>
      <xdr:row>54</xdr:row>
      <xdr:rowOff>97868</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302560</xdr:colOff>
      <xdr:row>37</xdr:row>
      <xdr:rowOff>54169</xdr:rowOff>
    </xdr:from>
    <xdr:to>
      <xdr:col>32</xdr:col>
      <xdr:colOff>112058</xdr:colOff>
      <xdr:row>54</xdr:row>
      <xdr:rowOff>89646</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32</xdr:col>
      <xdr:colOff>593912</xdr:colOff>
      <xdr:row>27</xdr:row>
      <xdr:rowOff>168088</xdr:rowOff>
    </xdr:from>
    <xdr:to>
      <xdr:col>35</xdr:col>
      <xdr:colOff>603284</xdr:colOff>
      <xdr:row>41</xdr:row>
      <xdr:rowOff>25213</xdr:rowOff>
    </xdr:to>
    <mc:AlternateContent xmlns:mc="http://schemas.openxmlformats.org/markup-compatibility/2006" xmlns:a14="http://schemas.microsoft.com/office/drawing/2010/main">
      <mc:Choice Requires="a14">
        <xdr:graphicFrame macro="">
          <xdr:nvGraphicFramePr>
            <xdr:cNvPr id="8" name="Occupation 1"/>
            <xdr:cNvGraphicFramePr/>
          </xdr:nvGraphicFramePr>
          <xdr:xfrm>
            <a:off x="0" y="0"/>
            <a:ext cx="0" cy="0"/>
          </xdr:xfrm>
          <a:graphic>
            <a:graphicData uri="http://schemas.microsoft.com/office/drawing/2010/slicer">
              <sle:slicer xmlns:sle="http://schemas.microsoft.com/office/drawing/2010/slicer" name="Occupation 1"/>
            </a:graphicData>
          </a:graphic>
        </xdr:graphicFrame>
      </mc:Choice>
      <mc:Fallback xmlns="">
        <xdr:sp macro="" textlink="">
          <xdr:nvSpPr>
            <xdr:cNvPr id="0" name=""/>
            <xdr:cNvSpPr>
              <a:spLocks noTextEdit="1"/>
            </xdr:cNvSpPr>
          </xdr:nvSpPr>
          <xdr:spPr>
            <a:xfrm>
              <a:off x="22367467" y="5927736"/>
              <a:ext cx="1839958" cy="256579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37</xdr:col>
      <xdr:colOff>4564</xdr:colOff>
      <xdr:row>27</xdr:row>
      <xdr:rowOff>136713</xdr:rowOff>
    </xdr:from>
    <xdr:to>
      <xdr:col>40</xdr:col>
      <xdr:colOff>11898</xdr:colOff>
      <xdr:row>40</xdr:row>
      <xdr:rowOff>184338</xdr:rowOff>
    </xdr:to>
    <mc:AlternateContent xmlns:mc="http://schemas.openxmlformats.org/markup-compatibility/2006" xmlns:a14="http://schemas.microsoft.com/office/drawing/2010/main">
      <mc:Choice Requires="a14">
        <xdr:graphicFrame macro="">
          <xdr:nvGraphicFramePr>
            <xdr:cNvPr id="9" name="Reg_Month 2"/>
            <xdr:cNvGraphicFramePr/>
          </xdr:nvGraphicFramePr>
          <xdr:xfrm>
            <a:off x="0" y="0"/>
            <a:ext cx="0" cy="0"/>
          </xdr:xfrm>
          <a:graphic>
            <a:graphicData uri="http://schemas.microsoft.com/office/drawing/2010/slicer">
              <sle:slicer xmlns:sle="http://schemas.microsoft.com/office/drawing/2010/slicer" name="Reg_Month 2"/>
            </a:graphicData>
          </a:graphic>
        </xdr:graphicFrame>
      </mc:Choice>
      <mc:Fallback xmlns="">
        <xdr:sp macro="" textlink="">
          <xdr:nvSpPr>
            <xdr:cNvPr id="0" name=""/>
            <xdr:cNvSpPr>
              <a:spLocks noTextEdit="1"/>
            </xdr:cNvSpPr>
          </xdr:nvSpPr>
          <xdr:spPr>
            <a:xfrm>
              <a:off x="24829095" y="5896361"/>
              <a:ext cx="1837920" cy="25628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Cleaned_Data"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w_Data"/>
      <sheetName val="Clean_Data "/>
      <sheetName val="Analysis"/>
      <sheetName val="PivotTables"/>
      <sheetName val="Dashboard"/>
      <sheetName val="Findings"/>
    </sheetNames>
    <sheetDataSet>
      <sheetData sheetId="0"/>
      <sheetData sheetId="1">
        <row r="2">
          <cell r="B2">
            <v>45677</v>
          </cell>
        </row>
      </sheetData>
      <sheetData sheetId="2"/>
      <sheetData sheetId="3"/>
      <sheetData sheetId="4"/>
      <sheetData sheetId="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hp" refreshedDate="46257.429017245369" createdVersion="6" refreshedVersion="6" minRefreshableVersion="3" recordCount="293">
  <cacheSource type="worksheet">
    <worksheetSource ref="A1:M294" sheet="Clean_Data "/>
  </cacheSource>
  <cacheFields count="13">
    <cacheField name="Customer_ID" numFmtId="0">
      <sharedItems containsBlank="1"/>
    </cacheField>
    <cacheField name="Registration_Date" numFmtId="14">
      <sharedItems containsDate="1" containsMixedTypes="1" minDate="2025-01-04T00:00:00" maxDate="2026-07-28T00:00:00"/>
    </cacheField>
    <cacheField name="Gender" numFmtId="0">
      <sharedItems/>
    </cacheField>
    <cacheField name="Age" numFmtId="0">
      <sharedItems containsSemiMixedTypes="0" containsString="0" containsNumber="1" containsInteger="1" minValue="18" maxValue="123" count="55">
        <n v="46"/>
        <n v="33"/>
        <n v="30"/>
        <n v="40"/>
        <n v="66"/>
        <n v="51"/>
        <n v="62"/>
        <n v="19"/>
        <n v="43"/>
        <n v="18"/>
        <n v="44"/>
        <n v="49"/>
        <n v="53"/>
        <n v="70"/>
        <n v="28"/>
        <n v="63"/>
        <n v="20"/>
        <n v="26"/>
        <n v="52"/>
        <n v="35"/>
        <n v="34"/>
        <n v="54"/>
        <n v="37"/>
        <n v="29"/>
        <n v="59"/>
        <n v="21"/>
        <n v="42"/>
        <n v="32"/>
        <n v="61"/>
        <n v="48"/>
        <n v="22"/>
        <n v="39"/>
        <n v="27"/>
        <n v="41"/>
        <n v="65"/>
        <n v="38"/>
        <n v="47"/>
        <n v="25"/>
        <n v="56"/>
        <n v="58"/>
        <n v="55"/>
        <n v="67"/>
        <n v="24"/>
        <n v="68"/>
        <n v="23"/>
        <n v="36"/>
        <n v="64"/>
        <n v="69"/>
        <n v="60"/>
        <n v="45"/>
        <n v="50"/>
        <n v="123"/>
        <n v="31"/>
        <n v="57"/>
        <n v="107"/>
      </sharedItems>
    </cacheField>
    <cacheField name="City" numFmtId="0">
      <sharedItems/>
    </cacheField>
    <cacheField name="Occupation" numFmtId="0">
      <sharedItems count="9">
        <s v="Business Owner"/>
        <s v="Healthcare"/>
        <s v="Engineer"/>
        <s v="Civil Servant"/>
        <s v="student"/>
        <s v="Teacher"/>
        <s v="Self-Employed"/>
        <s v="Missing "/>
        <s v="CS"/>
      </sharedItems>
    </cacheField>
    <cacheField name="Monthly_Income" numFmtId="165">
      <sharedItems containsSemiMixedTypes="0" containsString="0" containsNumber="1" minValue="108.23" maxValue="10013"/>
    </cacheField>
    <cacheField name="Gender_Clean" numFmtId="0">
      <sharedItems/>
    </cacheField>
    <cacheField name="City_Clean" numFmtId="0">
      <sharedItems/>
    </cacheField>
    <cacheField name="Occupation_Clean" numFmtId="0">
      <sharedItems count="8">
        <s v="Business Owner"/>
        <s v="Healthcare"/>
        <s v="Engineer"/>
        <s v="Civil Servant"/>
        <s v="Student"/>
        <s v="Teacher"/>
        <s v="Self-Employed"/>
        <s v="Missing"/>
      </sharedItems>
    </cacheField>
    <cacheField name="Income_Level" numFmtId="0">
      <sharedItems count="3">
        <s v="Medium"/>
        <s v="Low"/>
        <s v="High"/>
      </sharedItems>
    </cacheField>
    <cacheField name="Reg_Year" numFmtId="0">
      <sharedItems containsMixedTypes="1" containsNumber="1" containsInteger="1" minValue="2025" maxValue="2026" count="3">
        <n v="2025"/>
        <n v="2026"/>
        <s v=""/>
      </sharedItems>
    </cacheField>
    <cacheField name="Reg_Month" numFmtId="0">
      <sharedItems containsMixedTypes="1" containsNumber="1" containsInteger="1" minValue="1" maxValue="12" count="13">
        <n v="1"/>
        <n v="2"/>
        <n v="3"/>
        <n v="4"/>
        <n v="5"/>
        <n v="6"/>
        <n v="7"/>
        <n v="8"/>
        <n v="9"/>
        <n v="10"/>
        <n v="11"/>
        <n v="12"/>
        <s v=""/>
      </sharedItems>
    </cacheField>
  </cacheFields>
  <extLst>
    <ext xmlns:x14="http://schemas.microsoft.com/office/spreadsheetml/2009/9/main" uri="{725AE2AE-9491-48be-B2B4-4EB974FC3084}">
      <x14:pivotCacheDefinition pivotCacheId="2"/>
    </ext>
  </extLst>
</pivotCacheDefinition>
</file>

<file path=xl/pivotCache/pivotCacheDefinition2.xml><?xml version="1.0" encoding="utf-8"?>
<pivotCacheDefinition xmlns="http://schemas.openxmlformats.org/spreadsheetml/2006/main" xmlns:r="http://schemas.openxmlformats.org/officeDocument/2006/relationships" r:id="rId1" refreshedBy="hp" refreshedDate="46257.432949652779" createdVersion="6" refreshedVersion="6" minRefreshableVersion="3" recordCount="293">
  <cacheSource type="worksheet">
    <worksheetSource ref="A1:K294" sheet="Clean_Data "/>
  </cacheSource>
  <cacheFields count="11">
    <cacheField name="Customer_ID" numFmtId="0">
      <sharedItems containsBlank="1"/>
    </cacheField>
    <cacheField name="Registration_Date" numFmtId="14">
      <sharedItems containsDate="1" containsMixedTypes="1" minDate="2025-01-04T00:00:00" maxDate="2026-07-28T00:00:00"/>
    </cacheField>
    <cacheField name="Gender" numFmtId="0">
      <sharedItems count="3">
        <s v="Female"/>
        <s v="Male"/>
        <s v="Missing"/>
      </sharedItems>
    </cacheField>
    <cacheField name="Age" numFmtId="0">
      <sharedItems containsSemiMixedTypes="0" containsString="0" containsNumber="1" containsInteger="1" minValue="18" maxValue="123"/>
    </cacheField>
    <cacheField name="City" numFmtId="0">
      <sharedItems count="7">
        <s v="Missing"/>
        <s v="Mogadishu"/>
        <s v="Baidoa"/>
        <s v="Bosaso"/>
        <s v="Hargeisa"/>
        <s v="Kismayo"/>
        <s v="Garowe"/>
      </sharedItems>
    </cacheField>
    <cacheField name="Occupation" numFmtId="0">
      <sharedItems/>
    </cacheField>
    <cacheField name="Monthly_Income" numFmtId="165">
      <sharedItems containsSemiMixedTypes="0" containsString="0" containsNumber="1" minValue="108.23" maxValue="10013"/>
    </cacheField>
    <cacheField name="Gender_Clean" numFmtId="0">
      <sharedItems/>
    </cacheField>
    <cacheField name="City_Clean" numFmtId="0">
      <sharedItems/>
    </cacheField>
    <cacheField name="Occupation_Clean" numFmtId="0">
      <sharedItems count="8">
        <s v="Business Owner"/>
        <s v="Healthcare"/>
        <s v="Engineer"/>
        <s v="Civil Servant"/>
        <s v="Student"/>
        <s v="Teacher"/>
        <s v="Self-Employed"/>
        <s v="Missing"/>
      </sharedItems>
    </cacheField>
    <cacheField name="Income_Level" numFmtId="0">
      <sharedItems count="3">
        <s v="Medium"/>
        <s v="Low"/>
        <s v="High"/>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93">
  <r>
    <s v="CUS00148"/>
    <d v="2025-01-04T00:00:00"/>
    <s v="Female"/>
    <x v="0"/>
    <s v="Missing"/>
    <x v="0"/>
    <n v="1455.22"/>
    <s v="Female"/>
    <s v="Missing"/>
    <x v="0"/>
    <x v="0"/>
    <x v="0"/>
    <x v="0"/>
  </r>
  <r>
    <s v="CUS00196"/>
    <d v="2025-01-05T00:00:00"/>
    <s v="Male"/>
    <x v="1"/>
    <s v="Mogadishu"/>
    <x v="1"/>
    <n v="1250.21"/>
    <s v="Male"/>
    <s v="Mogadishu"/>
    <x v="1"/>
    <x v="0"/>
    <x v="0"/>
    <x v="0"/>
  </r>
  <r>
    <s v="CUS00115"/>
    <d v="2025-01-07T00:00:00"/>
    <s v="Male"/>
    <x v="2"/>
    <s v="Baidoa"/>
    <x v="2"/>
    <n v="602"/>
    <s v="Male"/>
    <s v="Baidoa"/>
    <x v="2"/>
    <x v="1"/>
    <x v="0"/>
    <x v="0"/>
  </r>
  <r>
    <s v="CUS00006"/>
    <d v="2025-01-08T00:00:00"/>
    <s v="Female"/>
    <x v="3"/>
    <s v="Bosaso"/>
    <x v="3"/>
    <n v="789.1"/>
    <s v="Female"/>
    <s v="Bosaso"/>
    <x v="3"/>
    <x v="1"/>
    <x v="0"/>
    <x v="0"/>
  </r>
  <r>
    <s v="CUS00103"/>
    <d v="2025-01-08T00:00:00"/>
    <s v="Male"/>
    <x v="4"/>
    <s v="Hargeisa"/>
    <x v="0"/>
    <n v="1964.48"/>
    <s v="Male"/>
    <s v="Hargeisa"/>
    <x v="0"/>
    <x v="2"/>
    <x v="0"/>
    <x v="0"/>
  </r>
  <r>
    <s v="CUS00157"/>
    <d v="2025-01-10T00:00:00"/>
    <s v="Female"/>
    <x v="5"/>
    <s v="Mogadishu"/>
    <x v="0"/>
    <n v="1547.72"/>
    <s v="Female"/>
    <s v="Mogadishu"/>
    <x v="0"/>
    <x v="2"/>
    <x v="0"/>
    <x v="0"/>
  </r>
  <r>
    <s v="CUS00076"/>
    <d v="2025-01-10T00:00:00"/>
    <s v="Male"/>
    <x v="6"/>
    <s v="Mogadishu"/>
    <x v="2"/>
    <n v="881.22"/>
    <s v="Male"/>
    <s v="Mogadishu"/>
    <x v="2"/>
    <x v="0"/>
    <x v="0"/>
    <x v="0"/>
  </r>
  <r>
    <s v="CUS00067"/>
    <d v="2025-01-13T00:00:00"/>
    <s v="Male"/>
    <x v="7"/>
    <s v="Kismayo"/>
    <x v="4"/>
    <n v="278.61"/>
    <s v="Male"/>
    <s v="Kismayo"/>
    <x v="4"/>
    <x v="1"/>
    <x v="0"/>
    <x v="0"/>
  </r>
  <r>
    <s v="CUS00287"/>
    <d v="2025-01-14T00:00:00"/>
    <s v="Female"/>
    <x v="7"/>
    <s v="Mogadishu"/>
    <x v="4"/>
    <n v="923.87"/>
    <s v="Female"/>
    <s v="Mogadishu"/>
    <x v="4"/>
    <x v="0"/>
    <x v="0"/>
    <x v="0"/>
  </r>
  <r>
    <s v="CUS00257"/>
    <d v="2025-01-16T00:00:00"/>
    <s v="Male"/>
    <x v="8"/>
    <s v="Hargeisa"/>
    <x v="4"/>
    <n v="127.29"/>
    <s v="Male"/>
    <s v="Hargeisa"/>
    <x v="4"/>
    <x v="1"/>
    <x v="0"/>
    <x v="0"/>
  </r>
  <r>
    <s v="CUS00279"/>
    <d v="2025-01-17T00:00:00"/>
    <s v="Missing"/>
    <x v="9"/>
    <s v="Garowe"/>
    <x v="4"/>
    <n v="312.77"/>
    <s v="Missing"/>
    <s v="Garowe"/>
    <x v="4"/>
    <x v="1"/>
    <x v="0"/>
    <x v="0"/>
  </r>
  <r>
    <s v="CUS00270"/>
    <d v="2025-01-19T00:00:00"/>
    <s v="Male"/>
    <x v="10"/>
    <s v="Mogadishu"/>
    <x v="0"/>
    <n v="1015.92"/>
    <s v="Male"/>
    <s v="Mogadishu"/>
    <x v="0"/>
    <x v="0"/>
    <x v="0"/>
    <x v="0"/>
  </r>
  <r>
    <s v="CUS00005"/>
    <d v="2025-01-20T00:00:00"/>
    <s v="Male"/>
    <x v="11"/>
    <s v="Mogadishu"/>
    <x v="1"/>
    <n v="1024.44"/>
    <s v="Male"/>
    <s v="Mogadishu"/>
    <x v="1"/>
    <x v="0"/>
    <x v="0"/>
    <x v="0"/>
  </r>
  <r>
    <s v="CUS00186"/>
    <d v="2025-01-21T00:00:00"/>
    <s v="Male"/>
    <x v="12"/>
    <s v="Hargeisa"/>
    <x v="2"/>
    <n v="926.65"/>
    <s v="Male"/>
    <s v="Hargeisa"/>
    <x v="2"/>
    <x v="0"/>
    <x v="0"/>
    <x v="0"/>
  </r>
  <r>
    <s v="CUS00252"/>
    <d v="2025-01-22T00:00:00"/>
    <s v="Female"/>
    <x v="13"/>
    <s v="Mogadishu"/>
    <x v="0"/>
    <n v="2040.09"/>
    <s v="Female"/>
    <s v="Mogadishu"/>
    <x v="0"/>
    <x v="2"/>
    <x v="0"/>
    <x v="0"/>
  </r>
  <r>
    <s v="CUS00030"/>
    <d v="2025-01-23T00:00:00"/>
    <s v="Female"/>
    <x v="14"/>
    <s v="Baidoa"/>
    <x v="1"/>
    <n v="836.87"/>
    <s v="Female"/>
    <s v="Baidoa"/>
    <x v="1"/>
    <x v="0"/>
    <x v="0"/>
    <x v="0"/>
  </r>
  <r>
    <s v="CUS00235"/>
    <d v="2025-01-24T00:00:00"/>
    <s v="Female"/>
    <x v="7"/>
    <s v="Garowe"/>
    <x v="5"/>
    <n v="579.54999999999995"/>
    <s v="Female"/>
    <s v="Garowe"/>
    <x v="5"/>
    <x v="1"/>
    <x v="0"/>
    <x v="0"/>
  </r>
  <r>
    <s v="CUS00052"/>
    <d v="2025-01-25T00:00:00"/>
    <s v="Female"/>
    <x v="15"/>
    <s v="Mogadishu"/>
    <x v="1"/>
    <n v="954.9"/>
    <s v="Female"/>
    <s v="Mogadishu"/>
    <x v="1"/>
    <x v="0"/>
    <x v="0"/>
    <x v="0"/>
  </r>
  <r>
    <s v="CUS00058"/>
    <d v="2025-02-03T00:00:00"/>
    <s v="Male"/>
    <x v="16"/>
    <s v="Missing"/>
    <x v="5"/>
    <n v="526.37"/>
    <s v="Male"/>
    <s v="Missing"/>
    <x v="5"/>
    <x v="1"/>
    <x v="0"/>
    <x v="1"/>
  </r>
  <r>
    <s v="CUS00181"/>
    <d v="2025-02-03T00:00:00"/>
    <s v="Male"/>
    <x v="17"/>
    <s v="Mogadishu"/>
    <x v="2"/>
    <n v="1086.56"/>
    <s v="Male"/>
    <s v="Mogadishu"/>
    <x v="2"/>
    <x v="0"/>
    <x v="0"/>
    <x v="1"/>
  </r>
  <r>
    <s v="CUS00206"/>
    <d v="2025-02-06T00:00:00"/>
    <s v="Female"/>
    <x v="16"/>
    <s v="Mogadishu"/>
    <x v="3"/>
    <n v="923.87"/>
    <s v="Female"/>
    <s v="Mogadishu"/>
    <x v="3"/>
    <x v="0"/>
    <x v="0"/>
    <x v="1"/>
  </r>
  <r>
    <s v="CUS00230"/>
    <d v="2025-02-08T00:00:00"/>
    <s v="Female"/>
    <x v="6"/>
    <s v="Hargeisa"/>
    <x v="4"/>
    <n v="210.96"/>
    <s v="Female"/>
    <s v="Hargeisa"/>
    <x v="4"/>
    <x v="1"/>
    <x v="0"/>
    <x v="1"/>
  </r>
  <r>
    <s v="CUS00025"/>
    <d v="2025-02-15T00:00:00"/>
    <s v="Male"/>
    <x v="18"/>
    <s v="Hargeisa"/>
    <x v="6"/>
    <n v="1214.6199999999999"/>
    <s v="Male"/>
    <s v="Hargeisa"/>
    <x v="6"/>
    <x v="0"/>
    <x v="0"/>
    <x v="1"/>
  </r>
  <r>
    <s v="CUS00211"/>
    <d v="2025-02-15T00:00:00"/>
    <s v="Male"/>
    <x v="4"/>
    <s v="Hargeisa"/>
    <x v="1"/>
    <n v="1215.9100000000001"/>
    <s v="Male"/>
    <s v="Hargeisa"/>
    <x v="1"/>
    <x v="0"/>
    <x v="0"/>
    <x v="1"/>
  </r>
  <r>
    <s v="CUS00207"/>
    <d v="2025-02-17T00:00:00"/>
    <s v="Male"/>
    <x v="18"/>
    <s v="Garowe"/>
    <x v="7"/>
    <n v="494.83"/>
    <s v="Male"/>
    <s v="Garowe"/>
    <x v="7"/>
    <x v="1"/>
    <x v="0"/>
    <x v="1"/>
  </r>
  <r>
    <s v="CUS00203"/>
    <d v="2025-02-18T00:00:00"/>
    <s v="Female"/>
    <x v="19"/>
    <s v="Baidoa"/>
    <x v="3"/>
    <n v="646.07000000000005"/>
    <s v="Female"/>
    <s v="Baidoa"/>
    <x v="3"/>
    <x v="1"/>
    <x v="0"/>
    <x v="1"/>
  </r>
  <r>
    <s v="CUS00202"/>
    <d v="2025-02-21T00:00:00"/>
    <s v="Male"/>
    <x v="10"/>
    <s v="Bosaso"/>
    <x v="5"/>
    <n v="409.49"/>
    <s v="Male"/>
    <s v="Bosaso"/>
    <x v="5"/>
    <x v="1"/>
    <x v="0"/>
    <x v="1"/>
  </r>
  <r>
    <s v="CUS00223"/>
    <d v="2025-02-27T00:00:00"/>
    <s v="Female"/>
    <x v="20"/>
    <s v="Kismayo"/>
    <x v="6"/>
    <n v="835.61"/>
    <s v="Female"/>
    <s v="Kismayo"/>
    <x v="6"/>
    <x v="0"/>
    <x v="0"/>
    <x v="1"/>
  </r>
  <r>
    <s v="CUS00231"/>
    <d v="2025-02-27T00:00:00"/>
    <s v="Male"/>
    <x v="21"/>
    <s v="Mogadishu"/>
    <x v="0"/>
    <n v="923.87"/>
    <s v="Male"/>
    <s v="Mogadishu"/>
    <x v="0"/>
    <x v="0"/>
    <x v="0"/>
    <x v="1"/>
  </r>
  <r>
    <s v="CUS00292"/>
    <d v="2025-03-03T00:00:00"/>
    <s v="Male"/>
    <x v="0"/>
    <s v="Missing"/>
    <x v="5"/>
    <n v="675.77"/>
    <s v="Male"/>
    <s v="Missing"/>
    <x v="5"/>
    <x v="1"/>
    <x v="0"/>
    <x v="2"/>
  </r>
  <r>
    <s v="CUS00156"/>
    <d v="2025-03-04T00:00:00"/>
    <s v="Female"/>
    <x v="22"/>
    <s v="Mogadishu"/>
    <x v="0"/>
    <n v="1800.86"/>
    <s v="Female"/>
    <s v="Mogadishu"/>
    <x v="0"/>
    <x v="2"/>
    <x v="0"/>
    <x v="2"/>
  </r>
  <r>
    <s v="CUS00072"/>
    <d v="2025-03-05T00:00:00"/>
    <s v="Missing"/>
    <x v="23"/>
    <s v="Mogadishu"/>
    <x v="2"/>
    <n v="1516.2"/>
    <s v="Missing"/>
    <s v="Mogadishu"/>
    <x v="2"/>
    <x v="2"/>
    <x v="0"/>
    <x v="2"/>
  </r>
  <r>
    <s v="CUS00173"/>
    <d v="2025-03-07T00:00:00"/>
    <s v="Missing"/>
    <x v="24"/>
    <s v="Hargeisa"/>
    <x v="6"/>
    <n v="952.9"/>
    <s v="Missing"/>
    <s v="Hargeisa"/>
    <x v="6"/>
    <x v="0"/>
    <x v="0"/>
    <x v="2"/>
  </r>
  <r>
    <m/>
    <d v="2025-03-12T00:00:00"/>
    <s v="Male"/>
    <x v="25"/>
    <s v="Kismayo"/>
    <x v="1"/>
    <n v="1144.9100000000001"/>
    <s v="Male"/>
    <s v="Kismayo"/>
    <x v="1"/>
    <x v="0"/>
    <x v="0"/>
    <x v="2"/>
  </r>
  <r>
    <s v="CUS00218"/>
    <d v="2025-03-13T00:00:00"/>
    <s v="Female"/>
    <x v="10"/>
    <s v="Baidoa"/>
    <x v="2"/>
    <n v="963.66"/>
    <s v="Female"/>
    <s v="Baidoa"/>
    <x v="2"/>
    <x v="0"/>
    <x v="0"/>
    <x v="2"/>
  </r>
  <r>
    <s v="CUS00137"/>
    <d v="2025-03-15T00:00:00"/>
    <s v="Male"/>
    <x v="26"/>
    <s v="Mogadishu"/>
    <x v="1"/>
    <n v="1023.35"/>
    <s v="Male"/>
    <s v="Mogadishu"/>
    <x v="1"/>
    <x v="0"/>
    <x v="0"/>
    <x v="2"/>
  </r>
  <r>
    <s v="CUS00208"/>
    <d v="2025-03-15T00:00:00"/>
    <s v="Female"/>
    <x v="4"/>
    <s v="Hargeisa"/>
    <x v="6"/>
    <n v="457.6"/>
    <s v="Female"/>
    <s v="Hargeisa"/>
    <x v="6"/>
    <x v="1"/>
    <x v="0"/>
    <x v="2"/>
  </r>
  <r>
    <s v="CUS00259"/>
    <d v="2025-03-16T00:00:00"/>
    <s v="Male"/>
    <x v="25"/>
    <s v="Mogadishu"/>
    <x v="7"/>
    <n v="1300.93"/>
    <s v="Male"/>
    <s v="Mogadishu"/>
    <x v="7"/>
    <x v="0"/>
    <x v="0"/>
    <x v="2"/>
  </r>
  <r>
    <s v="CUS00136"/>
    <d v="2025-03-18T00:00:00"/>
    <s v="Male"/>
    <x v="27"/>
    <s v="Baidoa"/>
    <x v="3"/>
    <n v="707.01"/>
    <s v="Male"/>
    <s v="Baidoa"/>
    <x v="3"/>
    <x v="1"/>
    <x v="0"/>
    <x v="2"/>
  </r>
  <r>
    <s v="CUS00081"/>
    <d v="2025-03-19T00:00:00"/>
    <s v="Female"/>
    <x v="28"/>
    <s v="Missing"/>
    <x v="4"/>
    <n v="265.87"/>
    <s v="Female"/>
    <s v="Missing"/>
    <x v="4"/>
    <x v="1"/>
    <x v="0"/>
    <x v="2"/>
  </r>
  <r>
    <s v="CUS00111"/>
    <d v="2025-03-25T00:00:00"/>
    <s v="Female"/>
    <x v="29"/>
    <s v="Baidoa"/>
    <x v="3"/>
    <n v="523.37"/>
    <s v="Female"/>
    <s v="Baidoa"/>
    <x v="3"/>
    <x v="1"/>
    <x v="0"/>
    <x v="2"/>
  </r>
  <r>
    <s v="CUS00138"/>
    <d v="2025-03-26T00:00:00"/>
    <s v="Female"/>
    <x v="30"/>
    <s v="Hargeisa"/>
    <x v="0"/>
    <n v="1984.53"/>
    <s v="Female"/>
    <s v="Hargeisa"/>
    <x v="0"/>
    <x v="2"/>
    <x v="0"/>
    <x v="2"/>
  </r>
  <r>
    <s v="CUS00276"/>
    <d v="2025-03-28T00:00:00"/>
    <s v="Male"/>
    <x v="16"/>
    <s v="Hargeisa"/>
    <x v="3"/>
    <n v="389.22"/>
    <s v="Male"/>
    <s v="Hargeisa"/>
    <x v="3"/>
    <x v="1"/>
    <x v="0"/>
    <x v="2"/>
  </r>
  <r>
    <s v="CUS00277"/>
    <d v="2025-03-28T00:00:00"/>
    <s v="Male"/>
    <x v="31"/>
    <s v="Mogadishu"/>
    <x v="6"/>
    <n v="10013"/>
    <s v="Male"/>
    <s v="Mogadishu"/>
    <x v="6"/>
    <x v="2"/>
    <x v="0"/>
    <x v="2"/>
  </r>
  <r>
    <s v="CUS00080"/>
    <d v="2025-03-29T00:00:00"/>
    <s v="Female"/>
    <x v="27"/>
    <s v="Mogadishu"/>
    <x v="6"/>
    <n v="1235.8900000000001"/>
    <s v="Female"/>
    <s v="Mogadishu"/>
    <x v="6"/>
    <x v="0"/>
    <x v="0"/>
    <x v="2"/>
  </r>
  <r>
    <s v="CUS00124"/>
    <d v="2025-03-31T00:00:00"/>
    <s v="Female"/>
    <x v="32"/>
    <s v="Mogadishu"/>
    <x v="7"/>
    <n v="863.68"/>
    <s v="Female"/>
    <s v="Mogadishu"/>
    <x v="7"/>
    <x v="0"/>
    <x v="0"/>
    <x v="2"/>
  </r>
  <r>
    <s v="CUS00249"/>
    <d v="2025-04-02T00:00:00"/>
    <s v="Male"/>
    <x v="26"/>
    <s v="Mogadishu"/>
    <x v="0"/>
    <n v="1091.0999999999999"/>
    <s v="Male"/>
    <s v="Mogadishu"/>
    <x v="0"/>
    <x v="0"/>
    <x v="0"/>
    <x v="3"/>
  </r>
  <r>
    <s v="CUS00097"/>
    <d v="2025-04-03T00:00:00"/>
    <s v="Male"/>
    <x v="11"/>
    <s v="Bosaso"/>
    <x v="4"/>
    <n v="923.87"/>
    <s v="Male"/>
    <s v="Bosaso"/>
    <x v="4"/>
    <x v="0"/>
    <x v="0"/>
    <x v="3"/>
  </r>
  <r>
    <s v="CUS00247"/>
    <d v="2025-04-05T00:00:00"/>
    <s v="Female"/>
    <x v="31"/>
    <s v="Garowe"/>
    <x v="3"/>
    <n v="396.11"/>
    <s v="Female"/>
    <s v="Garowe"/>
    <x v="3"/>
    <x v="1"/>
    <x v="0"/>
    <x v="3"/>
  </r>
  <r>
    <s v="CUS00169"/>
    <d v="2025-04-05T00:00:00"/>
    <s v="Male"/>
    <x v="10"/>
    <s v="Kismayo"/>
    <x v="0"/>
    <n v="1852.82"/>
    <s v="Male"/>
    <s v="Kismayo"/>
    <x v="0"/>
    <x v="2"/>
    <x v="0"/>
    <x v="3"/>
  </r>
  <r>
    <s v="CUS00271"/>
    <d v="2025-04-06T00:00:00"/>
    <s v="Female"/>
    <x v="29"/>
    <s v="Garowe"/>
    <x v="3"/>
    <n v="746.26"/>
    <s v="Female"/>
    <s v="Garowe"/>
    <x v="3"/>
    <x v="1"/>
    <x v="0"/>
    <x v="3"/>
  </r>
  <r>
    <s v="CUS00049"/>
    <d v="2025-04-10T00:00:00"/>
    <s v="Female"/>
    <x v="1"/>
    <s v="Garowe"/>
    <x v="3"/>
    <n v="661.71"/>
    <s v="Female"/>
    <s v="Garowe"/>
    <x v="3"/>
    <x v="1"/>
    <x v="0"/>
    <x v="3"/>
  </r>
  <r>
    <s v="CUS00234"/>
    <d v="2025-04-11T00:00:00"/>
    <s v="Missing"/>
    <x v="3"/>
    <s v="Kismayo"/>
    <x v="3"/>
    <n v="641.59"/>
    <s v="Missing"/>
    <s v="Kismayo"/>
    <x v="3"/>
    <x v="1"/>
    <x v="0"/>
    <x v="3"/>
  </r>
  <r>
    <s v="CUS00132"/>
    <d v="2025-04-16T00:00:00"/>
    <s v="Missing"/>
    <x v="33"/>
    <s v="Bosaso"/>
    <x v="1"/>
    <n v="10006"/>
    <s v="Missing"/>
    <s v="Bosaso"/>
    <x v="1"/>
    <x v="2"/>
    <x v="0"/>
    <x v="3"/>
  </r>
  <r>
    <s v="CUS00119"/>
    <d v="2025-04-16T00:00:00"/>
    <s v="Female"/>
    <x v="34"/>
    <s v="Mogadishu"/>
    <x v="5"/>
    <n v="799.53"/>
    <s v="Female"/>
    <s v="Mogadishu"/>
    <x v="5"/>
    <x v="1"/>
    <x v="0"/>
    <x v="3"/>
  </r>
  <r>
    <s v="CUS00027"/>
    <d v="2025-04-18T00:00:00"/>
    <s v="Male"/>
    <x v="10"/>
    <s v="Bosaso"/>
    <x v="6"/>
    <n v="923.87"/>
    <s v="Male"/>
    <s v="Bosaso"/>
    <x v="6"/>
    <x v="0"/>
    <x v="0"/>
    <x v="3"/>
  </r>
  <r>
    <s v="CUS00258"/>
    <d v="2025-04-20T00:00:00"/>
    <s v="Male"/>
    <x v="22"/>
    <s v="Garowe"/>
    <x v="0"/>
    <n v="1470.86"/>
    <s v="Male"/>
    <s v="Garowe"/>
    <x v="0"/>
    <x v="0"/>
    <x v="0"/>
    <x v="3"/>
  </r>
  <r>
    <s v="CUS00079"/>
    <d v="2025-04-21T00:00:00"/>
    <s v="Male"/>
    <x v="31"/>
    <s v="Kismayo"/>
    <x v="4"/>
    <n v="120.06"/>
    <s v="Male"/>
    <s v="Kismayo"/>
    <x v="4"/>
    <x v="1"/>
    <x v="0"/>
    <x v="3"/>
  </r>
  <r>
    <s v="CUS00121"/>
    <d v="2025-04-24T00:00:00"/>
    <s v="Male"/>
    <x v="35"/>
    <s v="Mogadishu"/>
    <x v="5"/>
    <n v="680.77"/>
    <s v="Male"/>
    <s v="Mogadishu"/>
    <x v="5"/>
    <x v="1"/>
    <x v="0"/>
    <x v="3"/>
  </r>
  <r>
    <s v="CUS00288"/>
    <d v="2025-04-24T00:00:00"/>
    <s v="Female"/>
    <x v="10"/>
    <s v="Garowe"/>
    <x v="5"/>
    <n v="758.44"/>
    <s v="Female"/>
    <s v="Garowe"/>
    <x v="5"/>
    <x v="1"/>
    <x v="0"/>
    <x v="3"/>
  </r>
  <r>
    <s v="CUS00002"/>
    <d v="2025-04-24T00:00:00"/>
    <s v="Male"/>
    <x v="36"/>
    <s v="Kismayo"/>
    <x v="4"/>
    <n v="129.81"/>
    <s v="Male"/>
    <s v="Kismayo"/>
    <x v="4"/>
    <x v="1"/>
    <x v="0"/>
    <x v="3"/>
  </r>
  <r>
    <s v="CUS00226"/>
    <d v="2025-04-25T00:00:00"/>
    <s v="Male"/>
    <x v="37"/>
    <s v="Mogadishu"/>
    <x v="0"/>
    <n v="930.93"/>
    <s v="Male"/>
    <s v="Mogadishu"/>
    <x v="0"/>
    <x v="0"/>
    <x v="0"/>
    <x v="3"/>
  </r>
  <r>
    <s v="CUS00217"/>
    <d v="2025-04-25T00:00:00"/>
    <s v="Male"/>
    <x v="38"/>
    <s v="Mogadishu"/>
    <x v="6"/>
    <n v="1318.45"/>
    <s v="Male"/>
    <s v="Mogadishu"/>
    <x v="6"/>
    <x v="0"/>
    <x v="0"/>
    <x v="3"/>
  </r>
  <r>
    <m/>
    <d v="2025-04-26T00:00:00"/>
    <s v="Male"/>
    <x v="35"/>
    <s v="Mogadishu"/>
    <x v="5"/>
    <n v="920.19"/>
    <s v="Male"/>
    <s v="Mogadishu"/>
    <x v="5"/>
    <x v="0"/>
    <x v="0"/>
    <x v="3"/>
  </r>
  <r>
    <s v="CUS00146"/>
    <d v="2025-04-26T00:00:00"/>
    <s v="Female"/>
    <x v="28"/>
    <s v="Mogadishu"/>
    <x v="2"/>
    <n v="998.38"/>
    <s v="Female"/>
    <s v="Mogadishu"/>
    <x v="2"/>
    <x v="0"/>
    <x v="0"/>
    <x v="3"/>
  </r>
  <r>
    <s v="CUS00133"/>
    <d v="2025-04-28T00:00:00"/>
    <s v="Female"/>
    <x v="39"/>
    <s v="Kismayo"/>
    <x v="2"/>
    <n v="622.54999999999995"/>
    <s v="Female"/>
    <s v="Kismayo"/>
    <x v="2"/>
    <x v="1"/>
    <x v="0"/>
    <x v="3"/>
  </r>
  <r>
    <s v="CUS00109"/>
    <d v="2025-04-29T00:00:00"/>
    <s v="Female"/>
    <x v="8"/>
    <s v="Kismayo"/>
    <x v="2"/>
    <n v="781.63"/>
    <s v="Female"/>
    <s v="Kismayo"/>
    <x v="2"/>
    <x v="1"/>
    <x v="0"/>
    <x v="3"/>
  </r>
  <r>
    <s v="CUS00246"/>
    <d v="2025-04-30T00:00:00"/>
    <s v="Female"/>
    <x v="33"/>
    <s v="Missing"/>
    <x v="1"/>
    <n v="1081.02"/>
    <s v="Female"/>
    <s v="Missing"/>
    <x v="1"/>
    <x v="0"/>
    <x v="0"/>
    <x v="3"/>
  </r>
  <r>
    <s v="CUS00261"/>
    <d v="2025-05-01T00:00:00"/>
    <s v="Female"/>
    <x v="35"/>
    <s v="Missing"/>
    <x v="5"/>
    <n v="752.98"/>
    <s v="Female"/>
    <s v="Missing"/>
    <x v="5"/>
    <x v="1"/>
    <x v="0"/>
    <x v="4"/>
  </r>
  <r>
    <s v="CUS00149"/>
    <d v="2025-05-01T00:00:00"/>
    <s v="Male"/>
    <x v="40"/>
    <s v="Missing"/>
    <x v="2"/>
    <n v="1436.28"/>
    <s v="Male"/>
    <s v="Missing"/>
    <x v="2"/>
    <x v="0"/>
    <x v="0"/>
    <x v="4"/>
  </r>
  <r>
    <s v="CUS00227"/>
    <d v="2025-05-03T00:00:00"/>
    <s v="Female"/>
    <x v="22"/>
    <s v="Mogadishu"/>
    <x v="3"/>
    <n v="1041.8399999999999"/>
    <s v="Female"/>
    <s v="Mogadishu"/>
    <x v="3"/>
    <x v="0"/>
    <x v="0"/>
    <x v="4"/>
  </r>
  <r>
    <s v="CUS00262"/>
    <d v="2025-05-03T00:00:00"/>
    <s v="Male"/>
    <x v="41"/>
    <s v="Mogadishu"/>
    <x v="3"/>
    <n v="923.87"/>
    <s v="Male"/>
    <s v="Mogadishu"/>
    <x v="3"/>
    <x v="0"/>
    <x v="0"/>
    <x v="4"/>
  </r>
  <r>
    <s v="CUS00245"/>
    <d v="2025-05-04T00:00:00"/>
    <s v="Male"/>
    <x v="27"/>
    <s v="Mogadishu"/>
    <x v="7"/>
    <n v="176.95"/>
    <s v="Male"/>
    <s v="Mogadishu"/>
    <x v="7"/>
    <x v="1"/>
    <x v="0"/>
    <x v="4"/>
  </r>
  <r>
    <s v="CUS00091"/>
    <d v="2025-05-14T00:00:00"/>
    <s v="Male"/>
    <x v="16"/>
    <s v="Mogadishu"/>
    <x v="6"/>
    <n v="895.53"/>
    <s v="Male"/>
    <s v="Mogadishu"/>
    <x v="6"/>
    <x v="0"/>
    <x v="0"/>
    <x v="4"/>
  </r>
  <r>
    <s v="CUS00017"/>
    <d v="2025-05-15T00:00:00"/>
    <s v="Male"/>
    <x v="1"/>
    <s v="Mogadishu"/>
    <x v="7"/>
    <n v="519"/>
    <s v="Male"/>
    <s v="Mogadishu"/>
    <x v="7"/>
    <x v="1"/>
    <x v="0"/>
    <x v="4"/>
  </r>
  <r>
    <s v="CUS00187"/>
    <d v="2025-05-18T00:00:00"/>
    <s v="Male"/>
    <x v="17"/>
    <s v="Kismayo"/>
    <x v="4"/>
    <n v="267.12"/>
    <s v="Male"/>
    <s v="Kismayo"/>
    <x v="4"/>
    <x v="1"/>
    <x v="0"/>
    <x v="4"/>
  </r>
  <r>
    <s v="CUS00128"/>
    <d v="2025-05-24T00:00:00"/>
    <s v="Male"/>
    <x v="25"/>
    <s v="Baidoa"/>
    <x v="2"/>
    <n v="890.48"/>
    <s v="Male"/>
    <s v="Baidoa"/>
    <x v="2"/>
    <x v="0"/>
    <x v="0"/>
    <x v="4"/>
  </r>
  <r>
    <s v="CUS00134"/>
    <d v="2025-05-25T00:00:00"/>
    <s v="Female"/>
    <x v="35"/>
    <s v="Mogadishu"/>
    <x v="2"/>
    <n v="836.33"/>
    <s v="Female"/>
    <s v="Mogadishu"/>
    <x v="2"/>
    <x v="0"/>
    <x v="0"/>
    <x v="4"/>
  </r>
  <r>
    <s v="CUS00012"/>
    <d v="2025-05-27T00:00:00"/>
    <s v="Female"/>
    <x v="34"/>
    <s v="Mogadishu"/>
    <x v="2"/>
    <n v="790.75"/>
    <s v="Female"/>
    <s v="Mogadishu"/>
    <x v="2"/>
    <x v="1"/>
    <x v="0"/>
    <x v="4"/>
  </r>
  <r>
    <s v="CUS00166"/>
    <d v="2025-05-28T00:00:00"/>
    <s v="Male"/>
    <x v="33"/>
    <s v="Mogadishu"/>
    <x v="5"/>
    <n v="868.55"/>
    <s v="Male"/>
    <s v="Mogadishu"/>
    <x v="5"/>
    <x v="0"/>
    <x v="0"/>
    <x v="4"/>
  </r>
  <r>
    <s v="CUS00224"/>
    <d v="2025-05-30T00:00:00"/>
    <s v="Female"/>
    <x v="29"/>
    <s v="Mogadishu"/>
    <x v="0"/>
    <n v="1075.0899999999999"/>
    <s v="Female"/>
    <s v="Mogadishu"/>
    <x v="0"/>
    <x v="0"/>
    <x v="0"/>
    <x v="4"/>
  </r>
  <r>
    <s v="CUS00241"/>
    <d v="2025-06-01T00:00:00"/>
    <s v="Male"/>
    <x v="42"/>
    <s v="Mogadishu"/>
    <x v="2"/>
    <n v="706.35"/>
    <s v="Male"/>
    <s v="Mogadishu"/>
    <x v="2"/>
    <x v="1"/>
    <x v="0"/>
    <x v="5"/>
  </r>
  <r>
    <s v="CUS00021"/>
    <d v="2025-06-04T00:00:00"/>
    <s v="Female"/>
    <x v="7"/>
    <s v="Mogadishu"/>
    <x v="3"/>
    <n v="923.87"/>
    <s v="Female"/>
    <s v="Mogadishu"/>
    <x v="3"/>
    <x v="0"/>
    <x v="0"/>
    <x v="5"/>
  </r>
  <r>
    <s v="CUS00239"/>
    <d v="2025-06-08T00:00:00"/>
    <s v="Missing"/>
    <x v="35"/>
    <s v="Baidoa"/>
    <x v="5"/>
    <n v="453.74"/>
    <s v="Missing"/>
    <s v="Baidoa"/>
    <x v="5"/>
    <x v="1"/>
    <x v="0"/>
    <x v="5"/>
  </r>
  <r>
    <s v="CUS00222"/>
    <d v="2025-06-12T00:00:00"/>
    <s v="Female"/>
    <x v="39"/>
    <s v="Kismayo"/>
    <x v="0"/>
    <n v="1316.09"/>
    <s v="Female"/>
    <s v="Kismayo"/>
    <x v="0"/>
    <x v="0"/>
    <x v="0"/>
    <x v="5"/>
  </r>
  <r>
    <s v="CUS00197"/>
    <d v="2025-06-13T00:00:00"/>
    <s v="Female"/>
    <x v="29"/>
    <s v="Mogadishu"/>
    <x v="5"/>
    <n v="921.62"/>
    <s v="Female"/>
    <s v="Mogadishu"/>
    <x v="5"/>
    <x v="0"/>
    <x v="0"/>
    <x v="5"/>
  </r>
  <r>
    <s v="CUS00083"/>
    <d v="2025-06-14T00:00:00"/>
    <s v="Male"/>
    <x v="43"/>
    <s v="Mogadishu"/>
    <x v="5"/>
    <n v="870.42"/>
    <s v="Male"/>
    <s v="Mogadishu"/>
    <x v="5"/>
    <x v="0"/>
    <x v="0"/>
    <x v="5"/>
  </r>
  <r>
    <s v="CUS00273"/>
    <d v="2025-06-16T00:00:00"/>
    <s v="Female"/>
    <x v="44"/>
    <s v="Mogadishu"/>
    <x v="6"/>
    <n v="453.51"/>
    <s v="Female"/>
    <s v="Mogadishu"/>
    <x v="6"/>
    <x v="1"/>
    <x v="0"/>
    <x v="5"/>
  </r>
  <r>
    <s v="CUS00219"/>
    <d v="2025-06-19T00:00:00"/>
    <s v="Female"/>
    <x v="26"/>
    <s v="Hargeisa"/>
    <x v="1"/>
    <n v="1155.3399999999999"/>
    <s v="Female"/>
    <s v="Hargeisa"/>
    <x v="1"/>
    <x v="0"/>
    <x v="0"/>
    <x v="5"/>
  </r>
  <r>
    <s v="CUS00048"/>
    <d v="2025-06-20T00:00:00"/>
    <s v="Male"/>
    <x v="45"/>
    <s v="Mogadishu"/>
    <x v="4"/>
    <n v="256.8"/>
    <s v="Male"/>
    <s v="Mogadishu"/>
    <x v="4"/>
    <x v="1"/>
    <x v="0"/>
    <x v="5"/>
  </r>
  <r>
    <s v="CUS00003"/>
    <d v="2025-06-22T00:00:00"/>
    <s v="Female"/>
    <x v="41"/>
    <s v="Mogadishu"/>
    <x v="2"/>
    <n v="923.87"/>
    <s v="Female"/>
    <s v="Mogadishu"/>
    <x v="2"/>
    <x v="0"/>
    <x v="0"/>
    <x v="5"/>
  </r>
  <r>
    <s v="CUS00272"/>
    <d v="2025-06-24T00:00:00"/>
    <s v="Female"/>
    <x v="31"/>
    <s v="Kismayo"/>
    <x v="7"/>
    <n v="838.84"/>
    <s v="Female"/>
    <s v="Kismayo"/>
    <x v="7"/>
    <x v="0"/>
    <x v="0"/>
    <x v="5"/>
  </r>
  <r>
    <s v="CUS00189"/>
    <d v="2025-06-25T00:00:00"/>
    <s v="Male"/>
    <x v="14"/>
    <s v="Garowe"/>
    <x v="5"/>
    <n v="919.61"/>
    <s v="Male"/>
    <s v="Garowe"/>
    <x v="5"/>
    <x v="0"/>
    <x v="0"/>
    <x v="5"/>
  </r>
  <r>
    <s v="CUS00043"/>
    <d v="2025-06-25T00:00:00"/>
    <s v="Missing"/>
    <x v="8"/>
    <s v="Mogadishu"/>
    <x v="3"/>
    <n v="885.26"/>
    <s v="Missing"/>
    <s v="Mogadishu"/>
    <x v="3"/>
    <x v="0"/>
    <x v="0"/>
    <x v="5"/>
  </r>
  <r>
    <s v="CUS00019"/>
    <d v="2025-06-29T00:00:00"/>
    <s v="Male"/>
    <x v="21"/>
    <s v="Kismayo"/>
    <x v="5"/>
    <n v="464.6"/>
    <s v="Male"/>
    <s v="Kismayo"/>
    <x v="5"/>
    <x v="1"/>
    <x v="0"/>
    <x v="5"/>
  </r>
  <r>
    <s v="CUS00042"/>
    <d v="2025-07-01T00:00:00"/>
    <s v="Female"/>
    <x v="10"/>
    <s v="Hargeisa"/>
    <x v="5"/>
    <n v="648.57000000000005"/>
    <s v="Female"/>
    <s v="Hargeisa"/>
    <x v="5"/>
    <x v="1"/>
    <x v="0"/>
    <x v="6"/>
  </r>
  <r>
    <s v="CUS00152"/>
    <d v="2025-07-02T00:00:00"/>
    <s v="Female"/>
    <x v="10"/>
    <s v="Hargeisa"/>
    <x v="6"/>
    <n v="756.75"/>
    <s v="Female"/>
    <s v="Hargeisa"/>
    <x v="6"/>
    <x v="1"/>
    <x v="0"/>
    <x v="6"/>
  </r>
  <r>
    <s v="CUS00214"/>
    <d v="2025-07-07T00:00:00"/>
    <s v="Female"/>
    <x v="38"/>
    <s v="Kismayo"/>
    <x v="0"/>
    <n v="660.22"/>
    <s v="Female"/>
    <s v="Kismayo"/>
    <x v="0"/>
    <x v="1"/>
    <x v="0"/>
    <x v="6"/>
  </r>
  <r>
    <s v="CUS00183"/>
    <d v="2025-07-08T00:00:00"/>
    <s v="Female"/>
    <x v="9"/>
    <s v="Baidoa"/>
    <x v="4"/>
    <n v="275.93"/>
    <s v="Female"/>
    <s v="Baidoa"/>
    <x v="4"/>
    <x v="1"/>
    <x v="0"/>
    <x v="6"/>
  </r>
  <r>
    <s v="CUS00150"/>
    <d v="2025-07-08T00:00:00"/>
    <s v="Male"/>
    <x v="6"/>
    <s v="Hargeisa"/>
    <x v="6"/>
    <n v="1032.69"/>
    <s v="Male"/>
    <s v="Hargeisa"/>
    <x v="6"/>
    <x v="0"/>
    <x v="0"/>
    <x v="6"/>
  </r>
  <r>
    <s v="CUS00004"/>
    <d v="2025-07-09T00:00:00"/>
    <s v="Female"/>
    <x v="26"/>
    <s v="Mogadishu"/>
    <x v="5"/>
    <n v="648.44000000000005"/>
    <s v="Female"/>
    <s v="Mogadishu"/>
    <x v="5"/>
    <x v="1"/>
    <x v="0"/>
    <x v="6"/>
  </r>
  <r>
    <s v="CUS00286"/>
    <d v="2025-07-10T00:00:00"/>
    <s v="Male"/>
    <x v="9"/>
    <s v="Bosaso"/>
    <x v="4"/>
    <n v="108.23"/>
    <s v="Male"/>
    <s v="Bosaso"/>
    <x v="4"/>
    <x v="1"/>
    <x v="0"/>
    <x v="6"/>
  </r>
  <r>
    <s v="CUS00135"/>
    <d v="2025-07-12T00:00:00"/>
    <s v="Female"/>
    <x v="40"/>
    <s v="Mogadishu"/>
    <x v="0"/>
    <n v="1137.1600000000001"/>
    <s v="Female"/>
    <s v="Mogadishu"/>
    <x v="0"/>
    <x v="0"/>
    <x v="0"/>
    <x v="6"/>
  </r>
  <r>
    <s v="CUS00254"/>
    <d v="2025-07-19T00:00:00"/>
    <s v="Male"/>
    <x v="14"/>
    <s v="Baidoa"/>
    <x v="4"/>
    <n v="152.91999999999999"/>
    <s v="Male"/>
    <s v="Baidoa"/>
    <x v="4"/>
    <x v="1"/>
    <x v="0"/>
    <x v="6"/>
  </r>
  <r>
    <s v="CUS00100"/>
    <d v="2025-07-20T00:00:00"/>
    <s v="Female"/>
    <x v="46"/>
    <s v="Mogadishu"/>
    <x v="2"/>
    <n v="1421.07"/>
    <s v="Female"/>
    <s v="Mogadishu"/>
    <x v="2"/>
    <x v="0"/>
    <x v="0"/>
    <x v="6"/>
  </r>
  <r>
    <s v="CUS00060"/>
    <d v="2025-07-23T00:00:00"/>
    <s v="Female"/>
    <x v="36"/>
    <s v="Mogadishu"/>
    <x v="6"/>
    <n v="444.76"/>
    <s v="Female"/>
    <s v="Mogadishu"/>
    <x v="6"/>
    <x v="1"/>
    <x v="0"/>
    <x v="6"/>
  </r>
  <r>
    <s v="CUS00078"/>
    <d v="2025-07-24T00:00:00"/>
    <s v="Female"/>
    <x v="47"/>
    <s v="Mogadishu"/>
    <x v="7"/>
    <n v="691.63"/>
    <s v="Female"/>
    <s v="Mogadishu"/>
    <x v="7"/>
    <x v="1"/>
    <x v="0"/>
    <x v="6"/>
  </r>
  <r>
    <s v="CUS00154"/>
    <d v="2025-07-26T00:00:00"/>
    <s v="Female"/>
    <x v="48"/>
    <s v="Hargeisa"/>
    <x v="0"/>
    <n v="785.37"/>
    <s v="Female"/>
    <s v="Hargeisa"/>
    <x v="0"/>
    <x v="1"/>
    <x v="0"/>
    <x v="6"/>
  </r>
  <r>
    <s v="CUS00175"/>
    <d v="2025-07-30T00:00:00"/>
    <s v="Female"/>
    <x v="24"/>
    <s v="Hargeisa"/>
    <x v="5"/>
    <n v="856.56"/>
    <s v="Female"/>
    <s v="Hargeisa"/>
    <x v="5"/>
    <x v="0"/>
    <x v="0"/>
    <x v="6"/>
  </r>
  <r>
    <s v="CUS00140"/>
    <d v="2025-08-02T00:00:00"/>
    <s v="Male"/>
    <x v="2"/>
    <s v="Mogadishu"/>
    <x v="4"/>
    <n v="167.65"/>
    <s v="Male"/>
    <s v="Mogadishu"/>
    <x v="4"/>
    <x v="1"/>
    <x v="0"/>
    <x v="7"/>
  </r>
  <r>
    <s v="CUS00210"/>
    <d v="2025-08-04T00:00:00"/>
    <s v="Male"/>
    <x v="18"/>
    <s v="Kismayo"/>
    <x v="1"/>
    <n v="1064.4100000000001"/>
    <s v="Male"/>
    <s v="Kismayo"/>
    <x v="1"/>
    <x v="0"/>
    <x v="0"/>
    <x v="7"/>
  </r>
  <r>
    <s v="CUS00007"/>
    <d v="2025-08-05T00:00:00"/>
    <s v="Male"/>
    <x v="49"/>
    <s v="Mogadishu"/>
    <x v="3"/>
    <n v="839.71"/>
    <s v="Male"/>
    <s v="Mogadishu"/>
    <x v="3"/>
    <x v="0"/>
    <x v="0"/>
    <x v="7"/>
  </r>
  <r>
    <s v="CUS00065"/>
    <d v="2025-08-05T00:00:00"/>
    <s v="Male"/>
    <x v="18"/>
    <s v="Baidoa"/>
    <x v="7"/>
    <n v="481.21"/>
    <s v="Male"/>
    <s v="Baidoa"/>
    <x v="7"/>
    <x v="1"/>
    <x v="0"/>
    <x v="7"/>
  </r>
  <r>
    <s v="CUS00106"/>
    <d v="2025-08-06T00:00:00"/>
    <s v="Male"/>
    <x v="29"/>
    <s v="Hargeisa"/>
    <x v="8"/>
    <n v="923.87"/>
    <s v="Male"/>
    <s v="Hargeisa"/>
    <x v="3"/>
    <x v="0"/>
    <x v="0"/>
    <x v="7"/>
  </r>
  <r>
    <s v="CUS00228"/>
    <d v="2025-08-06T00:00:00"/>
    <s v="Male"/>
    <x v="24"/>
    <s v="Bosaso"/>
    <x v="5"/>
    <n v="923.87"/>
    <s v="Male"/>
    <s v="Bosaso"/>
    <x v="5"/>
    <x v="0"/>
    <x v="0"/>
    <x v="7"/>
  </r>
  <r>
    <s v="CUS00194"/>
    <d v="2025-08-07T00:00:00"/>
    <s v="Male"/>
    <x v="50"/>
    <s v="Kismayo"/>
    <x v="5"/>
    <n v="818.19"/>
    <s v="Male"/>
    <s v="Kismayo"/>
    <x v="5"/>
    <x v="0"/>
    <x v="0"/>
    <x v="7"/>
  </r>
  <r>
    <s v="CUS00131"/>
    <d v="2025-08-08T00:00:00"/>
    <s v="Female"/>
    <x v="23"/>
    <s v="Mogadishu"/>
    <x v="4"/>
    <n v="923.87"/>
    <s v="Female"/>
    <s v="Mogadishu"/>
    <x v="4"/>
    <x v="0"/>
    <x v="0"/>
    <x v="7"/>
  </r>
  <r>
    <m/>
    <d v="2025-08-09T00:00:00"/>
    <s v="Male"/>
    <x v="12"/>
    <s v="Mogadishu"/>
    <x v="6"/>
    <n v="944.96"/>
    <s v="Male"/>
    <s v="Mogadishu"/>
    <x v="6"/>
    <x v="0"/>
    <x v="0"/>
    <x v="7"/>
  </r>
  <r>
    <s v="CUS00160"/>
    <d v="2025-08-10T00:00:00"/>
    <s v="Male"/>
    <x v="26"/>
    <s v="Hargeisa"/>
    <x v="0"/>
    <n v="1672.71"/>
    <s v="Male"/>
    <s v="Hargeisa"/>
    <x v="0"/>
    <x v="2"/>
    <x v="0"/>
    <x v="7"/>
  </r>
  <r>
    <s v="CUS00053"/>
    <d v="2025-08-12T00:00:00"/>
    <s v="Male"/>
    <x v="37"/>
    <s v="Mogadishu"/>
    <x v="5"/>
    <n v="665.8"/>
    <s v="Male"/>
    <s v="Mogadishu"/>
    <x v="5"/>
    <x v="1"/>
    <x v="0"/>
    <x v="7"/>
  </r>
  <r>
    <s v="CUS00102"/>
    <d v="2025-08-12T00:00:00"/>
    <s v="Male"/>
    <x v="45"/>
    <s v="Missing"/>
    <x v="4"/>
    <n v="183.1"/>
    <s v="Male"/>
    <s v="Missing"/>
    <x v="4"/>
    <x v="1"/>
    <x v="0"/>
    <x v="7"/>
  </r>
  <r>
    <s v="CUS00180"/>
    <d v="2025-08-14T00:00:00"/>
    <s v="Male"/>
    <x v="28"/>
    <s v="Mogadishu"/>
    <x v="6"/>
    <n v="961.13"/>
    <s v="Male"/>
    <s v="Mogadishu"/>
    <x v="6"/>
    <x v="0"/>
    <x v="0"/>
    <x v="7"/>
  </r>
  <r>
    <s v="CUS00255"/>
    <d v="2025-08-15T00:00:00"/>
    <s v="Male"/>
    <x v="25"/>
    <s v="Baidoa"/>
    <x v="2"/>
    <n v="1429.26"/>
    <s v="Male"/>
    <s v="Baidoa"/>
    <x v="2"/>
    <x v="0"/>
    <x v="0"/>
    <x v="7"/>
  </r>
  <r>
    <s v="CUS00221"/>
    <d v="2025-08-15T00:00:00"/>
    <s v="Male"/>
    <x v="10"/>
    <s v="Mogadishu"/>
    <x v="0"/>
    <n v="1300.01"/>
    <s v="Male"/>
    <s v="Mogadishu"/>
    <x v="0"/>
    <x v="0"/>
    <x v="0"/>
    <x v="7"/>
  </r>
  <r>
    <s v="CUS00268"/>
    <d v="2025-08-15T00:00:00"/>
    <s v="Female"/>
    <x v="11"/>
    <s v="Kismayo"/>
    <x v="2"/>
    <n v="1610.81"/>
    <s v="Female"/>
    <s v="Kismayo"/>
    <x v="2"/>
    <x v="2"/>
    <x v="0"/>
    <x v="7"/>
  </r>
  <r>
    <s v="CUS00275"/>
    <d v="2025-08-15T00:00:00"/>
    <s v="Male"/>
    <x v="24"/>
    <s v="Hargeisa"/>
    <x v="5"/>
    <n v="508.66"/>
    <s v="Male"/>
    <s v="Hargeisa"/>
    <x v="5"/>
    <x v="1"/>
    <x v="0"/>
    <x v="7"/>
  </r>
  <r>
    <s v="CUS00122"/>
    <d v="2025-08-17T00:00:00"/>
    <s v="Female"/>
    <x v="48"/>
    <s v="Hargeisa"/>
    <x v="6"/>
    <n v="712.55"/>
    <s v="Female"/>
    <s v="Hargeisa"/>
    <x v="6"/>
    <x v="1"/>
    <x v="0"/>
    <x v="7"/>
  </r>
  <r>
    <s v="CUS00118"/>
    <d v="2025-08-21T00:00:00"/>
    <s v="Male"/>
    <x v="48"/>
    <s v="Missing"/>
    <x v="4"/>
    <n v="923.87"/>
    <s v="Male"/>
    <s v="Missing"/>
    <x v="4"/>
    <x v="0"/>
    <x v="0"/>
    <x v="7"/>
  </r>
  <r>
    <s v="CUS00182"/>
    <d v="2025-08-23T00:00:00"/>
    <s v="Male"/>
    <x v="8"/>
    <s v="Kismayo"/>
    <x v="1"/>
    <n v="1126.8900000000001"/>
    <s v="Male"/>
    <s v="Kismayo"/>
    <x v="1"/>
    <x v="0"/>
    <x v="0"/>
    <x v="7"/>
  </r>
  <r>
    <s v="CUS00237"/>
    <d v="2025-08-23T00:00:00"/>
    <s v="Male"/>
    <x v="10"/>
    <s v="Bosaso"/>
    <x v="0"/>
    <n v="895.93"/>
    <s v="Male"/>
    <s v="Bosaso"/>
    <x v="0"/>
    <x v="0"/>
    <x v="0"/>
    <x v="7"/>
  </r>
  <r>
    <s v="CUS00171"/>
    <d v="2025-08-24T00:00:00"/>
    <s v="Male"/>
    <x v="31"/>
    <s v="Hargeisa"/>
    <x v="2"/>
    <n v="1386"/>
    <s v="Male"/>
    <s v="Hargeisa"/>
    <x v="2"/>
    <x v="0"/>
    <x v="0"/>
    <x v="7"/>
  </r>
  <r>
    <s v="CUS00209"/>
    <d v="2025-08-26T00:00:00"/>
    <s v="Female"/>
    <x v="28"/>
    <s v="Mogadishu"/>
    <x v="5"/>
    <n v="923.87"/>
    <s v="Female"/>
    <s v="Mogadishu"/>
    <x v="5"/>
    <x v="0"/>
    <x v="0"/>
    <x v="7"/>
  </r>
  <r>
    <s v="CUS00143"/>
    <d v="2025-08-27T00:00:00"/>
    <s v="Male"/>
    <x v="17"/>
    <s v="Bosaso"/>
    <x v="2"/>
    <n v="1481.76"/>
    <s v="Male"/>
    <s v="Bosaso"/>
    <x v="2"/>
    <x v="0"/>
    <x v="0"/>
    <x v="7"/>
  </r>
  <r>
    <s v="CUS00056"/>
    <d v="2025-08-30T00:00:00"/>
    <s v="Male"/>
    <x v="41"/>
    <s v="Kismayo"/>
    <x v="5"/>
    <n v="828.77"/>
    <s v="Male"/>
    <s v="Kismayo"/>
    <x v="5"/>
    <x v="0"/>
    <x v="0"/>
    <x v="7"/>
  </r>
  <r>
    <s v="CUS00285"/>
    <d v="2025-08-31T00:00:00"/>
    <s v="Female"/>
    <x v="30"/>
    <s v="Hargeisa"/>
    <x v="7"/>
    <n v="721.11"/>
    <s v="Female"/>
    <s v="Hargeisa"/>
    <x v="7"/>
    <x v="1"/>
    <x v="0"/>
    <x v="7"/>
  </r>
  <r>
    <s v="CUS00229"/>
    <d v="2025-09-02T00:00:00"/>
    <s v="Female"/>
    <x v="0"/>
    <s v="Mogadishu"/>
    <x v="7"/>
    <n v="911.36"/>
    <s v="Female"/>
    <s v="Mogadishu"/>
    <x v="7"/>
    <x v="0"/>
    <x v="0"/>
    <x v="8"/>
  </r>
  <r>
    <m/>
    <d v="2025-09-08T00:00:00"/>
    <s v="Female"/>
    <x v="27"/>
    <s v="Garowe"/>
    <x v="0"/>
    <n v="1614.28"/>
    <s v="Female"/>
    <s v="Garowe"/>
    <x v="0"/>
    <x v="2"/>
    <x v="0"/>
    <x v="8"/>
  </r>
  <r>
    <s v="CUS00063"/>
    <d v="2025-09-13T00:00:00"/>
    <s v="Female"/>
    <x v="6"/>
    <s v="Mogadishu"/>
    <x v="6"/>
    <n v="1156.93"/>
    <s v="Female"/>
    <s v="Mogadishu"/>
    <x v="6"/>
    <x v="0"/>
    <x v="0"/>
    <x v="8"/>
  </r>
  <r>
    <s v="CUS00213"/>
    <d v="2025-09-17T00:00:00"/>
    <s v="Female"/>
    <x v="27"/>
    <s v="Baidoa"/>
    <x v="2"/>
    <n v="1425.97"/>
    <s v="Female"/>
    <s v="Baidoa"/>
    <x v="2"/>
    <x v="0"/>
    <x v="0"/>
    <x v="8"/>
  </r>
  <r>
    <s v="CUS00112"/>
    <d v="2025-09-18T00:00:00"/>
    <s v="Female"/>
    <x v="3"/>
    <s v="Kismayo"/>
    <x v="0"/>
    <n v="677.55"/>
    <s v="Female"/>
    <s v="Kismayo"/>
    <x v="0"/>
    <x v="1"/>
    <x v="0"/>
    <x v="8"/>
  </r>
  <r>
    <s v="CUS00216"/>
    <d v="2025-09-19T00:00:00"/>
    <s v="Female"/>
    <x v="7"/>
    <s v="Hargeisa"/>
    <x v="3"/>
    <n v="916.62"/>
    <s v="Female"/>
    <s v="Hargeisa"/>
    <x v="3"/>
    <x v="0"/>
    <x v="0"/>
    <x v="8"/>
  </r>
  <r>
    <s v="CUS00164"/>
    <d v="2025-09-25T00:00:00"/>
    <s v="Female"/>
    <x v="39"/>
    <s v="Mogadishu"/>
    <x v="0"/>
    <n v="1013.28"/>
    <s v="Female"/>
    <s v="Mogadishu"/>
    <x v="0"/>
    <x v="0"/>
    <x v="0"/>
    <x v="8"/>
  </r>
  <r>
    <s v="CUS00040"/>
    <d v="2025-09-25T00:00:00"/>
    <s v="Female"/>
    <x v="4"/>
    <s v="Mogadishu"/>
    <x v="3"/>
    <n v="656.1"/>
    <s v="Female"/>
    <s v="Mogadishu"/>
    <x v="3"/>
    <x v="1"/>
    <x v="0"/>
    <x v="8"/>
  </r>
  <r>
    <s v="CUS00232"/>
    <d v="2025-09-28T00:00:00"/>
    <s v="Female"/>
    <x v="28"/>
    <s v="Hargeisa"/>
    <x v="7"/>
    <n v="667.7"/>
    <s v="Female"/>
    <s v="Hargeisa"/>
    <x v="7"/>
    <x v="1"/>
    <x v="0"/>
    <x v="8"/>
  </r>
  <r>
    <s v="CUS00123"/>
    <d v="2025-09-30T00:00:00"/>
    <s v="Female"/>
    <x v="4"/>
    <s v="Mogadishu"/>
    <x v="0"/>
    <n v="969.34"/>
    <s v="Female"/>
    <s v="Mogadishu"/>
    <x v="0"/>
    <x v="0"/>
    <x v="0"/>
    <x v="8"/>
  </r>
  <r>
    <s v="CUS00264"/>
    <d v="2025-10-01T00:00:00"/>
    <s v="Male"/>
    <x v="43"/>
    <s v="Mogadishu"/>
    <x v="7"/>
    <n v="843.99"/>
    <s v="Male"/>
    <s v="Mogadishu"/>
    <x v="7"/>
    <x v="0"/>
    <x v="0"/>
    <x v="9"/>
  </r>
  <r>
    <s v="CUS00198"/>
    <d v="2025-10-02T00:00:00"/>
    <s v="Female"/>
    <x v="1"/>
    <s v="Garowe"/>
    <x v="1"/>
    <n v="1332.38"/>
    <s v="Female"/>
    <s v="Garowe"/>
    <x v="1"/>
    <x v="0"/>
    <x v="0"/>
    <x v="9"/>
  </r>
  <r>
    <s v="CUS00033"/>
    <d v="2025-10-02T00:00:00"/>
    <s v="Male"/>
    <x v="21"/>
    <s v="Kismayo"/>
    <x v="3"/>
    <n v="1108.6199999999999"/>
    <s v="Male"/>
    <s v="Kismayo"/>
    <x v="3"/>
    <x v="0"/>
    <x v="0"/>
    <x v="9"/>
  </r>
  <r>
    <s v="CUS00139"/>
    <d v="2025-10-04T00:00:00"/>
    <s v="Male"/>
    <x v="32"/>
    <s v="Bosaso"/>
    <x v="3"/>
    <n v="897.29"/>
    <s v="Male"/>
    <s v="Bosaso"/>
    <x v="3"/>
    <x v="0"/>
    <x v="0"/>
    <x v="9"/>
  </r>
  <r>
    <s v="CUS00077"/>
    <d v="2025-10-07T00:00:00"/>
    <s v="Female"/>
    <x v="10"/>
    <s v="Bosaso"/>
    <x v="4"/>
    <n v="265.52"/>
    <s v="Female"/>
    <s v="Bosaso"/>
    <x v="4"/>
    <x v="1"/>
    <x v="0"/>
    <x v="9"/>
  </r>
  <r>
    <s v="CUS00153"/>
    <d v="2025-10-08T00:00:00"/>
    <s v="Male"/>
    <x v="18"/>
    <s v="Kismayo"/>
    <x v="4"/>
    <n v="316.74"/>
    <s v="Male"/>
    <s v="Kismayo"/>
    <x v="4"/>
    <x v="1"/>
    <x v="0"/>
    <x v="9"/>
  </r>
  <r>
    <s v="CUS00144"/>
    <d v="2025-10-11T00:00:00"/>
    <s v="Male"/>
    <x v="16"/>
    <s v="Hargeisa"/>
    <x v="6"/>
    <n v="438.08"/>
    <s v="Male"/>
    <s v="Hargeisa"/>
    <x v="6"/>
    <x v="1"/>
    <x v="0"/>
    <x v="9"/>
  </r>
  <r>
    <s v="CUS00069"/>
    <d v="2025-10-12T00:00:00"/>
    <s v="Missing"/>
    <x v="42"/>
    <s v="Bosaso"/>
    <x v="2"/>
    <n v="1155.95"/>
    <s v="Missing"/>
    <s v="Bosaso"/>
    <x v="2"/>
    <x v="0"/>
    <x v="0"/>
    <x v="9"/>
  </r>
  <r>
    <s v="CUS00086"/>
    <d v="2025-10-13T00:00:00"/>
    <s v="Male"/>
    <x v="51"/>
    <s v="Mogadishu"/>
    <x v="2"/>
    <n v="796.52"/>
    <s v="Male"/>
    <s v="Mogadishu"/>
    <x v="2"/>
    <x v="1"/>
    <x v="0"/>
    <x v="9"/>
  </r>
  <r>
    <m/>
    <d v="2025-10-15T00:00:00"/>
    <s v="Female"/>
    <x v="33"/>
    <s v="Bosaso"/>
    <x v="1"/>
    <n v="1200.17"/>
    <s v="Female"/>
    <s v="Bosaso"/>
    <x v="1"/>
    <x v="0"/>
    <x v="0"/>
    <x v="9"/>
  </r>
  <r>
    <s v="CUS00256"/>
    <d v="2025-10-20T00:00:00"/>
    <s v="Missing"/>
    <x v="25"/>
    <s v="Mogadishu"/>
    <x v="0"/>
    <n v="1996.92"/>
    <s v="Missing"/>
    <s v="Mogadishu"/>
    <x v="0"/>
    <x v="2"/>
    <x v="0"/>
    <x v="9"/>
  </r>
  <r>
    <s v="CUS00088"/>
    <d v="2025-10-21T00:00:00"/>
    <s v="Female"/>
    <x v="17"/>
    <s v="Mogadishu"/>
    <x v="5"/>
    <n v="896.23"/>
    <s v="Female"/>
    <s v="Mogadishu"/>
    <x v="5"/>
    <x v="0"/>
    <x v="0"/>
    <x v="9"/>
  </r>
  <r>
    <s v="CUS00026"/>
    <d v="2025-10-24T00:00:00"/>
    <s v="Female"/>
    <x v="16"/>
    <s v="Mogadishu"/>
    <x v="4"/>
    <n v="295.45"/>
    <s v="Female"/>
    <s v="Mogadishu"/>
    <x v="4"/>
    <x v="1"/>
    <x v="0"/>
    <x v="9"/>
  </r>
  <r>
    <s v="CUS00282"/>
    <d v="2025-10-26T00:00:00"/>
    <s v="Male"/>
    <x v="20"/>
    <s v="Bosaso"/>
    <x v="3"/>
    <n v="862.99"/>
    <s v="Male"/>
    <s v="Bosaso"/>
    <x v="3"/>
    <x v="0"/>
    <x v="0"/>
    <x v="9"/>
  </r>
  <r>
    <m/>
    <d v="2025-10-27T00:00:00"/>
    <s v="Male"/>
    <x v="43"/>
    <s v="Hargeisa"/>
    <x v="1"/>
    <n v="947.64"/>
    <s v="Male"/>
    <s v="Hargeisa"/>
    <x v="1"/>
    <x v="0"/>
    <x v="0"/>
    <x v="9"/>
  </r>
  <r>
    <s v="CUS00114"/>
    <d v="2025-10-28T00:00:00"/>
    <s v="Male"/>
    <x v="15"/>
    <s v="Bosaso"/>
    <x v="4"/>
    <n v="265.83999999999997"/>
    <s v="Male"/>
    <s v="Bosaso"/>
    <x v="4"/>
    <x v="1"/>
    <x v="0"/>
    <x v="9"/>
  </r>
  <r>
    <s v="CUS00051"/>
    <d v="2025-10-30T00:00:00"/>
    <s v="Female"/>
    <x v="2"/>
    <s v="Hargeisa"/>
    <x v="6"/>
    <n v="728.45"/>
    <s v="Female"/>
    <s v="Hargeisa"/>
    <x v="6"/>
    <x v="1"/>
    <x v="0"/>
    <x v="9"/>
  </r>
  <r>
    <s v="CUS00089"/>
    <d v="2025-11-02T00:00:00"/>
    <s v="Female"/>
    <x v="3"/>
    <s v="Bosaso"/>
    <x v="6"/>
    <n v="463.46"/>
    <s v="Female"/>
    <s v="Bosaso"/>
    <x v="6"/>
    <x v="1"/>
    <x v="0"/>
    <x v="10"/>
  </r>
  <r>
    <s v="CUS00242"/>
    <d v="2025-11-05T00:00:00"/>
    <s v="Female"/>
    <x v="16"/>
    <s v="Bosaso"/>
    <x v="6"/>
    <n v="1234.8800000000001"/>
    <s v="Female"/>
    <s v="Bosaso"/>
    <x v="6"/>
    <x v="0"/>
    <x v="0"/>
    <x v="10"/>
  </r>
  <r>
    <s v="CUS00105"/>
    <d v="2025-11-07T00:00:00"/>
    <s v="Female"/>
    <x v="27"/>
    <s v="Mogadishu"/>
    <x v="6"/>
    <n v="790.7"/>
    <s v="Female"/>
    <s v="Mogadishu"/>
    <x v="6"/>
    <x v="1"/>
    <x v="0"/>
    <x v="10"/>
  </r>
  <r>
    <s v="CUS00172"/>
    <d v="2025-11-09T00:00:00"/>
    <s v="Female"/>
    <x v="13"/>
    <s v="Bosaso"/>
    <x v="5"/>
    <n v="415.78"/>
    <s v="Female"/>
    <s v="Bosaso"/>
    <x v="5"/>
    <x v="1"/>
    <x v="0"/>
    <x v="10"/>
  </r>
  <r>
    <s v="CUS00161"/>
    <d v="2025-11-12T00:00:00"/>
    <s v="Male"/>
    <x v="16"/>
    <s v="Kismayo"/>
    <x v="3"/>
    <n v="872.34"/>
    <s v="Male"/>
    <s v="Kismayo"/>
    <x v="3"/>
    <x v="0"/>
    <x v="0"/>
    <x v="10"/>
  </r>
  <r>
    <s v="CUS00225"/>
    <d v="2025-11-14T00:00:00"/>
    <s v="Missing"/>
    <x v="13"/>
    <s v="Mogadishu"/>
    <x v="3"/>
    <n v="395.84"/>
    <s v="Missing"/>
    <s v="Mogadishu"/>
    <x v="3"/>
    <x v="1"/>
    <x v="0"/>
    <x v="10"/>
  </r>
  <r>
    <s v="CUS00028"/>
    <d v="2025-11-15T00:00:00"/>
    <s v="Male"/>
    <x v="12"/>
    <s v="Mogadishu"/>
    <x v="4"/>
    <n v="247.93"/>
    <s v="Male"/>
    <s v="Mogadishu"/>
    <x v="4"/>
    <x v="1"/>
    <x v="0"/>
    <x v="10"/>
  </r>
  <r>
    <s v="CUS00126"/>
    <d v="2025-11-17T00:00:00"/>
    <s v="Missing"/>
    <x v="17"/>
    <s v="Baidoa"/>
    <x v="2"/>
    <n v="1045.8599999999999"/>
    <s v="Missing"/>
    <s v="Baidoa"/>
    <x v="2"/>
    <x v="0"/>
    <x v="0"/>
    <x v="10"/>
  </r>
  <r>
    <m/>
    <d v="2025-11-21T00:00:00"/>
    <s v="Male"/>
    <x v="2"/>
    <s v="Baidoa"/>
    <x v="1"/>
    <n v="1396.84"/>
    <s v="Male"/>
    <s v="Baidoa"/>
    <x v="1"/>
    <x v="0"/>
    <x v="0"/>
    <x v="10"/>
  </r>
  <r>
    <s v="CUS00125"/>
    <d v="2025-11-21T00:00:00"/>
    <s v="Male"/>
    <x v="19"/>
    <s v="Mogadishu"/>
    <x v="0"/>
    <n v="1086.6400000000001"/>
    <s v="Male"/>
    <s v="Mogadishu"/>
    <x v="0"/>
    <x v="0"/>
    <x v="0"/>
    <x v="10"/>
  </r>
  <r>
    <s v="CUS00110"/>
    <d v="2025-11-22T00:00:00"/>
    <s v="Female"/>
    <x v="50"/>
    <s v="Mogadishu"/>
    <x v="0"/>
    <n v="923.87"/>
    <s v="Female"/>
    <s v="Mogadishu"/>
    <x v="0"/>
    <x v="0"/>
    <x v="0"/>
    <x v="10"/>
  </r>
  <r>
    <s v="CUS00001"/>
    <d v="2025-11-23T00:00:00"/>
    <s v="Female"/>
    <x v="31"/>
    <s v="Kismayo"/>
    <x v="2"/>
    <n v="797.52"/>
    <s v="Female"/>
    <s v="Kismayo"/>
    <x v="2"/>
    <x v="1"/>
    <x v="0"/>
    <x v="10"/>
  </r>
  <r>
    <s v="CUS00289"/>
    <d v="2025-11-30T00:00:00"/>
    <s v="Male"/>
    <x v="33"/>
    <s v="Mogadishu"/>
    <x v="5"/>
    <n v="374.63"/>
    <s v="Male"/>
    <s v="Mogadishu"/>
    <x v="5"/>
    <x v="1"/>
    <x v="0"/>
    <x v="10"/>
  </r>
  <r>
    <s v="CUS00274"/>
    <d v="2025-12-07T00:00:00"/>
    <s v="Female"/>
    <x v="27"/>
    <s v="Mogadishu"/>
    <x v="0"/>
    <n v="1651.76"/>
    <s v="Female"/>
    <s v="Mogadishu"/>
    <x v="0"/>
    <x v="2"/>
    <x v="0"/>
    <x v="11"/>
  </r>
  <r>
    <s v="CUS00167"/>
    <d v="2025-12-07T00:00:00"/>
    <s v="Female"/>
    <x v="22"/>
    <s v="Garowe"/>
    <x v="5"/>
    <n v="853.86"/>
    <s v="Female"/>
    <s v="Garowe"/>
    <x v="5"/>
    <x v="0"/>
    <x v="0"/>
    <x v="11"/>
  </r>
  <r>
    <s v="CUS00260"/>
    <d v="2025-12-07T00:00:00"/>
    <s v="Female"/>
    <x v="3"/>
    <s v="Kismayo"/>
    <x v="0"/>
    <n v="1210.32"/>
    <s v="Female"/>
    <s v="Kismayo"/>
    <x v="0"/>
    <x v="0"/>
    <x v="0"/>
    <x v="11"/>
  </r>
  <r>
    <s v="CUS00047"/>
    <d v="2025-12-09T00:00:00"/>
    <s v="Female"/>
    <x v="8"/>
    <s v="Mogadishu"/>
    <x v="2"/>
    <n v="624.91999999999996"/>
    <s v="Female"/>
    <s v="Mogadishu"/>
    <x v="2"/>
    <x v="1"/>
    <x v="0"/>
    <x v="11"/>
  </r>
  <r>
    <s v="CUS00094"/>
    <d v="2025-12-10T00:00:00"/>
    <s v="Male"/>
    <x v="40"/>
    <s v="Kismayo"/>
    <x v="2"/>
    <n v="1229.76"/>
    <s v="Male"/>
    <s v="Kismayo"/>
    <x v="2"/>
    <x v="0"/>
    <x v="0"/>
    <x v="11"/>
  </r>
  <r>
    <s v="CUS00195"/>
    <d v="2025-12-15T00:00:00"/>
    <s v="Male"/>
    <x v="52"/>
    <s v="Bosaso"/>
    <x v="6"/>
    <n v="481.99"/>
    <s v="Male"/>
    <s v="Bosaso"/>
    <x v="6"/>
    <x v="1"/>
    <x v="0"/>
    <x v="11"/>
  </r>
  <r>
    <s v="CUS00184"/>
    <d v="2025-12-17T00:00:00"/>
    <s v="Missing"/>
    <x v="46"/>
    <s v="Bosaso"/>
    <x v="6"/>
    <n v="638.53"/>
    <s v="Missing"/>
    <s v="Bosaso"/>
    <x v="6"/>
    <x v="1"/>
    <x v="0"/>
    <x v="11"/>
  </r>
  <r>
    <s v="CUS00107"/>
    <d v="2025-12-23T00:00:00"/>
    <s v="Male"/>
    <x v="0"/>
    <s v="Missing"/>
    <x v="0"/>
    <n v="1509.47"/>
    <s v="Male"/>
    <s v="Missing"/>
    <x v="0"/>
    <x v="2"/>
    <x v="0"/>
    <x v="11"/>
  </r>
  <r>
    <s v="CUS00010"/>
    <d v="2025-12-23T00:00:00"/>
    <s v="Male"/>
    <x v="40"/>
    <s v="Hargeisa"/>
    <x v="1"/>
    <n v="775.19"/>
    <s v="Male"/>
    <s v="Hargeisa"/>
    <x v="1"/>
    <x v="1"/>
    <x v="0"/>
    <x v="11"/>
  </r>
  <r>
    <s v="CUS00008"/>
    <d v="2025-12-23T00:00:00"/>
    <s v="Female"/>
    <x v="48"/>
    <s v="Baidoa"/>
    <x v="2"/>
    <n v="599.34"/>
    <s v="Female"/>
    <s v="Baidoa"/>
    <x v="2"/>
    <x v="1"/>
    <x v="0"/>
    <x v="11"/>
  </r>
  <r>
    <s v="CUS00045"/>
    <d v="2025-12-26T00:00:00"/>
    <s v="Male"/>
    <x v="48"/>
    <s v="Mogadishu"/>
    <x v="4"/>
    <n v="175.19"/>
    <s v="Male"/>
    <s v="Mogadishu"/>
    <x v="4"/>
    <x v="1"/>
    <x v="0"/>
    <x v="11"/>
  </r>
  <r>
    <s v="CUS00046"/>
    <d v="2025-12-28T00:00:00"/>
    <s v="Female"/>
    <x v="35"/>
    <s v="Mogadishu"/>
    <x v="6"/>
    <n v="748.35"/>
    <s v="Female"/>
    <s v="Mogadishu"/>
    <x v="6"/>
    <x v="1"/>
    <x v="0"/>
    <x v="11"/>
  </r>
  <r>
    <s v="CUS00116"/>
    <d v="2025-12-29T00:00:00"/>
    <s v="Female"/>
    <x v="13"/>
    <s v="Bosaso"/>
    <x v="0"/>
    <n v="924.95"/>
    <s v="Female"/>
    <s v="Bosaso"/>
    <x v="0"/>
    <x v="0"/>
    <x v="0"/>
    <x v="11"/>
  </r>
  <r>
    <s v="CUS00266"/>
    <d v="2025-12-30T00:00:00"/>
    <s v="Male"/>
    <x v="10"/>
    <s v="Garowe"/>
    <x v="1"/>
    <n v="853.76"/>
    <s v="Male"/>
    <s v="Garowe"/>
    <x v="1"/>
    <x v="0"/>
    <x v="0"/>
    <x v="11"/>
  </r>
  <r>
    <s v="CUS00016"/>
    <d v="2025-12-31T00:00:00"/>
    <s v="Missing"/>
    <x v="1"/>
    <s v="Mogadishu"/>
    <x v="5"/>
    <n v="790.38"/>
    <s v="Missing"/>
    <s v="Mogadishu"/>
    <x v="5"/>
    <x v="1"/>
    <x v="0"/>
    <x v="11"/>
  </r>
  <r>
    <s v="CUS00035"/>
    <d v="2025-12-31T00:00:00"/>
    <s v="Female"/>
    <x v="33"/>
    <s v="Baidoa"/>
    <x v="6"/>
    <n v="455.83"/>
    <s v="Female"/>
    <s v="Baidoa"/>
    <x v="6"/>
    <x v="1"/>
    <x v="0"/>
    <x v="11"/>
  </r>
  <r>
    <s v="CUS00269"/>
    <d v="2026-01-04T00:00:00"/>
    <s v="Female"/>
    <x v="34"/>
    <s v="Missing"/>
    <x v="6"/>
    <n v="810.64"/>
    <s v="Female"/>
    <s v="Missing"/>
    <x v="6"/>
    <x v="0"/>
    <x v="1"/>
    <x v="0"/>
  </r>
  <r>
    <s v="CUS00141"/>
    <d v="2026-01-09T00:00:00"/>
    <s v="Female"/>
    <x v="53"/>
    <s v="Baidoa"/>
    <x v="4"/>
    <n v="128.41999999999999"/>
    <s v="Female"/>
    <s v="Baidoa"/>
    <x v="4"/>
    <x v="1"/>
    <x v="1"/>
    <x v="0"/>
  </r>
  <r>
    <s v="CUS00087"/>
    <d v="2026-01-11T00:00:00"/>
    <s v="Female"/>
    <x v="13"/>
    <s v="Bosaso"/>
    <x v="0"/>
    <n v="1956.52"/>
    <s v="Female"/>
    <s v="Bosaso"/>
    <x v="0"/>
    <x v="2"/>
    <x v="1"/>
    <x v="0"/>
  </r>
  <r>
    <s v="CUS00200"/>
    <d v="2026-01-15T00:00:00"/>
    <s v="Female"/>
    <x v="25"/>
    <s v="Baidoa"/>
    <x v="1"/>
    <n v="845.86"/>
    <s v="Female"/>
    <s v="Baidoa"/>
    <x v="1"/>
    <x v="0"/>
    <x v="1"/>
    <x v="0"/>
  </r>
  <r>
    <s v="CUS00054"/>
    <d v="2026-01-15T00:00:00"/>
    <s v="Male"/>
    <x v="15"/>
    <s v="Garowe"/>
    <x v="5"/>
    <n v="306.45999999999998"/>
    <s v="Male"/>
    <s v="Garowe"/>
    <x v="5"/>
    <x v="1"/>
    <x v="1"/>
    <x v="0"/>
  </r>
  <r>
    <m/>
    <d v="2026-01-16T00:00:00"/>
    <s v="Female"/>
    <x v="10"/>
    <s v="Mogadishu"/>
    <x v="6"/>
    <n v="923.87"/>
    <s v="Female"/>
    <s v="Mogadishu"/>
    <x v="6"/>
    <x v="0"/>
    <x v="1"/>
    <x v="0"/>
  </r>
  <r>
    <s v="CUS00165"/>
    <d v="2026-01-17T00:00:00"/>
    <s v="Female"/>
    <x v="22"/>
    <s v="Bosaso"/>
    <x v="4"/>
    <n v="923.87"/>
    <s v="Female"/>
    <s v="Bosaso"/>
    <x v="4"/>
    <x v="0"/>
    <x v="1"/>
    <x v="0"/>
  </r>
  <r>
    <s v="CUS00095"/>
    <d v="2026-01-19T00:00:00"/>
    <s v="Female"/>
    <x v="14"/>
    <s v="Missing"/>
    <x v="6"/>
    <n v="785.95"/>
    <s v="Female"/>
    <s v="Missing"/>
    <x v="6"/>
    <x v="1"/>
    <x v="1"/>
    <x v="0"/>
  </r>
  <r>
    <s v="CUS00284"/>
    <d v="2026-01-19T00:00:00"/>
    <s v="Female"/>
    <x v="45"/>
    <s v="Missing"/>
    <x v="5"/>
    <n v="922.87"/>
    <s v="Female"/>
    <s v="Missing"/>
    <x v="5"/>
    <x v="0"/>
    <x v="1"/>
    <x v="0"/>
  </r>
  <r>
    <s v="CUS00098"/>
    <d v="2026-01-26T00:00:00"/>
    <s v="Female"/>
    <x v="36"/>
    <s v="Missing"/>
    <x v="6"/>
    <n v="728.06"/>
    <s v="Female"/>
    <s v="Missing"/>
    <x v="6"/>
    <x v="1"/>
    <x v="1"/>
    <x v="0"/>
  </r>
  <r>
    <s v="CUS00014"/>
    <d v="2026-01-30T00:00:00"/>
    <s v="Female"/>
    <x v="11"/>
    <s v="Mogadishu"/>
    <x v="6"/>
    <n v="527.12"/>
    <s v="Female"/>
    <s v="Mogadishu"/>
    <x v="6"/>
    <x v="1"/>
    <x v="1"/>
    <x v="0"/>
  </r>
  <r>
    <s v="CUS00283"/>
    <d v="2026-02-01T00:00:00"/>
    <s v="Male"/>
    <x v="40"/>
    <s v="Kismayo"/>
    <x v="2"/>
    <n v="923.87"/>
    <s v="Male"/>
    <s v="Kismayo"/>
    <x v="2"/>
    <x v="0"/>
    <x v="1"/>
    <x v="1"/>
  </r>
  <r>
    <s v="CUS00062"/>
    <d v="2026-02-04T00:00:00"/>
    <s v="Male"/>
    <x v="36"/>
    <s v="Mogadishu"/>
    <x v="2"/>
    <n v="923.87"/>
    <s v="Male"/>
    <s v="Mogadishu"/>
    <x v="2"/>
    <x v="0"/>
    <x v="1"/>
    <x v="1"/>
  </r>
  <r>
    <s v="CUS00147"/>
    <d v="2026-02-06T00:00:00"/>
    <s v="Male"/>
    <x v="45"/>
    <s v="Hargeisa"/>
    <x v="1"/>
    <n v="508.34"/>
    <s v="Male"/>
    <s v="Hargeisa"/>
    <x v="1"/>
    <x v="1"/>
    <x v="1"/>
    <x v="1"/>
  </r>
  <r>
    <s v="CUS00191"/>
    <d v="2026-02-06T00:00:00"/>
    <s v="Female"/>
    <x v="34"/>
    <s v="Hargeisa"/>
    <x v="3"/>
    <n v="1067.9000000000001"/>
    <s v="Female"/>
    <s v="Hargeisa"/>
    <x v="3"/>
    <x v="0"/>
    <x v="1"/>
    <x v="1"/>
  </r>
  <r>
    <m/>
    <d v="2026-02-07T00:00:00"/>
    <s v="Male"/>
    <x v="44"/>
    <s v="Kismayo"/>
    <x v="3"/>
    <n v="528.86"/>
    <s v="Male"/>
    <s v="Kismayo"/>
    <x v="3"/>
    <x v="1"/>
    <x v="1"/>
    <x v="1"/>
  </r>
  <r>
    <s v="CUS00096"/>
    <d v="2026-02-07T00:00:00"/>
    <s v="Missing"/>
    <x v="1"/>
    <s v="Mogadishu"/>
    <x v="3"/>
    <n v="930.02"/>
    <s v="Missing"/>
    <s v="Mogadishu"/>
    <x v="3"/>
    <x v="0"/>
    <x v="1"/>
    <x v="1"/>
  </r>
  <r>
    <s v="CUS00073"/>
    <d v="2026-02-08T00:00:00"/>
    <s v="Female"/>
    <x v="0"/>
    <s v="Mogadishu"/>
    <x v="4"/>
    <n v="253.15"/>
    <s v="Female"/>
    <s v="Mogadishu"/>
    <x v="4"/>
    <x v="1"/>
    <x v="1"/>
    <x v="1"/>
  </r>
  <r>
    <s v="CUS00248"/>
    <d v="2026-02-11T00:00:00"/>
    <s v="Female"/>
    <x v="2"/>
    <s v="Missing"/>
    <x v="5"/>
    <n v="855.02"/>
    <s v="Female"/>
    <s v="Missing"/>
    <x v="5"/>
    <x v="0"/>
    <x v="1"/>
    <x v="1"/>
  </r>
  <r>
    <s v="CUS00240"/>
    <d v="2026-02-12T00:00:00"/>
    <s v="Female"/>
    <x v="30"/>
    <s v="Mogadishu"/>
    <x v="6"/>
    <n v="1281"/>
    <s v="Female"/>
    <s v="Mogadishu"/>
    <x v="6"/>
    <x v="0"/>
    <x v="1"/>
    <x v="1"/>
  </r>
  <r>
    <s v="CUS00236"/>
    <d v="2026-02-14T00:00:00"/>
    <s v="Female"/>
    <x v="30"/>
    <s v="Hargeisa"/>
    <x v="3"/>
    <n v="1164.05"/>
    <s v="Female"/>
    <s v="Hargeisa"/>
    <x v="3"/>
    <x v="0"/>
    <x v="1"/>
    <x v="1"/>
  </r>
  <r>
    <s v="CUS00190"/>
    <d v="2026-02-15T00:00:00"/>
    <s v="Female"/>
    <x v="39"/>
    <s v="Bosaso"/>
    <x v="2"/>
    <n v="1170.92"/>
    <s v="Female"/>
    <s v="Bosaso"/>
    <x v="2"/>
    <x v="0"/>
    <x v="1"/>
    <x v="1"/>
  </r>
  <r>
    <s v="CUS00201"/>
    <d v="2026-02-17T00:00:00"/>
    <s v="Female"/>
    <x v="40"/>
    <s v="Hargeisa"/>
    <x v="3"/>
    <n v="1021.22"/>
    <s v="Female"/>
    <s v="Hargeisa"/>
    <x v="3"/>
    <x v="0"/>
    <x v="1"/>
    <x v="1"/>
  </r>
  <r>
    <s v="CUS00188"/>
    <d v="2026-02-20T00:00:00"/>
    <s v="Male"/>
    <x v="2"/>
    <s v="Bosaso"/>
    <x v="1"/>
    <n v="1315.27"/>
    <s v="Male"/>
    <s v="Bosaso"/>
    <x v="1"/>
    <x v="0"/>
    <x v="1"/>
    <x v="1"/>
  </r>
  <r>
    <s v="CUS00029"/>
    <d v="2026-02-24T00:00:00"/>
    <s v="Male"/>
    <x v="50"/>
    <s v="Garowe"/>
    <x v="2"/>
    <n v="644.80999999999995"/>
    <s v="Male"/>
    <s v="Garowe"/>
    <x v="2"/>
    <x v="1"/>
    <x v="1"/>
    <x v="1"/>
  </r>
  <r>
    <s v="CUS00220"/>
    <d v="2026-02-27T00:00:00"/>
    <s v="Female"/>
    <x v="48"/>
    <s v="Bosaso"/>
    <x v="1"/>
    <n v="854.23"/>
    <s v="Female"/>
    <s v="Bosaso"/>
    <x v="1"/>
    <x v="0"/>
    <x v="1"/>
    <x v="1"/>
  </r>
  <r>
    <s v="CUS00085"/>
    <d v="2026-02-28T00:00:00"/>
    <s v="Female"/>
    <x v="6"/>
    <s v="Mogadishu"/>
    <x v="2"/>
    <n v="1371.98"/>
    <s v="Female"/>
    <s v="Mogadishu"/>
    <x v="2"/>
    <x v="0"/>
    <x v="1"/>
    <x v="1"/>
  </r>
  <r>
    <s v="CUS00023"/>
    <d v="2026-03-01T00:00:00"/>
    <s v="Female"/>
    <x v="27"/>
    <s v="Kismayo"/>
    <x v="3"/>
    <n v="558.07000000000005"/>
    <s v="Female"/>
    <s v="Kismayo"/>
    <x v="3"/>
    <x v="1"/>
    <x v="1"/>
    <x v="2"/>
  </r>
  <r>
    <s v="CUS00185"/>
    <d v="2026-03-08T00:00:00"/>
    <s v="Female"/>
    <x v="8"/>
    <s v="Mogadishu"/>
    <x v="1"/>
    <n v="1069.08"/>
    <s v="Female"/>
    <s v="Mogadishu"/>
    <x v="1"/>
    <x v="0"/>
    <x v="1"/>
    <x v="2"/>
  </r>
  <r>
    <s v="CUS00013"/>
    <d v="2026-03-09T00:00:00"/>
    <s v="Female"/>
    <x v="8"/>
    <s v="Mogadishu"/>
    <x v="5"/>
    <n v="778.23"/>
    <s v="Female"/>
    <s v="Mogadishu"/>
    <x v="5"/>
    <x v="1"/>
    <x v="1"/>
    <x v="2"/>
  </r>
  <r>
    <s v="CUS00108"/>
    <d v="2026-03-12T00:00:00"/>
    <s v="Female"/>
    <x v="18"/>
    <s v="Mogadishu"/>
    <x v="7"/>
    <n v="216.93"/>
    <s v="Female"/>
    <s v="Mogadishu"/>
    <x v="7"/>
    <x v="1"/>
    <x v="1"/>
    <x v="2"/>
  </r>
  <r>
    <s v="CUS00162"/>
    <d v="2026-03-13T00:00:00"/>
    <s v="Female"/>
    <x v="23"/>
    <s v="Bosaso"/>
    <x v="5"/>
    <n v="794.1"/>
    <s v="Female"/>
    <s v="Bosaso"/>
    <x v="5"/>
    <x v="1"/>
    <x v="1"/>
    <x v="2"/>
  </r>
  <r>
    <s v="CUS00104"/>
    <d v="2026-03-13T00:00:00"/>
    <s v="Male"/>
    <x v="8"/>
    <s v="Mogadishu"/>
    <x v="0"/>
    <n v="1377.65"/>
    <s v="Male"/>
    <s v="Mogadishu"/>
    <x v="0"/>
    <x v="0"/>
    <x v="1"/>
    <x v="2"/>
  </r>
  <r>
    <s v="CUS00018"/>
    <d v="2026-03-13T00:00:00"/>
    <s v="Female"/>
    <x v="10"/>
    <s v="Mogadishu"/>
    <x v="6"/>
    <n v="1321.69"/>
    <s v="Female"/>
    <s v="Mogadishu"/>
    <x v="6"/>
    <x v="0"/>
    <x v="1"/>
    <x v="2"/>
  </r>
  <r>
    <s v="CUS00068"/>
    <d v="2026-03-18T00:00:00"/>
    <s v="Male"/>
    <x v="49"/>
    <s v="Baidoa"/>
    <x v="4"/>
    <n v="200.87"/>
    <s v="Male"/>
    <s v="Baidoa"/>
    <x v="4"/>
    <x v="1"/>
    <x v="1"/>
    <x v="2"/>
  </r>
  <r>
    <s v="CUS00064"/>
    <d v="2026-03-22T00:00:00"/>
    <s v="Male"/>
    <x v="46"/>
    <s v="Bosaso"/>
    <x v="0"/>
    <n v="727.81"/>
    <s v="Male"/>
    <s v="Bosaso"/>
    <x v="0"/>
    <x v="1"/>
    <x v="1"/>
    <x v="2"/>
  </r>
  <r>
    <s v="CUS00278"/>
    <d v="2026-03-28T00:00:00"/>
    <s v="Female"/>
    <x v="3"/>
    <s v="Hargeisa"/>
    <x v="1"/>
    <n v="644.95000000000005"/>
    <s v="Female"/>
    <s v="Hargeisa"/>
    <x v="1"/>
    <x v="1"/>
    <x v="1"/>
    <x v="2"/>
  </r>
  <r>
    <s v="CUS00039"/>
    <d v="2026-03-28T00:00:00"/>
    <s v="Female"/>
    <x v="15"/>
    <s v="Bosaso"/>
    <x v="0"/>
    <n v="1127.6500000000001"/>
    <s v="Female"/>
    <s v="Bosaso"/>
    <x v="0"/>
    <x v="0"/>
    <x v="1"/>
    <x v="2"/>
  </r>
  <r>
    <s v="CUS00168"/>
    <d v="2026-04-04T00:00:00"/>
    <s v="Female"/>
    <x v="3"/>
    <s v="Missing"/>
    <x v="6"/>
    <n v="727.06"/>
    <s v="Female"/>
    <s v="Missing"/>
    <x v="6"/>
    <x v="1"/>
    <x v="1"/>
    <x v="3"/>
  </r>
  <r>
    <s v="CUS00142"/>
    <d v="2026-04-12T00:00:00"/>
    <s v="Male"/>
    <x v="42"/>
    <s v="Mogadishu"/>
    <x v="2"/>
    <n v="1411.64"/>
    <s v="Male"/>
    <s v="Mogadishu"/>
    <x v="2"/>
    <x v="0"/>
    <x v="1"/>
    <x v="3"/>
  </r>
  <r>
    <s v="CUS00015"/>
    <d v="2026-04-15T00:00:00"/>
    <s v="Male"/>
    <x v="13"/>
    <s v="Kismayo"/>
    <x v="0"/>
    <n v="891.18"/>
    <s v="Male"/>
    <s v="Kismayo"/>
    <x v="0"/>
    <x v="0"/>
    <x v="1"/>
    <x v="3"/>
  </r>
  <r>
    <s v="CUS00024"/>
    <d v="2026-04-17T00:00:00"/>
    <s v="Female"/>
    <x v="9"/>
    <s v="Mogadishu"/>
    <x v="3"/>
    <n v="1155.56"/>
    <s v="Female"/>
    <s v="Mogadishu"/>
    <x v="3"/>
    <x v="0"/>
    <x v="1"/>
    <x v="3"/>
  </r>
  <r>
    <s v="CUS00127"/>
    <d v="2026-04-21T00:00:00"/>
    <s v="Female"/>
    <x v="0"/>
    <s v="Hargeisa"/>
    <x v="4"/>
    <n v="116.1"/>
    <s v="Female"/>
    <s v="Hargeisa"/>
    <x v="4"/>
    <x v="1"/>
    <x v="1"/>
    <x v="3"/>
  </r>
  <r>
    <s v="CUS00145"/>
    <d v="2026-04-24T00:00:00"/>
    <s v="Female"/>
    <x v="53"/>
    <s v="Kismayo"/>
    <x v="0"/>
    <n v="749.33"/>
    <s v="Female"/>
    <s v="Kismayo"/>
    <x v="0"/>
    <x v="1"/>
    <x v="1"/>
    <x v="3"/>
  </r>
  <r>
    <s v="CUS00243"/>
    <d v="2026-04-25T00:00:00"/>
    <s v="Female"/>
    <x v="14"/>
    <s v="Kismayo"/>
    <x v="5"/>
    <n v="732.86"/>
    <s v="Female"/>
    <s v="Kismayo"/>
    <x v="5"/>
    <x v="1"/>
    <x v="1"/>
    <x v="3"/>
  </r>
  <r>
    <s v="CUS00032"/>
    <d v="2026-04-25T00:00:00"/>
    <s v="Male"/>
    <x v="10"/>
    <s v="Hargeisa"/>
    <x v="1"/>
    <n v="1263.1099999999999"/>
    <s v="Male"/>
    <s v="Hargeisa"/>
    <x v="1"/>
    <x v="0"/>
    <x v="1"/>
    <x v="3"/>
  </r>
  <r>
    <s v="CUS00050"/>
    <d v="2026-05-04T00:00:00"/>
    <s v="Female"/>
    <x v="9"/>
    <s v="Mogadishu"/>
    <x v="0"/>
    <n v="721.99"/>
    <s v="Female"/>
    <s v="Mogadishu"/>
    <x v="0"/>
    <x v="1"/>
    <x v="1"/>
    <x v="4"/>
  </r>
  <r>
    <s v="CUS00267"/>
    <d v="2026-05-04T00:00:00"/>
    <s v="Female"/>
    <x v="8"/>
    <s v="Bosaso"/>
    <x v="4"/>
    <n v="169.21"/>
    <s v="Female"/>
    <s v="Bosaso"/>
    <x v="4"/>
    <x v="1"/>
    <x v="1"/>
    <x v="4"/>
  </r>
  <r>
    <s v="CUS00066"/>
    <d v="2026-05-06T00:00:00"/>
    <s v="Male"/>
    <x v="18"/>
    <s v="Mogadishu"/>
    <x v="1"/>
    <n v="934.22"/>
    <s v="Male"/>
    <s v="Mogadishu"/>
    <x v="1"/>
    <x v="0"/>
    <x v="1"/>
    <x v="4"/>
  </r>
  <r>
    <s v="CUS00253"/>
    <d v="2026-05-08T00:00:00"/>
    <s v="Male"/>
    <x v="41"/>
    <s v="Mogadishu"/>
    <x v="3"/>
    <n v="857.27"/>
    <s v="Male"/>
    <s v="Mogadishu"/>
    <x v="3"/>
    <x v="0"/>
    <x v="1"/>
    <x v="4"/>
  </r>
  <r>
    <m/>
    <d v="2026-05-09T00:00:00"/>
    <s v="Female"/>
    <x v="50"/>
    <s v="Mogadishu"/>
    <x v="6"/>
    <n v="917.25"/>
    <s v="Female"/>
    <s v="Mogadishu"/>
    <x v="6"/>
    <x v="0"/>
    <x v="1"/>
    <x v="4"/>
  </r>
  <r>
    <s v="CUS00059"/>
    <d v="2026-05-15T00:00:00"/>
    <s v="Male"/>
    <x v="26"/>
    <s v="Bosaso"/>
    <x v="0"/>
    <n v="923.87"/>
    <s v="Male"/>
    <s v="Bosaso"/>
    <x v="0"/>
    <x v="0"/>
    <x v="1"/>
    <x v="4"/>
  </r>
  <r>
    <s v="CUS00074"/>
    <d v="2026-05-15T00:00:00"/>
    <s v="Female"/>
    <x v="10"/>
    <s v="Hargeisa"/>
    <x v="0"/>
    <n v="746.07"/>
    <s v="Female"/>
    <s v="Hargeisa"/>
    <x v="0"/>
    <x v="1"/>
    <x v="1"/>
    <x v="4"/>
  </r>
  <r>
    <s v="CUS00037"/>
    <d v="2026-05-15T00:00:00"/>
    <s v="Female"/>
    <x v="28"/>
    <s v="Hargeisa"/>
    <x v="4"/>
    <n v="294.94"/>
    <s v="Female"/>
    <s v="Hargeisa"/>
    <x v="4"/>
    <x v="1"/>
    <x v="1"/>
    <x v="4"/>
  </r>
  <r>
    <s v="CUS00041"/>
    <d v="2026-05-15T00:00:00"/>
    <s v="Missing"/>
    <x v="34"/>
    <s v="Baidoa"/>
    <x v="0"/>
    <n v="1137.32"/>
    <s v="Missing"/>
    <s v="Baidoa"/>
    <x v="0"/>
    <x v="0"/>
    <x v="1"/>
    <x v="4"/>
  </r>
  <r>
    <s v="CUS00082"/>
    <d v="2026-05-16T00:00:00"/>
    <s v="Female"/>
    <x v="2"/>
    <s v="Mogadishu"/>
    <x v="0"/>
    <n v="2015.04"/>
    <s v="Female"/>
    <s v="Mogadishu"/>
    <x v="0"/>
    <x v="2"/>
    <x v="1"/>
    <x v="4"/>
  </r>
  <r>
    <s v="CUS00155"/>
    <d v="2026-05-17T00:00:00"/>
    <s v="Female"/>
    <x v="32"/>
    <s v="Hargeisa"/>
    <x v="7"/>
    <n v="255.08"/>
    <s v="Female"/>
    <s v="Hargeisa"/>
    <x v="7"/>
    <x v="1"/>
    <x v="1"/>
    <x v="4"/>
  </r>
  <r>
    <s v="CUS00233"/>
    <d v="2026-05-17T00:00:00"/>
    <s v="Female"/>
    <x v="31"/>
    <s v="Bosaso"/>
    <x v="1"/>
    <n v="1315.07"/>
    <s v="Female"/>
    <s v="Bosaso"/>
    <x v="1"/>
    <x v="0"/>
    <x v="1"/>
    <x v="4"/>
  </r>
  <r>
    <s v="CUS00061"/>
    <d v="2026-05-19T00:00:00"/>
    <s v="Female"/>
    <x v="12"/>
    <s v="Mogadishu"/>
    <x v="2"/>
    <n v="923.87"/>
    <s v="Female"/>
    <s v="Mogadishu"/>
    <x v="2"/>
    <x v="0"/>
    <x v="1"/>
    <x v="4"/>
  </r>
  <r>
    <s v="CUS00250"/>
    <d v="2026-05-21T00:00:00"/>
    <s v="Female"/>
    <x v="23"/>
    <s v="Mogadishu"/>
    <x v="6"/>
    <n v="1143.8399999999999"/>
    <s v="Female"/>
    <s v="Mogadishu"/>
    <x v="6"/>
    <x v="0"/>
    <x v="1"/>
    <x v="4"/>
  </r>
  <r>
    <s v="CUS00092"/>
    <d v="2026-05-24T00:00:00"/>
    <s v="Male"/>
    <x v="47"/>
    <s v="Mogadishu"/>
    <x v="1"/>
    <n v="1244.97"/>
    <s v="Male"/>
    <s v="Mogadishu"/>
    <x v="1"/>
    <x v="0"/>
    <x v="1"/>
    <x v="4"/>
  </r>
  <r>
    <s v="CUS00192"/>
    <d v="2026-05-26T00:00:00"/>
    <s v="Male"/>
    <x v="10"/>
    <s v="Hargeisa"/>
    <x v="4"/>
    <n v="149.24"/>
    <s v="Male"/>
    <s v="Hargeisa"/>
    <x v="4"/>
    <x v="1"/>
    <x v="1"/>
    <x v="4"/>
  </r>
  <r>
    <s v="CUS00290"/>
    <d v="2026-05-27T00:00:00"/>
    <s v="Female"/>
    <x v="45"/>
    <s v="Hargeisa"/>
    <x v="7"/>
    <n v="216.82"/>
    <s v="Female"/>
    <s v="Hargeisa"/>
    <x v="7"/>
    <x v="1"/>
    <x v="1"/>
    <x v="4"/>
  </r>
  <r>
    <s v="CUS00281"/>
    <d v="2026-05-31T00:00:00"/>
    <s v="Female"/>
    <x v="20"/>
    <s v="Hargeisa"/>
    <x v="2"/>
    <n v="1390.38"/>
    <s v="Female"/>
    <s v="Hargeisa"/>
    <x v="2"/>
    <x v="0"/>
    <x v="1"/>
    <x v="4"/>
  </r>
  <r>
    <s v="CUS00176"/>
    <d v="2026-05-31T00:00:00"/>
    <s v="Male"/>
    <x v="10"/>
    <s v="Hargeisa"/>
    <x v="5"/>
    <n v="661.3"/>
    <s v="Male"/>
    <s v="Hargeisa"/>
    <x v="5"/>
    <x v="1"/>
    <x v="1"/>
    <x v="4"/>
  </r>
  <r>
    <s v="CUS00129"/>
    <d v="2026-05-31T00:00:00"/>
    <s v="Missing"/>
    <x v="11"/>
    <s v="Kismayo"/>
    <x v="6"/>
    <n v="1046.17"/>
    <s v="Missing"/>
    <s v="Kismayo"/>
    <x v="6"/>
    <x v="0"/>
    <x v="1"/>
    <x v="4"/>
  </r>
  <r>
    <s v="CUS00199"/>
    <d v="2026-06-10T00:00:00"/>
    <s v="Male"/>
    <x v="34"/>
    <s v="Mogadishu"/>
    <x v="1"/>
    <n v="742.69"/>
    <s v="Male"/>
    <s v="Mogadishu"/>
    <x v="1"/>
    <x v="1"/>
    <x v="1"/>
    <x v="5"/>
  </r>
  <r>
    <s v="CUS00238"/>
    <d v="2026-06-11T00:00:00"/>
    <s v="Male"/>
    <x v="6"/>
    <s v="Garowe"/>
    <x v="3"/>
    <n v="595.70000000000005"/>
    <s v="Male"/>
    <s v="Garowe"/>
    <x v="3"/>
    <x v="1"/>
    <x v="1"/>
    <x v="5"/>
  </r>
  <r>
    <s v="CUS00280"/>
    <d v="2026-06-14T00:00:00"/>
    <s v="Male"/>
    <x v="27"/>
    <s v="Kismayo"/>
    <x v="4"/>
    <n v="201.16"/>
    <s v="Male"/>
    <s v="Kismayo"/>
    <x v="4"/>
    <x v="1"/>
    <x v="1"/>
    <x v="5"/>
  </r>
  <r>
    <s v="CUS00212"/>
    <d v="2026-06-16T00:00:00"/>
    <s v="Male"/>
    <x v="52"/>
    <s v="Mogadishu"/>
    <x v="5"/>
    <n v="638.6"/>
    <s v="Male"/>
    <s v="Mogadishu"/>
    <x v="5"/>
    <x v="1"/>
    <x v="1"/>
    <x v="5"/>
  </r>
  <r>
    <s v="CUS00178"/>
    <d v="2026-06-17T00:00:00"/>
    <s v="Male"/>
    <x v="27"/>
    <s v="Garowe"/>
    <x v="0"/>
    <n v="2091.58"/>
    <s v="Male"/>
    <s v="Garowe"/>
    <x v="0"/>
    <x v="2"/>
    <x v="1"/>
    <x v="5"/>
  </r>
  <r>
    <s v="CUS00075"/>
    <d v="2026-06-17T00:00:00"/>
    <s v="Female"/>
    <x v="36"/>
    <s v="Baidoa"/>
    <x v="0"/>
    <n v="2156"/>
    <s v="Female"/>
    <s v="Baidoa"/>
    <x v="0"/>
    <x v="2"/>
    <x v="1"/>
    <x v="5"/>
  </r>
  <r>
    <s v="CUS00070"/>
    <d v="2026-06-24T00:00:00"/>
    <s v="Male"/>
    <x v="35"/>
    <s v="Mogadishu"/>
    <x v="5"/>
    <n v="719.42"/>
    <s v="Male"/>
    <s v="Mogadishu"/>
    <x v="5"/>
    <x v="1"/>
    <x v="1"/>
    <x v="5"/>
  </r>
  <r>
    <s v="CUS00093"/>
    <d v="2026-07-02T00:00:00"/>
    <s v="Male"/>
    <x v="24"/>
    <s v="Baidoa"/>
    <x v="4"/>
    <n v="239.25"/>
    <s v="Male"/>
    <s v="Baidoa"/>
    <x v="4"/>
    <x v="1"/>
    <x v="1"/>
    <x v="6"/>
  </r>
  <r>
    <s v="CUS00193"/>
    <d v="2026-07-07T00:00:00"/>
    <s v="Male"/>
    <x v="28"/>
    <s v="Mogadishu"/>
    <x v="3"/>
    <n v="1071.8599999999999"/>
    <s v="Male"/>
    <s v="Mogadishu"/>
    <x v="3"/>
    <x v="0"/>
    <x v="1"/>
    <x v="6"/>
  </r>
  <r>
    <m/>
    <d v="2026-07-08T00:00:00"/>
    <s v="Female"/>
    <x v="28"/>
    <s v="Hargeisa"/>
    <x v="4"/>
    <n v="176.82"/>
    <s v="Female"/>
    <s v="Hargeisa"/>
    <x v="4"/>
    <x v="1"/>
    <x v="1"/>
    <x v="6"/>
  </r>
  <r>
    <s v="CUS00036"/>
    <d v="2026-07-09T00:00:00"/>
    <s v="Female"/>
    <x v="49"/>
    <s v="Bosaso"/>
    <x v="6"/>
    <n v="671.87"/>
    <s v="Female"/>
    <s v="Bosaso"/>
    <x v="6"/>
    <x v="1"/>
    <x v="1"/>
    <x v="6"/>
  </r>
  <r>
    <m/>
    <d v="2026-07-19T00:00:00"/>
    <s v="Male"/>
    <x v="30"/>
    <s v="Mogadishu"/>
    <x v="5"/>
    <n v="586.78"/>
    <s v="Male"/>
    <s v="Mogadishu"/>
    <x v="5"/>
    <x v="1"/>
    <x v="1"/>
    <x v="6"/>
  </r>
  <r>
    <s v="CUS00163"/>
    <d v="2026-07-22T00:00:00"/>
    <s v="Male"/>
    <x v="12"/>
    <s v="Hargeisa"/>
    <x v="0"/>
    <n v="901.36"/>
    <s v="Male"/>
    <s v="Hargeisa"/>
    <x v="0"/>
    <x v="0"/>
    <x v="1"/>
    <x v="6"/>
  </r>
  <r>
    <s v="CUS00291"/>
    <d v="2026-07-23T00:00:00"/>
    <s v="Male"/>
    <x v="7"/>
    <s v="Mogadishu"/>
    <x v="2"/>
    <n v="1315.74"/>
    <s v="Male"/>
    <s v="Mogadishu"/>
    <x v="2"/>
    <x v="0"/>
    <x v="1"/>
    <x v="6"/>
  </r>
  <r>
    <s v="CUS00084"/>
    <d v="2026-07-25T00:00:00"/>
    <s v="Male"/>
    <x v="6"/>
    <s v="Hargeisa"/>
    <x v="2"/>
    <n v="632.38"/>
    <s v="Male"/>
    <s v="Hargeisa"/>
    <x v="2"/>
    <x v="1"/>
    <x v="1"/>
    <x v="6"/>
  </r>
  <r>
    <s v="CUS00011"/>
    <d v="2026-07-27T00:00:00"/>
    <s v="Missing"/>
    <x v="13"/>
    <s v="Mogadishu"/>
    <x v="1"/>
    <n v="1087.08"/>
    <s v="Missing"/>
    <s v="Mogadishu"/>
    <x v="1"/>
    <x v="0"/>
    <x v="1"/>
    <x v="6"/>
  </r>
  <r>
    <s v="CUS00158"/>
    <s v="Missing"/>
    <s v="Male"/>
    <x v="42"/>
    <s v="Bosaso"/>
    <x v="2"/>
    <n v="608.08000000000004"/>
    <s v="Male"/>
    <s v="Bosaso"/>
    <x v="2"/>
    <x v="1"/>
    <x v="2"/>
    <x v="12"/>
  </r>
  <r>
    <s v="CUS00031"/>
    <s v="Missing"/>
    <s v="Female"/>
    <x v="14"/>
    <s v="Baidoa"/>
    <x v="3"/>
    <n v="647.6"/>
    <s v="Female"/>
    <s v="Baidoa"/>
    <x v="3"/>
    <x v="1"/>
    <x v="2"/>
    <x v="12"/>
  </r>
  <r>
    <s v="CUS00215"/>
    <s v="Missing"/>
    <s v="Male"/>
    <x v="52"/>
    <s v="Mogadishu"/>
    <x v="0"/>
    <n v="1961.76"/>
    <s v="Male"/>
    <s v="Mogadishu"/>
    <x v="0"/>
    <x v="2"/>
    <x v="2"/>
    <x v="12"/>
  </r>
  <r>
    <s v="CUS00265"/>
    <s v="Missing"/>
    <s v="Female"/>
    <x v="1"/>
    <s v="Mogadishu"/>
    <x v="8"/>
    <n v="964.35"/>
    <s v="Female"/>
    <s v="Mogadishu"/>
    <x v="3"/>
    <x v="0"/>
    <x v="2"/>
    <x v="12"/>
  </r>
  <r>
    <s v="CUS00090"/>
    <s v="Missing"/>
    <s v="Male"/>
    <x v="1"/>
    <s v="Kismayo"/>
    <x v="6"/>
    <n v="753.73"/>
    <s v="Male"/>
    <s v="Kismayo"/>
    <x v="6"/>
    <x v="1"/>
    <x v="2"/>
    <x v="12"/>
  </r>
  <r>
    <s v="CUS00034"/>
    <s v="Missing"/>
    <s v="Male"/>
    <x v="31"/>
    <s v="Baidoa"/>
    <x v="5"/>
    <n v="827.25"/>
    <s v="Male"/>
    <s v="Baidoa"/>
    <x v="5"/>
    <x v="0"/>
    <x v="2"/>
    <x v="12"/>
  </r>
  <r>
    <s v="CUS00205"/>
    <s v="Missing"/>
    <s v="Female"/>
    <x v="3"/>
    <s v="Mogadishu"/>
    <x v="6"/>
    <n v="442.74"/>
    <s v="Female"/>
    <s v="Mogadishu"/>
    <x v="6"/>
    <x v="1"/>
    <x v="2"/>
    <x v="12"/>
  </r>
  <r>
    <s v="CUS00049"/>
    <s v="Missing"/>
    <s v="Female"/>
    <x v="10"/>
    <s v="Garowe"/>
    <x v="3"/>
    <n v="661.71"/>
    <s v="Female"/>
    <s v="Garowe"/>
    <x v="3"/>
    <x v="1"/>
    <x v="2"/>
    <x v="12"/>
  </r>
  <r>
    <s v="CUS00055"/>
    <s v="Missing"/>
    <s v="Female"/>
    <x v="49"/>
    <s v="Garowe"/>
    <x v="1"/>
    <n v="978.74"/>
    <s v="Female"/>
    <s v="Garowe"/>
    <x v="1"/>
    <x v="0"/>
    <x v="2"/>
    <x v="12"/>
  </r>
  <r>
    <s v="CUS00057"/>
    <s v="Missing"/>
    <s v="Male"/>
    <x v="0"/>
    <s v="Kismayo"/>
    <x v="5"/>
    <n v="645.54999999999995"/>
    <s v="Male"/>
    <s v="Kismayo"/>
    <x v="5"/>
    <x v="1"/>
    <x v="2"/>
    <x v="12"/>
  </r>
  <r>
    <s v="CUS00071"/>
    <s v="Missing"/>
    <s v="Female"/>
    <x v="29"/>
    <s v="Garowe"/>
    <x v="3"/>
    <n v="759.9"/>
    <s v="Female"/>
    <s v="Garowe"/>
    <x v="3"/>
    <x v="1"/>
    <x v="2"/>
    <x v="12"/>
  </r>
  <r>
    <m/>
    <s v="Missing"/>
    <s v="Male"/>
    <x v="50"/>
    <s v="Hargeisa"/>
    <x v="0"/>
    <n v="1828.2"/>
    <s v="Male"/>
    <s v="Hargeisa"/>
    <x v="0"/>
    <x v="2"/>
    <x v="2"/>
    <x v="12"/>
  </r>
  <r>
    <s v="CUS00020"/>
    <s v="Missing"/>
    <s v="Female"/>
    <x v="12"/>
    <s v="Bosaso"/>
    <x v="2"/>
    <n v="776.84"/>
    <s v="Female"/>
    <s v="Bosaso"/>
    <x v="2"/>
    <x v="1"/>
    <x v="2"/>
    <x v="12"/>
  </r>
  <r>
    <s v="CUS00130"/>
    <s v="Missing"/>
    <s v="Female"/>
    <x v="40"/>
    <s v="Kismayo"/>
    <x v="2"/>
    <n v="1603.75"/>
    <s v="Female"/>
    <s v="Kismayo"/>
    <x v="2"/>
    <x v="2"/>
    <x v="2"/>
    <x v="12"/>
  </r>
  <r>
    <s v="CUS00022"/>
    <s v="Missing"/>
    <s v="Female"/>
    <x v="40"/>
    <s v="Mogadishu"/>
    <x v="3"/>
    <n v="618.42999999999995"/>
    <s v="Female"/>
    <s v="Mogadishu"/>
    <x v="3"/>
    <x v="1"/>
    <x v="2"/>
    <x v="12"/>
  </r>
  <r>
    <s v="CUS00174"/>
    <s v="Missing"/>
    <s v="Male"/>
    <x v="40"/>
    <s v="Garowe"/>
    <x v="5"/>
    <n v="325.43"/>
    <s v="Male"/>
    <s v="Garowe"/>
    <x v="5"/>
    <x v="1"/>
    <x v="2"/>
    <x v="12"/>
  </r>
  <r>
    <s v="CUS00177"/>
    <s v="Missing"/>
    <s v="Male"/>
    <x v="53"/>
    <s v="Mogadishu"/>
    <x v="1"/>
    <n v="502.04"/>
    <s v="Male"/>
    <s v="Mogadishu"/>
    <x v="1"/>
    <x v="1"/>
    <x v="2"/>
    <x v="12"/>
  </r>
  <r>
    <m/>
    <s v="Missing"/>
    <s v="Male"/>
    <x v="15"/>
    <s v="Hargeisa"/>
    <x v="4"/>
    <n v="268.75"/>
    <s v="Male"/>
    <s v="Hargeisa"/>
    <x v="4"/>
    <x v="1"/>
    <x v="2"/>
    <x v="12"/>
  </r>
  <r>
    <s v="CUS00099"/>
    <s v="Missing"/>
    <s v="Male"/>
    <x v="13"/>
    <s v="Bosaso"/>
    <x v="0"/>
    <n v="1249.32"/>
    <s v="Male"/>
    <s v="Bosaso"/>
    <x v="0"/>
    <x v="0"/>
    <x v="2"/>
    <x v="12"/>
  </r>
  <r>
    <s v="CUS00170"/>
    <s v="Missing"/>
    <s v="Male"/>
    <x v="54"/>
    <s v="Garowe"/>
    <x v="2"/>
    <n v="632.26"/>
    <s v="Male"/>
    <s v="Garowe"/>
    <x v="2"/>
    <x v="1"/>
    <x v="2"/>
    <x v="12"/>
  </r>
</pivotCacheRecords>
</file>

<file path=xl/pivotCache/pivotCacheRecords2.xml><?xml version="1.0" encoding="utf-8"?>
<pivotCacheRecords xmlns="http://schemas.openxmlformats.org/spreadsheetml/2006/main" xmlns:r="http://schemas.openxmlformats.org/officeDocument/2006/relationships" count="293">
  <r>
    <s v="CUS00148"/>
    <d v="2025-01-04T00:00:00"/>
    <x v="0"/>
    <n v="46"/>
    <x v="0"/>
    <s v="Business Owner"/>
    <n v="1455.22"/>
    <s v="Female"/>
    <s v="Missing"/>
    <x v="0"/>
    <x v="0"/>
  </r>
  <r>
    <s v="CUS00196"/>
    <d v="2025-01-05T00:00:00"/>
    <x v="1"/>
    <n v="33"/>
    <x v="1"/>
    <s v="Healthcare"/>
    <n v="1250.21"/>
    <s v="Male"/>
    <s v="Mogadishu"/>
    <x v="1"/>
    <x v="0"/>
  </r>
  <r>
    <s v="CUS00115"/>
    <d v="2025-01-07T00:00:00"/>
    <x v="1"/>
    <n v="30"/>
    <x v="2"/>
    <s v="Engineer"/>
    <n v="602"/>
    <s v="Male"/>
    <s v="Baidoa"/>
    <x v="2"/>
    <x v="1"/>
  </r>
  <r>
    <s v="CUS00006"/>
    <d v="2025-01-08T00:00:00"/>
    <x v="0"/>
    <n v="40"/>
    <x v="3"/>
    <s v="Civil Servant"/>
    <n v="789.1"/>
    <s v="Female"/>
    <s v="Bosaso"/>
    <x v="3"/>
    <x v="1"/>
  </r>
  <r>
    <s v="CUS00103"/>
    <d v="2025-01-08T00:00:00"/>
    <x v="1"/>
    <n v="66"/>
    <x v="4"/>
    <s v="Business Owner"/>
    <n v="1964.48"/>
    <s v="Male"/>
    <s v="Hargeisa"/>
    <x v="0"/>
    <x v="2"/>
  </r>
  <r>
    <s v="CUS00157"/>
    <d v="2025-01-10T00:00:00"/>
    <x v="0"/>
    <n v="51"/>
    <x v="1"/>
    <s v="Business Owner"/>
    <n v="1547.72"/>
    <s v="Female"/>
    <s v="Mogadishu"/>
    <x v="0"/>
    <x v="2"/>
  </r>
  <r>
    <s v="CUS00076"/>
    <d v="2025-01-10T00:00:00"/>
    <x v="1"/>
    <n v="62"/>
    <x v="1"/>
    <s v="Engineer"/>
    <n v="881.22"/>
    <s v="Male"/>
    <s v="Mogadishu"/>
    <x v="2"/>
    <x v="0"/>
  </r>
  <r>
    <s v="CUS00067"/>
    <d v="2025-01-13T00:00:00"/>
    <x v="1"/>
    <n v="19"/>
    <x v="5"/>
    <s v="student"/>
    <n v="278.61"/>
    <s v="Male"/>
    <s v="Kismayo"/>
    <x v="4"/>
    <x v="1"/>
  </r>
  <r>
    <s v="CUS00287"/>
    <d v="2025-01-14T00:00:00"/>
    <x v="0"/>
    <n v="19"/>
    <x v="1"/>
    <s v="student"/>
    <n v="923.87"/>
    <s v="Female"/>
    <s v="Mogadishu"/>
    <x v="4"/>
    <x v="0"/>
  </r>
  <r>
    <s v="CUS00257"/>
    <d v="2025-01-16T00:00:00"/>
    <x v="1"/>
    <n v="43"/>
    <x v="4"/>
    <s v="student"/>
    <n v="127.29"/>
    <s v="Male"/>
    <s v="Hargeisa"/>
    <x v="4"/>
    <x v="1"/>
  </r>
  <r>
    <s v="CUS00279"/>
    <d v="2025-01-17T00:00:00"/>
    <x v="2"/>
    <n v="18"/>
    <x v="6"/>
    <s v="student"/>
    <n v="312.77"/>
    <s v="Missing"/>
    <s v="Garowe"/>
    <x v="4"/>
    <x v="1"/>
  </r>
  <r>
    <s v="CUS00270"/>
    <d v="2025-01-19T00:00:00"/>
    <x v="1"/>
    <n v="44"/>
    <x v="1"/>
    <s v="Business Owner"/>
    <n v="1015.92"/>
    <s v="Male"/>
    <s v="Mogadishu"/>
    <x v="0"/>
    <x v="0"/>
  </r>
  <r>
    <s v="CUS00005"/>
    <d v="2025-01-20T00:00:00"/>
    <x v="1"/>
    <n v="49"/>
    <x v="1"/>
    <s v="Healthcare"/>
    <n v="1024.44"/>
    <s v="Male"/>
    <s v="Mogadishu"/>
    <x v="1"/>
    <x v="0"/>
  </r>
  <r>
    <s v="CUS00186"/>
    <d v="2025-01-21T00:00:00"/>
    <x v="1"/>
    <n v="53"/>
    <x v="4"/>
    <s v="Engineer"/>
    <n v="926.65"/>
    <s v="Male"/>
    <s v="Hargeisa"/>
    <x v="2"/>
    <x v="0"/>
  </r>
  <r>
    <s v="CUS00252"/>
    <d v="2025-01-22T00:00:00"/>
    <x v="0"/>
    <n v="70"/>
    <x v="1"/>
    <s v="Business Owner"/>
    <n v="2040.09"/>
    <s v="Female"/>
    <s v="Mogadishu"/>
    <x v="0"/>
    <x v="2"/>
  </r>
  <r>
    <s v="CUS00030"/>
    <d v="2025-01-23T00:00:00"/>
    <x v="0"/>
    <n v="28"/>
    <x v="2"/>
    <s v="Healthcare"/>
    <n v="836.87"/>
    <s v="Female"/>
    <s v="Baidoa"/>
    <x v="1"/>
    <x v="0"/>
  </r>
  <r>
    <s v="CUS00235"/>
    <d v="2025-01-24T00:00:00"/>
    <x v="0"/>
    <n v="19"/>
    <x v="6"/>
    <s v="Teacher"/>
    <n v="579.54999999999995"/>
    <s v="Female"/>
    <s v="Garowe"/>
    <x v="5"/>
    <x v="1"/>
  </r>
  <r>
    <s v="CUS00052"/>
    <d v="2025-01-25T00:00:00"/>
    <x v="0"/>
    <n v="63"/>
    <x v="1"/>
    <s v="Healthcare"/>
    <n v="954.9"/>
    <s v="Female"/>
    <s v="Mogadishu"/>
    <x v="1"/>
    <x v="0"/>
  </r>
  <r>
    <s v="CUS00058"/>
    <d v="2025-02-03T00:00:00"/>
    <x v="1"/>
    <n v="20"/>
    <x v="0"/>
    <s v="Teacher"/>
    <n v="526.37"/>
    <s v="Male"/>
    <s v="Missing"/>
    <x v="5"/>
    <x v="1"/>
  </r>
  <r>
    <s v="CUS00181"/>
    <d v="2025-02-03T00:00:00"/>
    <x v="1"/>
    <n v="26"/>
    <x v="1"/>
    <s v="Engineer"/>
    <n v="1086.56"/>
    <s v="Male"/>
    <s v="Mogadishu"/>
    <x v="2"/>
    <x v="0"/>
  </r>
  <r>
    <s v="CUS00206"/>
    <d v="2025-02-06T00:00:00"/>
    <x v="0"/>
    <n v="20"/>
    <x v="1"/>
    <s v="Civil Servant"/>
    <n v="923.87"/>
    <s v="Female"/>
    <s v="Mogadishu"/>
    <x v="3"/>
    <x v="0"/>
  </r>
  <r>
    <s v="CUS00230"/>
    <d v="2025-02-08T00:00:00"/>
    <x v="0"/>
    <n v="62"/>
    <x v="4"/>
    <s v="student"/>
    <n v="210.96"/>
    <s v="Female"/>
    <s v="Hargeisa"/>
    <x v="4"/>
    <x v="1"/>
  </r>
  <r>
    <s v="CUS00025"/>
    <d v="2025-02-15T00:00:00"/>
    <x v="1"/>
    <n v="52"/>
    <x v="4"/>
    <s v="Self-Employed"/>
    <n v="1214.6199999999999"/>
    <s v="Male"/>
    <s v="Hargeisa"/>
    <x v="6"/>
    <x v="0"/>
  </r>
  <r>
    <s v="CUS00211"/>
    <d v="2025-02-15T00:00:00"/>
    <x v="1"/>
    <n v="66"/>
    <x v="4"/>
    <s v="Healthcare"/>
    <n v="1215.9100000000001"/>
    <s v="Male"/>
    <s v="Hargeisa"/>
    <x v="1"/>
    <x v="0"/>
  </r>
  <r>
    <s v="CUS00207"/>
    <d v="2025-02-17T00:00:00"/>
    <x v="1"/>
    <n v="52"/>
    <x v="6"/>
    <s v="Missing "/>
    <n v="494.83"/>
    <s v="Male"/>
    <s v="Garowe"/>
    <x v="7"/>
    <x v="1"/>
  </r>
  <r>
    <s v="CUS00203"/>
    <d v="2025-02-18T00:00:00"/>
    <x v="0"/>
    <n v="35"/>
    <x v="2"/>
    <s v="Civil Servant"/>
    <n v="646.07000000000005"/>
    <s v="Female"/>
    <s v="Baidoa"/>
    <x v="3"/>
    <x v="1"/>
  </r>
  <r>
    <s v="CUS00202"/>
    <d v="2025-02-21T00:00:00"/>
    <x v="1"/>
    <n v="44"/>
    <x v="3"/>
    <s v="Teacher"/>
    <n v="409.49"/>
    <s v="Male"/>
    <s v="Bosaso"/>
    <x v="5"/>
    <x v="1"/>
  </r>
  <r>
    <s v="CUS00223"/>
    <d v="2025-02-27T00:00:00"/>
    <x v="0"/>
    <n v="34"/>
    <x v="5"/>
    <s v="Self-Employed"/>
    <n v="835.61"/>
    <s v="Female"/>
    <s v="Kismayo"/>
    <x v="6"/>
    <x v="0"/>
  </r>
  <r>
    <s v="CUS00231"/>
    <d v="2025-02-27T00:00:00"/>
    <x v="1"/>
    <n v="54"/>
    <x v="1"/>
    <s v="Business Owner"/>
    <n v="923.87"/>
    <s v="Male"/>
    <s v="Mogadishu"/>
    <x v="0"/>
    <x v="0"/>
  </r>
  <r>
    <s v="CUS00292"/>
    <d v="2025-03-03T00:00:00"/>
    <x v="1"/>
    <n v="46"/>
    <x v="0"/>
    <s v="Teacher"/>
    <n v="675.77"/>
    <s v="Male"/>
    <s v="Missing"/>
    <x v="5"/>
    <x v="1"/>
  </r>
  <r>
    <s v="CUS00156"/>
    <d v="2025-03-04T00:00:00"/>
    <x v="0"/>
    <n v="37"/>
    <x v="1"/>
    <s v="Business Owner"/>
    <n v="1800.86"/>
    <s v="Female"/>
    <s v="Mogadishu"/>
    <x v="0"/>
    <x v="2"/>
  </r>
  <r>
    <s v="CUS00072"/>
    <d v="2025-03-05T00:00:00"/>
    <x v="2"/>
    <n v="29"/>
    <x v="1"/>
    <s v="Engineer"/>
    <n v="1516.2"/>
    <s v="Missing"/>
    <s v="Mogadishu"/>
    <x v="2"/>
    <x v="2"/>
  </r>
  <r>
    <s v="CUS00173"/>
    <d v="2025-03-07T00:00:00"/>
    <x v="2"/>
    <n v="59"/>
    <x v="4"/>
    <s v="Self-Employed"/>
    <n v="952.9"/>
    <s v="Missing"/>
    <s v="Hargeisa"/>
    <x v="6"/>
    <x v="0"/>
  </r>
  <r>
    <m/>
    <d v="2025-03-12T00:00:00"/>
    <x v="1"/>
    <n v="21"/>
    <x v="5"/>
    <s v="Healthcare"/>
    <n v="1144.9100000000001"/>
    <s v="Male"/>
    <s v="Kismayo"/>
    <x v="1"/>
    <x v="0"/>
  </r>
  <r>
    <s v="CUS00218"/>
    <d v="2025-03-13T00:00:00"/>
    <x v="0"/>
    <n v="44"/>
    <x v="2"/>
    <s v="Engineer"/>
    <n v="963.66"/>
    <s v="Female"/>
    <s v="Baidoa"/>
    <x v="2"/>
    <x v="0"/>
  </r>
  <r>
    <s v="CUS00137"/>
    <d v="2025-03-15T00:00:00"/>
    <x v="1"/>
    <n v="42"/>
    <x v="1"/>
    <s v="Healthcare"/>
    <n v="1023.35"/>
    <s v="Male"/>
    <s v="Mogadishu"/>
    <x v="1"/>
    <x v="0"/>
  </r>
  <r>
    <s v="CUS00208"/>
    <d v="2025-03-15T00:00:00"/>
    <x v="0"/>
    <n v="66"/>
    <x v="4"/>
    <s v="Self-Employed"/>
    <n v="457.6"/>
    <s v="Female"/>
    <s v="Hargeisa"/>
    <x v="6"/>
    <x v="1"/>
  </r>
  <r>
    <s v="CUS00259"/>
    <d v="2025-03-16T00:00:00"/>
    <x v="1"/>
    <n v="21"/>
    <x v="1"/>
    <s v="Missing "/>
    <n v="1300.93"/>
    <s v="Male"/>
    <s v="Mogadishu"/>
    <x v="7"/>
    <x v="0"/>
  </r>
  <r>
    <s v="CUS00136"/>
    <d v="2025-03-18T00:00:00"/>
    <x v="1"/>
    <n v="32"/>
    <x v="2"/>
    <s v="Civil Servant"/>
    <n v="707.01"/>
    <s v="Male"/>
    <s v="Baidoa"/>
    <x v="3"/>
    <x v="1"/>
  </r>
  <r>
    <s v="CUS00081"/>
    <d v="2025-03-19T00:00:00"/>
    <x v="0"/>
    <n v="61"/>
    <x v="0"/>
    <s v="student"/>
    <n v="265.87"/>
    <s v="Female"/>
    <s v="Missing"/>
    <x v="4"/>
    <x v="1"/>
  </r>
  <r>
    <s v="CUS00111"/>
    <d v="2025-03-25T00:00:00"/>
    <x v="0"/>
    <n v="48"/>
    <x v="2"/>
    <s v="Civil Servant"/>
    <n v="523.37"/>
    <s v="Female"/>
    <s v="Baidoa"/>
    <x v="3"/>
    <x v="1"/>
  </r>
  <r>
    <s v="CUS00138"/>
    <d v="2025-03-26T00:00:00"/>
    <x v="0"/>
    <n v="22"/>
    <x v="4"/>
    <s v="Business Owner"/>
    <n v="1984.53"/>
    <s v="Female"/>
    <s v="Hargeisa"/>
    <x v="0"/>
    <x v="2"/>
  </r>
  <r>
    <s v="CUS00276"/>
    <d v="2025-03-28T00:00:00"/>
    <x v="1"/>
    <n v="20"/>
    <x v="4"/>
    <s v="Civil Servant"/>
    <n v="389.22"/>
    <s v="Male"/>
    <s v="Hargeisa"/>
    <x v="3"/>
    <x v="1"/>
  </r>
  <r>
    <s v="CUS00277"/>
    <d v="2025-03-28T00:00:00"/>
    <x v="1"/>
    <n v="39"/>
    <x v="1"/>
    <s v="Self-Employed"/>
    <n v="10013"/>
    <s v="Male"/>
    <s v="Mogadishu"/>
    <x v="6"/>
    <x v="2"/>
  </r>
  <r>
    <s v="CUS00080"/>
    <d v="2025-03-29T00:00:00"/>
    <x v="0"/>
    <n v="32"/>
    <x v="1"/>
    <s v="Self-Employed"/>
    <n v="1235.8900000000001"/>
    <s v="Female"/>
    <s v="Mogadishu"/>
    <x v="6"/>
    <x v="0"/>
  </r>
  <r>
    <s v="CUS00124"/>
    <d v="2025-03-31T00:00:00"/>
    <x v="0"/>
    <n v="27"/>
    <x v="1"/>
    <s v="Missing "/>
    <n v="863.68"/>
    <s v="Female"/>
    <s v="Mogadishu"/>
    <x v="7"/>
    <x v="0"/>
  </r>
  <r>
    <s v="CUS00249"/>
    <d v="2025-04-02T00:00:00"/>
    <x v="1"/>
    <n v="42"/>
    <x v="1"/>
    <s v="Business Owner"/>
    <n v="1091.0999999999999"/>
    <s v="Male"/>
    <s v="Mogadishu"/>
    <x v="0"/>
    <x v="0"/>
  </r>
  <r>
    <s v="CUS00097"/>
    <d v="2025-04-03T00:00:00"/>
    <x v="1"/>
    <n v="49"/>
    <x v="3"/>
    <s v="student"/>
    <n v="923.87"/>
    <s v="Male"/>
    <s v="Bosaso"/>
    <x v="4"/>
    <x v="0"/>
  </r>
  <r>
    <s v="CUS00247"/>
    <d v="2025-04-05T00:00:00"/>
    <x v="0"/>
    <n v="39"/>
    <x v="6"/>
    <s v="Civil Servant"/>
    <n v="396.11"/>
    <s v="Female"/>
    <s v="Garowe"/>
    <x v="3"/>
    <x v="1"/>
  </r>
  <r>
    <s v="CUS00169"/>
    <d v="2025-04-05T00:00:00"/>
    <x v="1"/>
    <n v="44"/>
    <x v="5"/>
    <s v="Business Owner"/>
    <n v="1852.82"/>
    <s v="Male"/>
    <s v="Kismayo"/>
    <x v="0"/>
    <x v="2"/>
  </r>
  <r>
    <s v="CUS00271"/>
    <d v="2025-04-06T00:00:00"/>
    <x v="0"/>
    <n v="48"/>
    <x v="6"/>
    <s v="Civil Servant"/>
    <n v="746.26"/>
    <s v="Female"/>
    <s v="Garowe"/>
    <x v="3"/>
    <x v="1"/>
  </r>
  <r>
    <s v="CUS00049"/>
    <d v="2025-04-10T00:00:00"/>
    <x v="0"/>
    <n v="33"/>
    <x v="6"/>
    <s v="Civil Servant"/>
    <n v="661.71"/>
    <s v="Female"/>
    <s v="Garowe"/>
    <x v="3"/>
    <x v="1"/>
  </r>
  <r>
    <s v="CUS00234"/>
    <d v="2025-04-11T00:00:00"/>
    <x v="2"/>
    <n v="40"/>
    <x v="5"/>
    <s v="Civil Servant"/>
    <n v="641.59"/>
    <s v="Missing"/>
    <s v="Kismayo"/>
    <x v="3"/>
    <x v="1"/>
  </r>
  <r>
    <s v="CUS00132"/>
    <d v="2025-04-16T00:00:00"/>
    <x v="2"/>
    <n v="41"/>
    <x v="3"/>
    <s v="Healthcare"/>
    <n v="10006"/>
    <s v="Missing"/>
    <s v="Bosaso"/>
    <x v="1"/>
    <x v="2"/>
  </r>
  <r>
    <s v="CUS00119"/>
    <d v="2025-04-16T00:00:00"/>
    <x v="0"/>
    <n v="65"/>
    <x v="1"/>
    <s v="Teacher"/>
    <n v="799.53"/>
    <s v="Female"/>
    <s v="Mogadishu"/>
    <x v="5"/>
    <x v="1"/>
  </r>
  <r>
    <s v="CUS00027"/>
    <d v="2025-04-18T00:00:00"/>
    <x v="1"/>
    <n v="44"/>
    <x v="3"/>
    <s v="Self-Employed"/>
    <n v="923.87"/>
    <s v="Male"/>
    <s v="Bosaso"/>
    <x v="6"/>
    <x v="0"/>
  </r>
  <r>
    <s v="CUS00258"/>
    <d v="2025-04-20T00:00:00"/>
    <x v="1"/>
    <n v="37"/>
    <x v="6"/>
    <s v="Business Owner"/>
    <n v="1470.86"/>
    <s v="Male"/>
    <s v="Garowe"/>
    <x v="0"/>
    <x v="0"/>
  </r>
  <r>
    <s v="CUS00079"/>
    <d v="2025-04-21T00:00:00"/>
    <x v="1"/>
    <n v="39"/>
    <x v="5"/>
    <s v="student"/>
    <n v="120.06"/>
    <s v="Male"/>
    <s v="Kismayo"/>
    <x v="4"/>
    <x v="1"/>
  </r>
  <r>
    <s v="CUS00121"/>
    <d v="2025-04-24T00:00:00"/>
    <x v="1"/>
    <n v="38"/>
    <x v="1"/>
    <s v="Teacher"/>
    <n v="680.77"/>
    <s v="Male"/>
    <s v="Mogadishu"/>
    <x v="5"/>
    <x v="1"/>
  </r>
  <r>
    <s v="CUS00288"/>
    <d v="2025-04-24T00:00:00"/>
    <x v="0"/>
    <n v="44"/>
    <x v="6"/>
    <s v="Teacher"/>
    <n v="758.44"/>
    <s v="Female"/>
    <s v="Garowe"/>
    <x v="5"/>
    <x v="1"/>
  </r>
  <r>
    <s v="CUS00002"/>
    <d v="2025-04-24T00:00:00"/>
    <x v="1"/>
    <n v="47"/>
    <x v="5"/>
    <s v="student"/>
    <n v="129.81"/>
    <s v="Male"/>
    <s v="Kismayo"/>
    <x v="4"/>
    <x v="1"/>
  </r>
  <r>
    <s v="CUS00226"/>
    <d v="2025-04-25T00:00:00"/>
    <x v="1"/>
    <n v="25"/>
    <x v="1"/>
    <s v="Business Owner"/>
    <n v="930.93"/>
    <s v="Male"/>
    <s v="Mogadishu"/>
    <x v="0"/>
    <x v="0"/>
  </r>
  <r>
    <s v="CUS00217"/>
    <d v="2025-04-25T00:00:00"/>
    <x v="1"/>
    <n v="56"/>
    <x v="1"/>
    <s v="Self-Employed"/>
    <n v="1318.45"/>
    <s v="Male"/>
    <s v="Mogadishu"/>
    <x v="6"/>
    <x v="0"/>
  </r>
  <r>
    <m/>
    <d v="2025-04-26T00:00:00"/>
    <x v="1"/>
    <n v="38"/>
    <x v="1"/>
    <s v="Teacher"/>
    <n v="920.19"/>
    <s v="Male"/>
    <s v="Mogadishu"/>
    <x v="5"/>
    <x v="0"/>
  </r>
  <r>
    <s v="CUS00146"/>
    <d v="2025-04-26T00:00:00"/>
    <x v="0"/>
    <n v="61"/>
    <x v="1"/>
    <s v="Engineer"/>
    <n v="998.38"/>
    <s v="Female"/>
    <s v="Mogadishu"/>
    <x v="2"/>
    <x v="0"/>
  </r>
  <r>
    <s v="CUS00133"/>
    <d v="2025-04-28T00:00:00"/>
    <x v="0"/>
    <n v="58"/>
    <x v="5"/>
    <s v="Engineer"/>
    <n v="622.54999999999995"/>
    <s v="Female"/>
    <s v="Kismayo"/>
    <x v="2"/>
    <x v="1"/>
  </r>
  <r>
    <s v="CUS00109"/>
    <d v="2025-04-29T00:00:00"/>
    <x v="0"/>
    <n v="43"/>
    <x v="5"/>
    <s v="Engineer"/>
    <n v="781.63"/>
    <s v="Female"/>
    <s v="Kismayo"/>
    <x v="2"/>
    <x v="1"/>
  </r>
  <r>
    <s v="CUS00246"/>
    <d v="2025-04-30T00:00:00"/>
    <x v="0"/>
    <n v="41"/>
    <x v="0"/>
    <s v="Healthcare"/>
    <n v="1081.02"/>
    <s v="Female"/>
    <s v="Missing"/>
    <x v="1"/>
    <x v="0"/>
  </r>
  <r>
    <s v="CUS00261"/>
    <d v="2025-05-01T00:00:00"/>
    <x v="0"/>
    <n v="38"/>
    <x v="0"/>
    <s v="Teacher"/>
    <n v="752.98"/>
    <s v="Female"/>
    <s v="Missing"/>
    <x v="5"/>
    <x v="1"/>
  </r>
  <r>
    <s v="CUS00149"/>
    <d v="2025-05-01T00:00:00"/>
    <x v="1"/>
    <n v="55"/>
    <x v="0"/>
    <s v="Engineer"/>
    <n v="1436.28"/>
    <s v="Male"/>
    <s v="Missing"/>
    <x v="2"/>
    <x v="0"/>
  </r>
  <r>
    <s v="CUS00227"/>
    <d v="2025-05-03T00:00:00"/>
    <x v="0"/>
    <n v="37"/>
    <x v="1"/>
    <s v="Civil Servant"/>
    <n v="1041.8399999999999"/>
    <s v="Female"/>
    <s v="Mogadishu"/>
    <x v="3"/>
    <x v="0"/>
  </r>
  <r>
    <s v="CUS00262"/>
    <d v="2025-05-03T00:00:00"/>
    <x v="1"/>
    <n v="67"/>
    <x v="1"/>
    <s v="Civil Servant"/>
    <n v="923.87"/>
    <s v="Male"/>
    <s v="Mogadishu"/>
    <x v="3"/>
    <x v="0"/>
  </r>
  <r>
    <s v="CUS00245"/>
    <d v="2025-05-04T00:00:00"/>
    <x v="1"/>
    <n v="32"/>
    <x v="1"/>
    <s v="Missing "/>
    <n v="176.95"/>
    <s v="Male"/>
    <s v="Mogadishu"/>
    <x v="7"/>
    <x v="1"/>
  </r>
  <r>
    <s v="CUS00091"/>
    <d v="2025-05-14T00:00:00"/>
    <x v="1"/>
    <n v="20"/>
    <x v="1"/>
    <s v="Self-Employed"/>
    <n v="895.53"/>
    <s v="Male"/>
    <s v="Mogadishu"/>
    <x v="6"/>
    <x v="0"/>
  </r>
  <r>
    <s v="CUS00017"/>
    <d v="2025-05-15T00:00:00"/>
    <x v="1"/>
    <n v="33"/>
    <x v="1"/>
    <s v="Missing "/>
    <n v="519"/>
    <s v="Male"/>
    <s v="Mogadishu"/>
    <x v="7"/>
    <x v="1"/>
  </r>
  <r>
    <s v="CUS00187"/>
    <d v="2025-05-18T00:00:00"/>
    <x v="1"/>
    <n v="26"/>
    <x v="5"/>
    <s v="student"/>
    <n v="267.12"/>
    <s v="Male"/>
    <s v="Kismayo"/>
    <x v="4"/>
    <x v="1"/>
  </r>
  <r>
    <s v="CUS00128"/>
    <d v="2025-05-24T00:00:00"/>
    <x v="1"/>
    <n v="21"/>
    <x v="2"/>
    <s v="Engineer"/>
    <n v="890.48"/>
    <s v="Male"/>
    <s v="Baidoa"/>
    <x v="2"/>
    <x v="0"/>
  </r>
  <r>
    <s v="CUS00134"/>
    <d v="2025-05-25T00:00:00"/>
    <x v="0"/>
    <n v="38"/>
    <x v="1"/>
    <s v="Engineer"/>
    <n v="836.33"/>
    <s v="Female"/>
    <s v="Mogadishu"/>
    <x v="2"/>
    <x v="0"/>
  </r>
  <r>
    <s v="CUS00012"/>
    <d v="2025-05-27T00:00:00"/>
    <x v="0"/>
    <n v="65"/>
    <x v="1"/>
    <s v="Engineer"/>
    <n v="790.75"/>
    <s v="Female"/>
    <s v="Mogadishu"/>
    <x v="2"/>
    <x v="1"/>
  </r>
  <r>
    <s v="CUS00166"/>
    <d v="2025-05-28T00:00:00"/>
    <x v="1"/>
    <n v="41"/>
    <x v="1"/>
    <s v="Teacher"/>
    <n v="868.55"/>
    <s v="Male"/>
    <s v="Mogadishu"/>
    <x v="5"/>
    <x v="0"/>
  </r>
  <r>
    <s v="CUS00224"/>
    <d v="2025-05-30T00:00:00"/>
    <x v="0"/>
    <n v="48"/>
    <x v="1"/>
    <s v="Business Owner"/>
    <n v="1075.0899999999999"/>
    <s v="Female"/>
    <s v="Mogadishu"/>
    <x v="0"/>
    <x v="0"/>
  </r>
  <r>
    <s v="CUS00241"/>
    <d v="2025-06-01T00:00:00"/>
    <x v="1"/>
    <n v="24"/>
    <x v="1"/>
    <s v="Engineer"/>
    <n v="706.35"/>
    <s v="Male"/>
    <s v="Mogadishu"/>
    <x v="2"/>
    <x v="1"/>
  </r>
  <r>
    <s v="CUS00021"/>
    <d v="2025-06-04T00:00:00"/>
    <x v="0"/>
    <n v="19"/>
    <x v="1"/>
    <s v="Civil Servant"/>
    <n v="923.87"/>
    <s v="Female"/>
    <s v="Mogadishu"/>
    <x v="3"/>
    <x v="0"/>
  </r>
  <r>
    <s v="CUS00239"/>
    <d v="2025-06-08T00:00:00"/>
    <x v="2"/>
    <n v="38"/>
    <x v="2"/>
    <s v="Teacher"/>
    <n v="453.74"/>
    <s v="Missing"/>
    <s v="Baidoa"/>
    <x v="5"/>
    <x v="1"/>
  </r>
  <r>
    <s v="CUS00222"/>
    <d v="2025-06-12T00:00:00"/>
    <x v="0"/>
    <n v="58"/>
    <x v="5"/>
    <s v="Business Owner"/>
    <n v="1316.09"/>
    <s v="Female"/>
    <s v="Kismayo"/>
    <x v="0"/>
    <x v="0"/>
  </r>
  <r>
    <s v="CUS00197"/>
    <d v="2025-06-13T00:00:00"/>
    <x v="0"/>
    <n v="48"/>
    <x v="1"/>
    <s v="Teacher"/>
    <n v="921.62"/>
    <s v="Female"/>
    <s v="Mogadishu"/>
    <x v="5"/>
    <x v="0"/>
  </r>
  <r>
    <s v="CUS00083"/>
    <d v="2025-06-14T00:00:00"/>
    <x v="1"/>
    <n v="68"/>
    <x v="1"/>
    <s v="Teacher"/>
    <n v="870.42"/>
    <s v="Male"/>
    <s v="Mogadishu"/>
    <x v="5"/>
    <x v="0"/>
  </r>
  <r>
    <s v="CUS00273"/>
    <d v="2025-06-16T00:00:00"/>
    <x v="0"/>
    <n v="23"/>
    <x v="1"/>
    <s v="Self-Employed"/>
    <n v="453.51"/>
    <s v="Female"/>
    <s v="Mogadishu"/>
    <x v="6"/>
    <x v="1"/>
  </r>
  <r>
    <s v="CUS00219"/>
    <d v="2025-06-19T00:00:00"/>
    <x v="0"/>
    <n v="42"/>
    <x v="4"/>
    <s v="Healthcare"/>
    <n v="1155.3399999999999"/>
    <s v="Female"/>
    <s v="Hargeisa"/>
    <x v="1"/>
    <x v="0"/>
  </r>
  <r>
    <s v="CUS00048"/>
    <d v="2025-06-20T00:00:00"/>
    <x v="1"/>
    <n v="36"/>
    <x v="1"/>
    <s v="student"/>
    <n v="256.8"/>
    <s v="Male"/>
    <s v="Mogadishu"/>
    <x v="4"/>
    <x v="1"/>
  </r>
  <r>
    <s v="CUS00003"/>
    <d v="2025-06-22T00:00:00"/>
    <x v="0"/>
    <n v="67"/>
    <x v="1"/>
    <s v="Engineer"/>
    <n v="923.87"/>
    <s v="Female"/>
    <s v="Mogadishu"/>
    <x v="2"/>
    <x v="0"/>
  </r>
  <r>
    <s v="CUS00272"/>
    <d v="2025-06-24T00:00:00"/>
    <x v="0"/>
    <n v="39"/>
    <x v="5"/>
    <s v="Missing "/>
    <n v="838.84"/>
    <s v="Female"/>
    <s v="Kismayo"/>
    <x v="7"/>
    <x v="0"/>
  </r>
  <r>
    <s v="CUS00189"/>
    <d v="2025-06-25T00:00:00"/>
    <x v="1"/>
    <n v="28"/>
    <x v="6"/>
    <s v="Teacher"/>
    <n v="919.61"/>
    <s v="Male"/>
    <s v="Garowe"/>
    <x v="5"/>
    <x v="0"/>
  </r>
  <r>
    <s v="CUS00043"/>
    <d v="2025-06-25T00:00:00"/>
    <x v="2"/>
    <n v="43"/>
    <x v="1"/>
    <s v="Civil Servant"/>
    <n v="885.26"/>
    <s v="Missing"/>
    <s v="Mogadishu"/>
    <x v="3"/>
    <x v="0"/>
  </r>
  <r>
    <s v="CUS00019"/>
    <d v="2025-06-29T00:00:00"/>
    <x v="1"/>
    <n v="54"/>
    <x v="5"/>
    <s v="Teacher"/>
    <n v="464.6"/>
    <s v="Male"/>
    <s v="Kismayo"/>
    <x v="5"/>
    <x v="1"/>
  </r>
  <r>
    <s v="CUS00042"/>
    <d v="2025-07-01T00:00:00"/>
    <x v="0"/>
    <n v="44"/>
    <x v="4"/>
    <s v="Teacher"/>
    <n v="648.57000000000005"/>
    <s v="Female"/>
    <s v="Hargeisa"/>
    <x v="5"/>
    <x v="1"/>
  </r>
  <r>
    <s v="CUS00152"/>
    <d v="2025-07-02T00:00:00"/>
    <x v="0"/>
    <n v="44"/>
    <x v="4"/>
    <s v="Self-Employed"/>
    <n v="756.75"/>
    <s v="Female"/>
    <s v="Hargeisa"/>
    <x v="6"/>
    <x v="1"/>
  </r>
  <r>
    <s v="CUS00214"/>
    <d v="2025-07-07T00:00:00"/>
    <x v="0"/>
    <n v="56"/>
    <x v="5"/>
    <s v="Business Owner"/>
    <n v="660.22"/>
    <s v="Female"/>
    <s v="Kismayo"/>
    <x v="0"/>
    <x v="1"/>
  </r>
  <r>
    <s v="CUS00183"/>
    <d v="2025-07-08T00:00:00"/>
    <x v="0"/>
    <n v="18"/>
    <x v="2"/>
    <s v="student"/>
    <n v="275.93"/>
    <s v="Female"/>
    <s v="Baidoa"/>
    <x v="4"/>
    <x v="1"/>
  </r>
  <r>
    <s v="CUS00150"/>
    <d v="2025-07-08T00:00:00"/>
    <x v="1"/>
    <n v="62"/>
    <x v="4"/>
    <s v="Self-Employed"/>
    <n v="1032.69"/>
    <s v="Male"/>
    <s v="Hargeisa"/>
    <x v="6"/>
    <x v="0"/>
  </r>
  <r>
    <s v="CUS00004"/>
    <d v="2025-07-09T00:00:00"/>
    <x v="0"/>
    <n v="42"/>
    <x v="1"/>
    <s v="Teacher"/>
    <n v="648.44000000000005"/>
    <s v="Female"/>
    <s v="Mogadishu"/>
    <x v="5"/>
    <x v="1"/>
  </r>
  <r>
    <s v="CUS00286"/>
    <d v="2025-07-10T00:00:00"/>
    <x v="1"/>
    <n v="18"/>
    <x v="3"/>
    <s v="student"/>
    <n v="108.23"/>
    <s v="Male"/>
    <s v="Bosaso"/>
    <x v="4"/>
    <x v="1"/>
  </r>
  <r>
    <s v="CUS00135"/>
    <d v="2025-07-12T00:00:00"/>
    <x v="0"/>
    <n v="55"/>
    <x v="1"/>
    <s v="Business Owner"/>
    <n v="1137.1600000000001"/>
    <s v="Female"/>
    <s v="Mogadishu"/>
    <x v="0"/>
    <x v="0"/>
  </r>
  <r>
    <s v="CUS00254"/>
    <d v="2025-07-19T00:00:00"/>
    <x v="1"/>
    <n v="28"/>
    <x v="2"/>
    <s v="student"/>
    <n v="152.91999999999999"/>
    <s v="Male"/>
    <s v="Baidoa"/>
    <x v="4"/>
    <x v="1"/>
  </r>
  <r>
    <s v="CUS00100"/>
    <d v="2025-07-20T00:00:00"/>
    <x v="0"/>
    <n v="64"/>
    <x v="1"/>
    <s v="Engineer"/>
    <n v="1421.07"/>
    <s v="Female"/>
    <s v="Mogadishu"/>
    <x v="2"/>
    <x v="0"/>
  </r>
  <r>
    <s v="CUS00060"/>
    <d v="2025-07-23T00:00:00"/>
    <x v="0"/>
    <n v="47"/>
    <x v="1"/>
    <s v="Self-Employed"/>
    <n v="444.76"/>
    <s v="Female"/>
    <s v="Mogadishu"/>
    <x v="6"/>
    <x v="1"/>
  </r>
  <r>
    <s v="CUS00078"/>
    <d v="2025-07-24T00:00:00"/>
    <x v="0"/>
    <n v="69"/>
    <x v="1"/>
    <s v="Missing "/>
    <n v="691.63"/>
    <s v="Female"/>
    <s v="Mogadishu"/>
    <x v="7"/>
    <x v="1"/>
  </r>
  <r>
    <s v="CUS00154"/>
    <d v="2025-07-26T00:00:00"/>
    <x v="0"/>
    <n v="60"/>
    <x v="4"/>
    <s v="Business Owner"/>
    <n v="785.37"/>
    <s v="Female"/>
    <s v="Hargeisa"/>
    <x v="0"/>
    <x v="1"/>
  </r>
  <r>
    <s v="CUS00175"/>
    <d v="2025-07-30T00:00:00"/>
    <x v="0"/>
    <n v="59"/>
    <x v="4"/>
    <s v="Teacher"/>
    <n v="856.56"/>
    <s v="Female"/>
    <s v="Hargeisa"/>
    <x v="5"/>
    <x v="0"/>
  </r>
  <r>
    <s v="CUS00140"/>
    <d v="2025-08-02T00:00:00"/>
    <x v="1"/>
    <n v="30"/>
    <x v="1"/>
    <s v="student"/>
    <n v="167.65"/>
    <s v="Male"/>
    <s v="Mogadishu"/>
    <x v="4"/>
    <x v="1"/>
  </r>
  <r>
    <s v="CUS00210"/>
    <d v="2025-08-04T00:00:00"/>
    <x v="1"/>
    <n v="52"/>
    <x v="5"/>
    <s v="Healthcare"/>
    <n v="1064.4100000000001"/>
    <s v="Male"/>
    <s v="Kismayo"/>
    <x v="1"/>
    <x v="0"/>
  </r>
  <r>
    <s v="CUS00007"/>
    <d v="2025-08-05T00:00:00"/>
    <x v="1"/>
    <n v="45"/>
    <x v="1"/>
    <s v="Civil Servant"/>
    <n v="839.71"/>
    <s v="Male"/>
    <s v="Mogadishu"/>
    <x v="3"/>
    <x v="0"/>
  </r>
  <r>
    <s v="CUS00065"/>
    <d v="2025-08-05T00:00:00"/>
    <x v="1"/>
    <n v="52"/>
    <x v="2"/>
    <s v="Missing "/>
    <n v="481.21"/>
    <s v="Male"/>
    <s v="Baidoa"/>
    <x v="7"/>
    <x v="1"/>
  </r>
  <r>
    <s v="CUS00106"/>
    <d v="2025-08-06T00:00:00"/>
    <x v="1"/>
    <n v="48"/>
    <x v="4"/>
    <s v="CS"/>
    <n v="923.87"/>
    <s v="Male"/>
    <s v="Hargeisa"/>
    <x v="3"/>
    <x v="0"/>
  </r>
  <r>
    <s v="CUS00228"/>
    <d v="2025-08-06T00:00:00"/>
    <x v="1"/>
    <n v="59"/>
    <x v="3"/>
    <s v="Teacher"/>
    <n v="923.87"/>
    <s v="Male"/>
    <s v="Bosaso"/>
    <x v="5"/>
    <x v="0"/>
  </r>
  <r>
    <s v="CUS00194"/>
    <d v="2025-08-07T00:00:00"/>
    <x v="1"/>
    <n v="50"/>
    <x v="5"/>
    <s v="Teacher"/>
    <n v="818.19"/>
    <s v="Male"/>
    <s v="Kismayo"/>
    <x v="5"/>
    <x v="0"/>
  </r>
  <r>
    <s v="CUS00131"/>
    <d v="2025-08-08T00:00:00"/>
    <x v="0"/>
    <n v="29"/>
    <x v="1"/>
    <s v="student"/>
    <n v="923.87"/>
    <s v="Female"/>
    <s v="Mogadishu"/>
    <x v="4"/>
    <x v="0"/>
  </r>
  <r>
    <m/>
    <d v="2025-08-09T00:00:00"/>
    <x v="1"/>
    <n v="53"/>
    <x v="1"/>
    <s v="Self-Employed"/>
    <n v="944.96"/>
    <s v="Male"/>
    <s v="Mogadishu"/>
    <x v="6"/>
    <x v="0"/>
  </r>
  <r>
    <s v="CUS00160"/>
    <d v="2025-08-10T00:00:00"/>
    <x v="1"/>
    <n v="42"/>
    <x v="4"/>
    <s v="Business Owner"/>
    <n v="1672.71"/>
    <s v="Male"/>
    <s v="Hargeisa"/>
    <x v="0"/>
    <x v="2"/>
  </r>
  <r>
    <s v="CUS00053"/>
    <d v="2025-08-12T00:00:00"/>
    <x v="1"/>
    <n v="25"/>
    <x v="1"/>
    <s v="Teacher"/>
    <n v="665.8"/>
    <s v="Male"/>
    <s v="Mogadishu"/>
    <x v="5"/>
    <x v="1"/>
  </r>
  <r>
    <s v="CUS00102"/>
    <d v="2025-08-12T00:00:00"/>
    <x v="1"/>
    <n v="36"/>
    <x v="0"/>
    <s v="student"/>
    <n v="183.1"/>
    <s v="Male"/>
    <s v="Missing"/>
    <x v="4"/>
    <x v="1"/>
  </r>
  <r>
    <s v="CUS00180"/>
    <d v="2025-08-14T00:00:00"/>
    <x v="1"/>
    <n v="61"/>
    <x v="1"/>
    <s v="Self-Employed"/>
    <n v="961.13"/>
    <s v="Male"/>
    <s v="Mogadishu"/>
    <x v="6"/>
    <x v="0"/>
  </r>
  <r>
    <s v="CUS00255"/>
    <d v="2025-08-15T00:00:00"/>
    <x v="1"/>
    <n v="21"/>
    <x v="2"/>
    <s v="Engineer"/>
    <n v="1429.26"/>
    <s v="Male"/>
    <s v="Baidoa"/>
    <x v="2"/>
    <x v="0"/>
  </r>
  <r>
    <s v="CUS00221"/>
    <d v="2025-08-15T00:00:00"/>
    <x v="1"/>
    <n v="44"/>
    <x v="1"/>
    <s v="Business Owner"/>
    <n v="1300.01"/>
    <s v="Male"/>
    <s v="Mogadishu"/>
    <x v="0"/>
    <x v="0"/>
  </r>
  <r>
    <s v="CUS00268"/>
    <d v="2025-08-15T00:00:00"/>
    <x v="0"/>
    <n v="49"/>
    <x v="5"/>
    <s v="Engineer"/>
    <n v="1610.81"/>
    <s v="Female"/>
    <s v="Kismayo"/>
    <x v="2"/>
    <x v="2"/>
  </r>
  <r>
    <s v="CUS00275"/>
    <d v="2025-08-15T00:00:00"/>
    <x v="1"/>
    <n v="59"/>
    <x v="4"/>
    <s v="Teacher"/>
    <n v="508.66"/>
    <s v="Male"/>
    <s v="Hargeisa"/>
    <x v="5"/>
    <x v="1"/>
  </r>
  <r>
    <s v="CUS00122"/>
    <d v="2025-08-17T00:00:00"/>
    <x v="0"/>
    <n v="60"/>
    <x v="4"/>
    <s v="Self-Employed"/>
    <n v="712.55"/>
    <s v="Female"/>
    <s v="Hargeisa"/>
    <x v="6"/>
    <x v="1"/>
  </r>
  <r>
    <s v="CUS00118"/>
    <d v="2025-08-21T00:00:00"/>
    <x v="1"/>
    <n v="60"/>
    <x v="0"/>
    <s v="student"/>
    <n v="923.87"/>
    <s v="Male"/>
    <s v="Missing"/>
    <x v="4"/>
    <x v="0"/>
  </r>
  <r>
    <s v="CUS00182"/>
    <d v="2025-08-23T00:00:00"/>
    <x v="1"/>
    <n v="43"/>
    <x v="5"/>
    <s v="Healthcare"/>
    <n v="1126.8900000000001"/>
    <s v="Male"/>
    <s v="Kismayo"/>
    <x v="1"/>
    <x v="0"/>
  </r>
  <r>
    <s v="CUS00237"/>
    <d v="2025-08-23T00:00:00"/>
    <x v="1"/>
    <n v="44"/>
    <x v="3"/>
    <s v="Business Owner"/>
    <n v="895.93"/>
    <s v="Male"/>
    <s v="Bosaso"/>
    <x v="0"/>
    <x v="0"/>
  </r>
  <r>
    <s v="CUS00171"/>
    <d v="2025-08-24T00:00:00"/>
    <x v="1"/>
    <n v="39"/>
    <x v="4"/>
    <s v="Engineer"/>
    <n v="1386"/>
    <s v="Male"/>
    <s v="Hargeisa"/>
    <x v="2"/>
    <x v="0"/>
  </r>
  <r>
    <s v="CUS00209"/>
    <d v="2025-08-26T00:00:00"/>
    <x v="0"/>
    <n v="61"/>
    <x v="1"/>
    <s v="Teacher"/>
    <n v="923.87"/>
    <s v="Female"/>
    <s v="Mogadishu"/>
    <x v="5"/>
    <x v="0"/>
  </r>
  <r>
    <s v="CUS00143"/>
    <d v="2025-08-27T00:00:00"/>
    <x v="1"/>
    <n v="26"/>
    <x v="3"/>
    <s v="Engineer"/>
    <n v="1481.76"/>
    <s v="Male"/>
    <s v="Bosaso"/>
    <x v="2"/>
    <x v="0"/>
  </r>
  <r>
    <s v="CUS00056"/>
    <d v="2025-08-30T00:00:00"/>
    <x v="1"/>
    <n v="67"/>
    <x v="5"/>
    <s v="Teacher"/>
    <n v="828.77"/>
    <s v="Male"/>
    <s v="Kismayo"/>
    <x v="5"/>
    <x v="0"/>
  </r>
  <r>
    <s v="CUS00285"/>
    <d v="2025-08-31T00:00:00"/>
    <x v="0"/>
    <n v="22"/>
    <x v="4"/>
    <s v="Missing "/>
    <n v="721.11"/>
    <s v="Female"/>
    <s v="Hargeisa"/>
    <x v="7"/>
    <x v="1"/>
  </r>
  <r>
    <s v="CUS00229"/>
    <d v="2025-09-02T00:00:00"/>
    <x v="0"/>
    <n v="46"/>
    <x v="1"/>
    <s v="Missing "/>
    <n v="911.36"/>
    <s v="Female"/>
    <s v="Mogadishu"/>
    <x v="7"/>
    <x v="0"/>
  </r>
  <r>
    <m/>
    <d v="2025-09-08T00:00:00"/>
    <x v="0"/>
    <n v="32"/>
    <x v="6"/>
    <s v="Business Owner"/>
    <n v="1614.28"/>
    <s v="Female"/>
    <s v="Garowe"/>
    <x v="0"/>
    <x v="2"/>
  </r>
  <r>
    <s v="CUS00063"/>
    <d v="2025-09-13T00:00:00"/>
    <x v="0"/>
    <n v="62"/>
    <x v="1"/>
    <s v="Self-Employed"/>
    <n v="1156.93"/>
    <s v="Female"/>
    <s v="Mogadishu"/>
    <x v="6"/>
    <x v="0"/>
  </r>
  <r>
    <s v="CUS00213"/>
    <d v="2025-09-17T00:00:00"/>
    <x v="0"/>
    <n v="32"/>
    <x v="2"/>
    <s v="Engineer"/>
    <n v="1425.97"/>
    <s v="Female"/>
    <s v="Baidoa"/>
    <x v="2"/>
    <x v="0"/>
  </r>
  <r>
    <s v="CUS00112"/>
    <d v="2025-09-18T00:00:00"/>
    <x v="0"/>
    <n v="40"/>
    <x v="5"/>
    <s v="Business Owner"/>
    <n v="677.55"/>
    <s v="Female"/>
    <s v="Kismayo"/>
    <x v="0"/>
    <x v="1"/>
  </r>
  <r>
    <s v="CUS00216"/>
    <d v="2025-09-19T00:00:00"/>
    <x v="0"/>
    <n v="19"/>
    <x v="4"/>
    <s v="Civil Servant"/>
    <n v="916.62"/>
    <s v="Female"/>
    <s v="Hargeisa"/>
    <x v="3"/>
    <x v="0"/>
  </r>
  <r>
    <s v="CUS00164"/>
    <d v="2025-09-25T00:00:00"/>
    <x v="0"/>
    <n v="58"/>
    <x v="1"/>
    <s v="Business Owner"/>
    <n v="1013.28"/>
    <s v="Female"/>
    <s v="Mogadishu"/>
    <x v="0"/>
    <x v="0"/>
  </r>
  <r>
    <s v="CUS00040"/>
    <d v="2025-09-25T00:00:00"/>
    <x v="0"/>
    <n v="66"/>
    <x v="1"/>
    <s v="Civil Servant"/>
    <n v="656.1"/>
    <s v="Female"/>
    <s v="Mogadishu"/>
    <x v="3"/>
    <x v="1"/>
  </r>
  <r>
    <s v="CUS00232"/>
    <d v="2025-09-28T00:00:00"/>
    <x v="0"/>
    <n v="61"/>
    <x v="4"/>
    <s v="Missing "/>
    <n v="667.7"/>
    <s v="Female"/>
    <s v="Hargeisa"/>
    <x v="7"/>
    <x v="1"/>
  </r>
  <r>
    <s v="CUS00123"/>
    <d v="2025-09-30T00:00:00"/>
    <x v="0"/>
    <n v="66"/>
    <x v="1"/>
    <s v="Business Owner"/>
    <n v="969.34"/>
    <s v="Female"/>
    <s v="Mogadishu"/>
    <x v="0"/>
    <x v="0"/>
  </r>
  <r>
    <s v="CUS00264"/>
    <d v="2025-10-01T00:00:00"/>
    <x v="1"/>
    <n v="68"/>
    <x v="1"/>
    <s v="Missing "/>
    <n v="843.99"/>
    <s v="Male"/>
    <s v="Mogadishu"/>
    <x v="7"/>
    <x v="0"/>
  </r>
  <r>
    <s v="CUS00198"/>
    <d v="2025-10-02T00:00:00"/>
    <x v="0"/>
    <n v="33"/>
    <x v="6"/>
    <s v="Healthcare"/>
    <n v="1332.38"/>
    <s v="Female"/>
    <s v="Garowe"/>
    <x v="1"/>
    <x v="0"/>
  </r>
  <r>
    <s v="CUS00033"/>
    <d v="2025-10-02T00:00:00"/>
    <x v="1"/>
    <n v="54"/>
    <x v="5"/>
    <s v="Civil Servant"/>
    <n v="1108.6199999999999"/>
    <s v="Male"/>
    <s v="Kismayo"/>
    <x v="3"/>
    <x v="0"/>
  </r>
  <r>
    <s v="CUS00139"/>
    <d v="2025-10-04T00:00:00"/>
    <x v="1"/>
    <n v="27"/>
    <x v="3"/>
    <s v="Civil Servant"/>
    <n v="897.29"/>
    <s v="Male"/>
    <s v="Bosaso"/>
    <x v="3"/>
    <x v="0"/>
  </r>
  <r>
    <s v="CUS00077"/>
    <d v="2025-10-07T00:00:00"/>
    <x v="0"/>
    <n v="44"/>
    <x v="3"/>
    <s v="student"/>
    <n v="265.52"/>
    <s v="Female"/>
    <s v="Bosaso"/>
    <x v="4"/>
    <x v="1"/>
  </r>
  <r>
    <s v="CUS00153"/>
    <d v="2025-10-08T00:00:00"/>
    <x v="1"/>
    <n v="52"/>
    <x v="5"/>
    <s v="student"/>
    <n v="316.74"/>
    <s v="Male"/>
    <s v="Kismayo"/>
    <x v="4"/>
    <x v="1"/>
  </r>
  <r>
    <s v="CUS00144"/>
    <d v="2025-10-11T00:00:00"/>
    <x v="1"/>
    <n v="20"/>
    <x v="4"/>
    <s v="Self-Employed"/>
    <n v="438.08"/>
    <s v="Male"/>
    <s v="Hargeisa"/>
    <x v="6"/>
    <x v="1"/>
  </r>
  <r>
    <s v="CUS00069"/>
    <d v="2025-10-12T00:00:00"/>
    <x v="2"/>
    <n v="24"/>
    <x v="3"/>
    <s v="Engineer"/>
    <n v="1155.95"/>
    <s v="Missing"/>
    <s v="Bosaso"/>
    <x v="2"/>
    <x v="0"/>
  </r>
  <r>
    <s v="CUS00086"/>
    <d v="2025-10-13T00:00:00"/>
    <x v="1"/>
    <n v="123"/>
    <x v="1"/>
    <s v="Engineer"/>
    <n v="796.52"/>
    <s v="Male"/>
    <s v="Mogadishu"/>
    <x v="2"/>
    <x v="1"/>
  </r>
  <r>
    <m/>
    <d v="2025-10-15T00:00:00"/>
    <x v="0"/>
    <n v="41"/>
    <x v="3"/>
    <s v="Healthcare"/>
    <n v="1200.17"/>
    <s v="Female"/>
    <s v="Bosaso"/>
    <x v="1"/>
    <x v="0"/>
  </r>
  <r>
    <s v="CUS00256"/>
    <d v="2025-10-20T00:00:00"/>
    <x v="2"/>
    <n v="21"/>
    <x v="1"/>
    <s v="Business Owner"/>
    <n v="1996.92"/>
    <s v="Missing"/>
    <s v="Mogadishu"/>
    <x v="0"/>
    <x v="2"/>
  </r>
  <r>
    <s v="CUS00088"/>
    <d v="2025-10-21T00:00:00"/>
    <x v="0"/>
    <n v="26"/>
    <x v="1"/>
    <s v="Teacher"/>
    <n v="896.23"/>
    <s v="Female"/>
    <s v="Mogadishu"/>
    <x v="5"/>
    <x v="0"/>
  </r>
  <r>
    <s v="CUS00026"/>
    <d v="2025-10-24T00:00:00"/>
    <x v="0"/>
    <n v="20"/>
    <x v="1"/>
    <s v="student"/>
    <n v="295.45"/>
    <s v="Female"/>
    <s v="Mogadishu"/>
    <x v="4"/>
    <x v="1"/>
  </r>
  <r>
    <s v="CUS00282"/>
    <d v="2025-10-26T00:00:00"/>
    <x v="1"/>
    <n v="34"/>
    <x v="3"/>
    <s v="Civil Servant"/>
    <n v="862.99"/>
    <s v="Male"/>
    <s v="Bosaso"/>
    <x v="3"/>
    <x v="0"/>
  </r>
  <r>
    <m/>
    <d v="2025-10-27T00:00:00"/>
    <x v="1"/>
    <n v="68"/>
    <x v="4"/>
    <s v="Healthcare"/>
    <n v="947.64"/>
    <s v="Male"/>
    <s v="Hargeisa"/>
    <x v="1"/>
    <x v="0"/>
  </r>
  <r>
    <s v="CUS00114"/>
    <d v="2025-10-28T00:00:00"/>
    <x v="1"/>
    <n v="63"/>
    <x v="3"/>
    <s v="student"/>
    <n v="265.83999999999997"/>
    <s v="Male"/>
    <s v="Bosaso"/>
    <x v="4"/>
    <x v="1"/>
  </r>
  <r>
    <s v="CUS00051"/>
    <d v="2025-10-30T00:00:00"/>
    <x v="0"/>
    <n v="30"/>
    <x v="4"/>
    <s v="Self-Employed"/>
    <n v="728.45"/>
    <s v="Female"/>
    <s v="Hargeisa"/>
    <x v="6"/>
    <x v="1"/>
  </r>
  <r>
    <s v="CUS00089"/>
    <d v="2025-11-02T00:00:00"/>
    <x v="0"/>
    <n v="40"/>
    <x v="3"/>
    <s v="Self-Employed"/>
    <n v="463.46"/>
    <s v="Female"/>
    <s v="Bosaso"/>
    <x v="6"/>
    <x v="1"/>
  </r>
  <r>
    <s v="CUS00242"/>
    <d v="2025-11-05T00:00:00"/>
    <x v="0"/>
    <n v="20"/>
    <x v="3"/>
    <s v="Self-Employed"/>
    <n v="1234.8800000000001"/>
    <s v="Female"/>
    <s v="Bosaso"/>
    <x v="6"/>
    <x v="0"/>
  </r>
  <r>
    <s v="CUS00105"/>
    <d v="2025-11-07T00:00:00"/>
    <x v="0"/>
    <n v="32"/>
    <x v="1"/>
    <s v="Self-Employed"/>
    <n v="790.7"/>
    <s v="Female"/>
    <s v="Mogadishu"/>
    <x v="6"/>
    <x v="1"/>
  </r>
  <r>
    <s v="CUS00172"/>
    <d v="2025-11-09T00:00:00"/>
    <x v="0"/>
    <n v="70"/>
    <x v="3"/>
    <s v="Teacher"/>
    <n v="415.78"/>
    <s v="Female"/>
    <s v="Bosaso"/>
    <x v="5"/>
    <x v="1"/>
  </r>
  <r>
    <s v="CUS00161"/>
    <d v="2025-11-12T00:00:00"/>
    <x v="1"/>
    <n v="20"/>
    <x v="5"/>
    <s v="Civil Servant"/>
    <n v="872.34"/>
    <s v="Male"/>
    <s v="Kismayo"/>
    <x v="3"/>
    <x v="0"/>
  </r>
  <r>
    <s v="CUS00225"/>
    <d v="2025-11-14T00:00:00"/>
    <x v="2"/>
    <n v="70"/>
    <x v="1"/>
    <s v="Civil Servant"/>
    <n v="395.84"/>
    <s v="Missing"/>
    <s v="Mogadishu"/>
    <x v="3"/>
    <x v="1"/>
  </r>
  <r>
    <s v="CUS00028"/>
    <d v="2025-11-15T00:00:00"/>
    <x v="1"/>
    <n v="53"/>
    <x v="1"/>
    <s v="student"/>
    <n v="247.93"/>
    <s v="Male"/>
    <s v="Mogadishu"/>
    <x v="4"/>
    <x v="1"/>
  </r>
  <r>
    <s v="CUS00126"/>
    <d v="2025-11-17T00:00:00"/>
    <x v="2"/>
    <n v="26"/>
    <x v="2"/>
    <s v="Engineer"/>
    <n v="1045.8599999999999"/>
    <s v="Missing"/>
    <s v="Baidoa"/>
    <x v="2"/>
    <x v="0"/>
  </r>
  <r>
    <m/>
    <d v="2025-11-21T00:00:00"/>
    <x v="1"/>
    <n v="30"/>
    <x v="2"/>
    <s v="Healthcare"/>
    <n v="1396.84"/>
    <s v="Male"/>
    <s v="Baidoa"/>
    <x v="1"/>
    <x v="0"/>
  </r>
  <r>
    <s v="CUS00125"/>
    <d v="2025-11-21T00:00:00"/>
    <x v="1"/>
    <n v="35"/>
    <x v="1"/>
    <s v="Business Owner"/>
    <n v="1086.6400000000001"/>
    <s v="Male"/>
    <s v="Mogadishu"/>
    <x v="0"/>
    <x v="0"/>
  </r>
  <r>
    <s v="CUS00110"/>
    <d v="2025-11-22T00:00:00"/>
    <x v="0"/>
    <n v="50"/>
    <x v="1"/>
    <s v="Business Owner"/>
    <n v="923.87"/>
    <s v="Female"/>
    <s v="Mogadishu"/>
    <x v="0"/>
    <x v="0"/>
  </r>
  <r>
    <s v="CUS00001"/>
    <d v="2025-11-23T00:00:00"/>
    <x v="0"/>
    <n v="39"/>
    <x v="5"/>
    <s v="Engineer"/>
    <n v="797.52"/>
    <s v="Female"/>
    <s v="Kismayo"/>
    <x v="2"/>
    <x v="1"/>
  </r>
  <r>
    <s v="CUS00289"/>
    <d v="2025-11-30T00:00:00"/>
    <x v="1"/>
    <n v="41"/>
    <x v="1"/>
    <s v="Teacher"/>
    <n v="374.63"/>
    <s v="Male"/>
    <s v="Mogadishu"/>
    <x v="5"/>
    <x v="1"/>
  </r>
  <r>
    <s v="CUS00274"/>
    <d v="2025-12-07T00:00:00"/>
    <x v="0"/>
    <n v="32"/>
    <x v="1"/>
    <s v="Business Owner"/>
    <n v="1651.76"/>
    <s v="Female"/>
    <s v="Mogadishu"/>
    <x v="0"/>
    <x v="2"/>
  </r>
  <r>
    <s v="CUS00167"/>
    <d v="2025-12-07T00:00:00"/>
    <x v="0"/>
    <n v="37"/>
    <x v="6"/>
    <s v="Teacher"/>
    <n v="853.86"/>
    <s v="Female"/>
    <s v="Garowe"/>
    <x v="5"/>
    <x v="0"/>
  </r>
  <r>
    <s v="CUS00260"/>
    <d v="2025-12-07T00:00:00"/>
    <x v="0"/>
    <n v="40"/>
    <x v="5"/>
    <s v="Business Owner"/>
    <n v="1210.32"/>
    <s v="Female"/>
    <s v="Kismayo"/>
    <x v="0"/>
    <x v="0"/>
  </r>
  <r>
    <s v="CUS00047"/>
    <d v="2025-12-09T00:00:00"/>
    <x v="0"/>
    <n v="43"/>
    <x v="1"/>
    <s v="Engineer"/>
    <n v="624.91999999999996"/>
    <s v="Female"/>
    <s v="Mogadishu"/>
    <x v="2"/>
    <x v="1"/>
  </r>
  <r>
    <s v="CUS00094"/>
    <d v="2025-12-10T00:00:00"/>
    <x v="1"/>
    <n v="55"/>
    <x v="5"/>
    <s v="Engineer"/>
    <n v="1229.76"/>
    <s v="Male"/>
    <s v="Kismayo"/>
    <x v="2"/>
    <x v="0"/>
  </r>
  <r>
    <s v="CUS00195"/>
    <d v="2025-12-15T00:00:00"/>
    <x v="1"/>
    <n v="31"/>
    <x v="3"/>
    <s v="Self-Employed"/>
    <n v="481.99"/>
    <s v="Male"/>
    <s v="Bosaso"/>
    <x v="6"/>
    <x v="1"/>
  </r>
  <r>
    <s v="CUS00184"/>
    <d v="2025-12-17T00:00:00"/>
    <x v="2"/>
    <n v="64"/>
    <x v="3"/>
    <s v="Self-Employed"/>
    <n v="638.53"/>
    <s v="Missing"/>
    <s v="Bosaso"/>
    <x v="6"/>
    <x v="1"/>
  </r>
  <r>
    <s v="CUS00107"/>
    <d v="2025-12-23T00:00:00"/>
    <x v="1"/>
    <n v="46"/>
    <x v="0"/>
    <s v="Business Owner"/>
    <n v="1509.47"/>
    <s v="Male"/>
    <s v="Missing"/>
    <x v="0"/>
    <x v="2"/>
  </r>
  <r>
    <s v="CUS00010"/>
    <d v="2025-12-23T00:00:00"/>
    <x v="1"/>
    <n v="55"/>
    <x v="4"/>
    <s v="Healthcare"/>
    <n v="775.19"/>
    <s v="Male"/>
    <s v="Hargeisa"/>
    <x v="1"/>
    <x v="1"/>
  </r>
  <r>
    <s v="CUS00008"/>
    <d v="2025-12-23T00:00:00"/>
    <x v="0"/>
    <n v="60"/>
    <x v="2"/>
    <s v="Engineer"/>
    <n v="599.34"/>
    <s v="Female"/>
    <s v="Baidoa"/>
    <x v="2"/>
    <x v="1"/>
  </r>
  <r>
    <s v="CUS00045"/>
    <d v="2025-12-26T00:00:00"/>
    <x v="1"/>
    <n v="60"/>
    <x v="1"/>
    <s v="student"/>
    <n v="175.19"/>
    <s v="Male"/>
    <s v="Mogadishu"/>
    <x v="4"/>
    <x v="1"/>
  </r>
  <r>
    <s v="CUS00046"/>
    <d v="2025-12-28T00:00:00"/>
    <x v="0"/>
    <n v="38"/>
    <x v="1"/>
    <s v="Self-Employed"/>
    <n v="748.35"/>
    <s v="Female"/>
    <s v="Mogadishu"/>
    <x v="6"/>
    <x v="1"/>
  </r>
  <r>
    <s v="CUS00116"/>
    <d v="2025-12-29T00:00:00"/>
    <x v="0"/>
    <n v="70"/>
    <x v="3"/>
    <s v="Business Owner"/>
    <n v="924.95"/>
    <s v="Female"/>
    <s v="Bosaso"/>
    <x v="0"/>
    <x v="0"/>
  </r>
  <r>
    <s v="CUS00266"/>
    <d v="2025-12-30T00:00:00"/>
    <x v="1"/>
    <n v="44"/>
    <x v="6"/>
    <s v="Healthcare"/>
    <n v="853.76"/>
    <s v="Male"/>
    <s v="Garowe"/>
    <x v="1"/>
    <x v="0"/>
  </r>
  <r>
    <s v="CUS00016"/>
    <d v="2025-12-31T00:00:00"/>
    <x v="2"/>
    <n v="33"/>
    <x v="1"/>
    <s v="Teacher"/>
    <n v="790.38"/>
    <s v="Missing"/>
    <s v="Mogadishu"/>
    <x v="5"/>
    <x v="1"/>
  </r>
  <r>
    <s v="CUS00035"/>
    <d v="2025-12-31T00:00:00"/>
    <x v="0"/>
    <n v="41"/>
    <x v="2"/>
    <s v="Self-Employed"/>
    <n v="455.83"/>
    <s v="Female"/>
    <s v="Baidoa"/>
    <x v="6"/>
    <x v="1"/>
  </r>
  <r>
    <s v="CUS00269"/>
    <d v="2026-01-04T00:00:00"/>
    <x v="0"/>
    <n v="65"/>
    <x v="0"/>
    <s v="Self-Employed"/>
    <n v="810.64"/>
    <s v="Female"/>
    <s v="Missing"/>
    <x v="6"/>
    <x v="0"/>
  </r>
  <r>
    <s v="CUS00141"/>
    <d v="2026-01-09T00:00:00"/>
    <x v="0"/>
    <n v="57"/>
    <x v="2"/>
    <s v="student"/>
    <n v="128.41999999999999"/>
    <s v="Female"/>
    <s v="Baidoa"/>
    <x v="4"/>
    <x v="1"/>
  </r>
  <r>
    <s v="CUS00087"/>
    <d v="2026-01-11T00:00:00"/>
    <x v="0"/>
    <n v="70"/>
    <x v="3"/>
    <s v="Business Owner"/>
    <n v="1956.52"/>
    <s v="Female"/>
    <s v="Bosaso"/>
    <x v="0"/>
    <x v="2"/>
  </r>
  <r>
    <s v="CUS00200"/>
    <d v="2026-01-15T00:00:00"/>
    <x v="0"/>
    <n v="21"/>
    <x v="2"/>
    <s v="Healthcare"/>
    <n v="845.86"/>
    <s v="Female"/>
    <s v="Baidoa"/>
    <x v="1"/>
    <x v="0"/>
  </r>
  <r>
    <s v="CUS00054"/>
    <d v="2026-01-15T00:00:00"/>
    <x v="1"/>
    <n v="63"/>
    <x v="6"/>
    <s v="Teacher"/>
    <n v="306.45999999999998"/>
    <s v="Male"/>
    <s v="Garowe"/>
    <x v="5"/>
    <x v="1"/>
  </r>
  <r>
    <m/>
    <d v="2026-01-16T00:00:00"/>
    <x v="0"/>
    <n v="44"/>
    <x v="1"/>
    <s v="Self-Employed"/>
    <n v="923.87"/>
    <s v="Female"/>
    <s v="Mogadishu"/>
    <x v="6"/>
    <x v="0"/>
  </r>
  <r>
    <s v="CUS00165"/>
    <d v="2026-01-17T00:00:00"/>
    <x v="0"/>
    <n v="37"/>
    <x v="3"/>
    <s v="student"/>
    <n v="923.87"/>
    <s v="Female"/>
    <s v="Bosaso"/>
    <x v="4"/>
    <x v="0"/>
  </r>
  <r>
    <s v="CUS00095"/>
    <d v="2026-01-19T00:00:00"/>
    <x v="0"/>
    <n v="28"/>
    <x v="0"/>
    <s v="Self-Employed"/>
    <n v="785.95"/>
    <s v="Female"/>
    <s v="Missing"/>
    <x v="6"/>
    <x v="1"/>
  </r>
  <r>
    <s v="CUS00284"/>
    <d v="2026-01-19T00:00:00"/>
    <x v="0"/>
    <n v="36"/>
    <x v="0"/>
    <s v="Teacher"/>
    <n v="922.87"/>
    <s v="Female"/>
    <s v="Missing"/>
    <x v="5"/>
    <x v="0"/>
  </r>
  <r>
    <s v="CUS00098"/>
    <d v="2026-01-26T00:00:00"/>
    <x v="0"/>
    <n v="47"/>
    <x v="0"/>
    <s v="Self-Employed"/>
    <n v="728.06"/>
    <s v="Female"/>
    <s v="Missing"/>
    <x v="6"/>
    <x v="1"/>
  </r>
  <r>
    <s v="CUS00014"/>
    <d v="2026-01-30T00:00:00"/>
    <x v="0"/>
    <n v="49"/>
    <x v="1"/>
    <s v="Self-Employed"/>
    <n v="527.12"/>
    <s v="Female"/>
    <s v="Mogadishu"/>
    <x v="6"/>
    <x v="1"/>
  </r>
  <r>
    <s v="CUS00283"/>
    <d v="2026-02-01T00:00:00"/>
    <x v="1"/>
    <n v="55"/>
    <x v="5"/>
    <s v="Engineer"/>
    <n v="923.87"/>
    <s v="Male"/>
    <s v="Kismayo"/>
    <x v="2"/>
    <x v="0"/>
  </r>
  <r>
    <s v="CUS00062"/>
    <d v="2026-02-04T00:00:00"/>
    <x v="1"/>
    <n v="47"/>
    <x v="1"/>
    <s v="Engineer"/>
    <n v="923.87"/>
    <s v="Male"/>
    <s v="Mogadishu"/>
    <x v="2"/>
    <x v="0"/>
  </r>
  <r>
    <s v="CUS00147"/>
    <d v="2026-02-06T00:00:00"/>
    <x v="1"/>
    <n v="36"/>
    <x v="4"/>
    <s v="Healthcare"/>
    <n v="508.34"/>
    <s v="Male"/>
    <s v="Hargeisa"/>
    <x v="1"/>
    <x v="1"/>
  </r>
  <r>
    <s v="CUS00191"/>
    <d v="2026-02-06T00:00:00"/>
    <x v="0"/>
    <n v="65"/>
    <x v="4"/>
    <s v="Civil Servant"/>
    <n v="1067.9000000000001"/>
    <s v="Female"/>
    <s v="Hargeisa"/>
    <x v="3"/>
    <x v="0"/>
  </r>
  <r>
    <m/>
    <d v="2026-02-07T00:00:00"/>
    <x v="1"/>
    <n v="23"/>
    <x v="5"/>
    <s v="Civil Servant"/>
    <n v="528.86"/>
    <s v="Male"/>
    <s v="Kismayo"/>
    <x v="3"/>
    <x v="1"/>
  </r>
  <r>
    <s v="CUS00096"/>
    <d v="2026-02-07T00:00:00"/>
    <x v="2"/>
    <n v="33"/>
    <x v="1"/>
    <s v="Civil Servant"/>
    <n v="930.02"/>
    <s v="Missing"/>
    <s v="Mogadishu"/>
    <x v="3"/>
    <x v="0"/>
  </r>
  <r>
    <s v="CUS00073"/>
    <d v="2026-02-08T00:00:00"/>
    <x v="0"/>
    <n v="46"/>
    <x v="1"/>
    <s v="student"/>
    <n v="253.15"/>
    <s v="Female"/>
    <s v="Mogadishu"/>
    <x v="4"/>
    <x v="1"/>
  </r>
  <r>
    <s v="CUS00248"/>
    <d v="2026-02-11T00:00:00"/>
    <x v="0"/>
    <n v="30"/>
    <x v="0"/>
    <s v="Teacher"/>
    <n v="855.02"/>
    <s v="Female"/>
    <s v="Missing"/>
    <x v="5"/>
    <x v="0"/>
  </r>
  <r>
    <s v="CUS00240"/>
    <d v="2026-02-12T00:00:00"/>
    <x v="0"/>
    <n v="22"/>
    <x v="1"/>
    <s v="Self-Employed"/>
    <n v="1281"/>
    <s v="Female"/>
    <s v="Mogadishu"/>
    <x v="6"/>
    <x v="0"/>
  </r>
  <r>
    <s v="CUS00236"/>
    <d v="2026-02-14T00:00:00"/>
    <x v="0"/>
    <n v="22"/>
    <x v="4"/>
    <s v="Civil Servant"/>
    <n v="1164.05"/>
    <s v="Female"/>
    <s v="Hargeisa"/>
    <x v="3"/>
    <x v="0"/>
  </r>
  <r>
    <s v="CUS00190"/>
    <d v="2026-02-15T00:00:00"/>
    <x v="0"/>
    <n v="58"/>
    <x v="3"/>
    <s v="Engineer"/>
    <n v="1170.92"/>
    <s v="Female"/>
    <s v="Bosaso"/>
    <x v="2"/>
    <x v="0"/>
  </r>
  <r>
    <s v="CUS00201"/>
    <d v="2026-02-17T00:00:00"/>
    <x v="0"/>
    <n v="55"/>
    <x v="4"/>
    <s v="Civil Servant"/>
    <n v="1021.22"/>
    <s v="Female"/>
    <s v="Hargeisa"/>
    <x v="3"/>
    <x v="0"/>
  </r>
  <r>
    <s v="CUS00188"/>
    <d v="2026-02-20T00:00:00"/>
    <x v="1"/>
    <n v="30"/>
    <x v="3"/>
    <s v="Healthcare"/>
    <n v="1315.27"/>
    <s v="Male"/>
    <s v="Bosaso"/>
    <x v="1"/>
    <x v="0"/>
  </r>
  <r>
    <s v="CUS00029"/>
    <d v="2026-02-24T00:00:00"/>
    <x v="1"/>
    <n v="50"/>
    <x v="6"/>
    <s v="Engineer"/>
    <n v="644.80999999999995"/>
    <s v="Male"/>
    <s v="Garowe"/>
    <x v="2"/>
    <x v="1"/>
  </r>
  <r>
    <s v="CUS00220"/>
    <d v="2026-02-27T00:00:00"/>
    <x v="0"/>
    <n v="60"/>
    <x v="3"/>
    <s v="Healthcare"/>
    <n v="854.23"/>
    <s v="Female"/>
    <s v="Bosaso"/>
    <x v="1"/>
    <x v="0"/>
  </r>
  <r>
    <s v="CUS00085"/>
    <d v="2026-02-28T00:00:00"/>
    <x v="0"/>
    <n v="62"/>
    <x v="1"/>
    <s v="Engineer"/>
    <n v="1371.98"/>
    <s v="Female"/>
    <s v="Mogadishu"/>
    <x v="2"/>
    <x v="0"/>
  </r>
  <r>
    <s v="CUS00023"/>
    <d v="2026-03-01T00:00:00"/>
    <x v="0"/>
    <n v="32"/>
    <x v="5"/>
    <s v="Civil Servant"/>
    <n v="558.07000000000005"/>
    <s v="Female"/>
    <s v="Kismayo"/>
    <x v="3"/>
    <x v="1"/>
  </r>
  <r>
    <s v="CUS00185"/>
    <d v="2026-03-08T00:00:00"/>
    <x v="0"/>
    <n v="43"/>
    <x v="1"/>
    <s v="Healthcare"/>
    <n v="1069.08"/>
    <s v="Female"/>
    <s v="Mogadishu"/>
    <x v="1"/>
    <x v="0"/>
  </r>
  <r>
    <s v="CUS00013"/>
    <d v="2026-03-09T00:00:00"/>
    <x v="0"/>
    <n v="43"/>
    <x v="1"/>
    <s v="Teacher"/>
    <n v="778.23"/>
    <s v="Female"/>
    <s v="Mogadishu"/>
    <x v="5"/>
    <x v="1"/>
  </r>
  <r>
    <s v="CUS00108"/>
    <d v="2026-03-12T00:00:00"/>
    <x v="0"/>
    <n v="52"/>
    <x v="1"/>
    <s v="Missing "/>
    <n v="216.93"/>
    <s v="Female"/>
    <s v="Mogadishu"/>
    <x v="7"/>
    <x v="1"/>
  </r>
  <r>
    <s v="CUS00162"/>
    <d v="2026-03-13T00:00:00"/>
    <x v="0"/>
    <n v="29"/>
    <x v="3"/>
    <s v="Teacher"/>
    <n v="794.1"/>
    <s v="Female"/>
    <s v="Bosaso"/>
    <x v="5"/>
    <x v="1"/>
  </r>
  <r>
    <s v="CUS00104"/>
    <d v="2026-03-13T00:00:00"/>
    <x v="1"/>
    <n v="43"/>
    <x v="1"/>
    <s v="Business Owner"/>
    <n v="1377.65"/>
    <s v="Male"/>
    <s v="Mogadishu"/>
    <x v="0"/>
    <x v="0"/>
  </r>
  <r>
    <s v="CUS00018"/>
    <d v="2026-03-13T00:00:00"/>
    <x v="0"/>
    <n v="44"/>
    <x v="1"/>
    <s v="Self-Employed"/>
    <n v="1321.69"/>
    <s v="Female"/>
    <s v="Mogadishu"/>
    <x v="6"/>
    <x v="0"/>
  </r>
  <r>
    <s v="CUS00068"/>
    <d v="2026-03-18T00:00:00"/>
    <x v="1"/>
    <n v="45"/>
    <x v="2"/>
    <s v="student"/>
    <n v="200.87"/>
    <s v="Male"/>
    <s v="Baidoa"/>
    <x v="4"/>
    <x v="1"/>
  </r>
  <r>
    <s v="CUS00064"/>
    <d v="2026-03-22T00:00:00"/>
    <x v="1"/>
    <n v="64"/>
    <x v="3"/>
    <s v="Business Owner"/>
    <n v="727.81"/>
    <s v="Male"/>
    <s v="Bosaso"/>
    <x v="0"/>
    <x v="1"/>
  </r>
  <r>
    <s v="CUS00278"/>
    <d v="2026-03-28T00:00:00"/>
    <x v="0"/>
    <n v="40"/>
    <x v="4"/>
    <s v="Healthcare"/>
    <n v="644.95000000000005"/>
    <s v="Female"/>
    <s v="Hargeisa"/>
    <x v="1"/>
    <x v="1"/>
  </r>
  <r>
    <s v="CUS00039"/>
    <d v="2026-03-28T00:00:00"/>
    <x v="0"/>
    <n v="63"/>
    <x v="3"/>
    <s v="Business Owner"/>
    <n v="1127.6500000000001"/>
    <s v="Female"/>
    <s v="Bosaso"/>
    <x v="0"/>
    <x v="0"/>
  </r>
  <r>
    <s v="CUS00168"/>
    <d v="2026-04-04T00:00:00"/>
    <x v="0"/>
    <n v="40"/>
    <x v="0"/>
    <s v="Self-Employed"/>
    <n v="727.06"/>
    <s v="Female"/>
    <s v="Missing"/>
    <x v="6"/>
    <x v="1"/>
  </r>
  <r>
    <s v="CUS00142"/>
    <d v="2026-04-12T00:00:00"/>
    <x v="1"/>
    <n v="24"/>
    <x v="1"/>
    <s v="Engineer"/>
    <n v="1411.64"/>
    <s v="Male"/>
    <s v="Mogadishu"/>
    <x v="2"/>
    <x v="0"/>
  </r>
  <r>
    <s v="CUS00015"/>
    <d v="2026-04-15T00:00:00"/>
    <x v="1"/>
    <n v="70"/>
    <x v="5"/>
    <s v="Business Owner"/>
    <n v="891.18"/>
    <s v="Male"/>
    <s v="Kismayo"/>
    <x v="0"/>
    <x v="0"/>
  </r>
  <r>
    <s v="CUS00024"/>
    <d v="2026-04-17T00:00:00"/>
    <x v="0"/>
    <n v="18"/>
    <x v="1"/>
    <s v="Civil Servant"/>
    <n v="1155.56"/>
    <s v="Female"/>
    <s v="Mogadishu"/>
    <x v="3"/>
    <x v="0"/>
  </r>
  <r>
    <s v="CUS00127"/>
    <d v="2026-04-21T00:00:00"/>
    <x v="0"/>
    <n v="46"/>
    <x v="4"/>
    <s v="student"/>
    <n v="116.1"/>
    <s v="Female"/>
    <s v="Hargeisa"/>
    <x v="4"/>
    <x v="1"/>
  </r>
  <r>
    <s v="CUS00145"/>
    <d v="2026-04-24T00:00:00"/>
    <x v="0"/>
    <n v="57"/>
    <x v="5"/>
    <s v="Business Owner"/>
    <n v="749.33"/>
    <s v="Female"/>
    <s v="Kismayo"/>
    <x v="0"/>
    <x v="1"/>
  </r>
  <r>
    <s v="CUS00243"/>
    <d v="2026-04-25T00:00:00"/>
    <x v="0"/>
    <n v="28"/>
    <x v="5"/>
    <s v="Teacher"/>
    <n v="732.86"/>
    <s v="Female"/>
    <s v="Kismayo"/>
    <x v="5"/>
    <x v="1"/>
  </r>
  <r>
    <s v="CUS00032"/>
    <d v="2026-04-25T00:00:00"/>
    <x v="1"/>
    <n v="44"/>
    <x v="4"/>
    <s v="Healthcare"/>
    <n v="1263.1099999999999"/>
    <s v="Male"/>
    <s v="Hargeisa"/>
    <x v="1"/>
    <x v="0"/>
  </r>
  <r>
    <s v="CUS00050"/>
    <d v="2026-05-04T00:00:00"/>
    <x v="0"/>
    <n v="18"/>
    <x v="1"/>
    <s v="Business Owner"/>
    <n v="721.99"/>
    <s v="Female"/>
    <s v="Mogadishu"/>
    <x v="0"/>
    <x v="1"/>
  </r>
  <r>
    <s v="CUS00267"/>
    <d v="2026-05-04T00:00:00"/>
    <x v="0"/>
    <n v="43"/>
    <x v="3"/>
    <s v="student"/>
    <n v="169.21"/>
    <s v="Female"/>
    <s v="Bosaso"/>
    <x v="4"/>
    <x v="1"/>
  </r>
  <r>
    <s v="CUS00066"/>
    <d v="2026-05-06T00:00:00"/>
    <x v="1"/>
    <n v="52"/>
    <x v="1"/>
    <s v="Healthcare"/>
    <n v="934.22"/>
    <s v="Male"/>
    <s v="Mogadishu"/>
    <x v="1"/>
    <x v="0"/>
  </r>
  <r>
    <s v="CUS00253"/>
    <d v="2026-05-08T00:00:00"/>
    <x v="1"/>
    <n v="67"/>
    <x v="1"/>
    <s v="Civil Servant"/>
    <n v="857.27"/>
    <s v="Male"/>
    <s v="Mogadishu"/>
    <x v="3"/>
    <x v="0"/>
  </r>
  <r>
    <m/>
    <d v="2026-05-09T00:00:00"/>
    <x v="0"/>
    <n v="50"/>
    <x v="1"/>
    <s v="Self-Employed"/>
    <n v="917.25"/>
    <s v="Female"/>
    <s v="Mogadishu"/>
    <x v="6"/>
    <x v="0"/>
  </r>
  <r>
    <s v="CUS00059"/>
    <d v="2026-05-15T00:00:00"/>
    <x v="1"/>
    <n v="42"/>
    <x v="3"/>
    <s v="Business Owner"/>
    <n v="923.87"/>
    <s v="Male"/>
    <s v="Bosaso"/>
    <x v="0"/>
    <x v="0"/>
  </r>
  <r>
    <s v="CUS00074"/>
    <d v="2026-05-15T00:00:00"/>
    <x v="0"/>
    <n v="44"/>
    <x v="4"/>
    <s v="Business Owner"/>
    <n v="746.07"/>
    <s v="Female"/>
    <s v="Hargeisa"/>
    <x v="0"/>
    <x v="1"/>
  </r>
  <r>
    <s v="CUS00037"/>
    <d v="2026-05-15T00:00:00"/>
    <x v="0"/>
    <n v="61"/>
    <x v="4"/>
    <s v="student"/>
    <n v="294.94"/>
    <s v="Female"/>
    <s v="Hargeisa"/>
    <x v="4"/>
    <x v="1"/>
  </r>
  <r>
    <s v="CUS00041"/>
    <d v="2026-05-15T00:00:00"/>
    <x v="2"/>
    <n v="65"/>
    <x v="2"/>
    <s v="Business Owner"/>
    <n v="1137.32"/>
    <s v="Missing"/>
    <s v="Baidoa"/>
    <x v="0"/>
    <x v="0"/>
  </r>
  <r>
    <s v="CUS00082"/>
    <d v="2026-05-16T00:00:00"/>
    <x v="0"/>
    <n v="30"/>
    <x v="1"/>
    <s v="Business Owner"/>
    <n v="2015.04"/>
    <s v="Female"/>
    <s v="Mogadishu"/>
    <x v="0"/>
    <x v="2"/>
  </r>
  <r>
    <s v="CUS00155"/>
    <d v="2026-05-17T00:00:00"/>
    <x v="0"/>
    <n v="27"/>
    <x v="4"/>
    <s v="Missing "/>
    <n v="255.08"/>
    <s v="Female"/>
    <s v="Hargeisa"/>
    <x v="7"/>
    <x v="1"/>
  </r>
  <r>
    <s v="CUS00233"/>
    <d v="2026-05-17T00:00:00"/>
    <x v="0"/>
    <n v="39"/>
    <x v="3"/>
    <s v="Healthcare"/>
    <n v="1315.07"/>
    <s v="Female"/>
    <s v="Bosaso"/>
    <x v="1"/>
    <x v="0"/>
  </r>
  <r>
    <s v="CUS00061"/>
    <d v="2026-05-19T00:00:00"/>
    <x v="0"/>
    <n v="53"/>
    <x v="1"/>
    <s v="Engineer"/>
    <n v="923.87"/>
    <s v="Female"/>
    <s v="Mogadishu"/>
    <x v="2"/>
    <x v="0"/>
  </r>
  <r>
    <s v="CUS00250"/>
    <d v="2026-05-21T00:00:00"/>
    <x v="0"/>
    <n v="29"/>
    <x v="1"/>
    <s v="Self-Employed"/>
    <n v="1143.8399999999999"/>
    <s v="Female"/>
    <s v="Mogadishu"/>
    <x v="6"/>
    <x v="0"/>
  </r>
  <r>
    <s v="CUS00092"/>
    <d v="2026-05-24T00:00:00"/>
    <x v="1"/>
    <n v="69"/>
    <x v="1"/>
    <s v="Healthcare"/>
    <n v="1244.97"/>
    <s v="Male"/>
    <s v="Mogadishu"/>
    <x v="1"/>
    <x v="0"/>
  </r>
  <r>
    <s v="CUS00192"/>
    <d v="2026-05-26T00:00:00"/>
    <x v="1"/>
    <n v="44"/>
    <x v="4"/>
    <s v="student"/>
    <n v="149.24"/>
    <s v="Male"/>
    <s v="Hargeisa"/>
    <x v="4"/>
    <x v="1"/>
  </r>
  <r>
    <s v="CUS00290"/>
    <d v="2026-05-27T00:00:00"/>
    <x v="0"/>
    <n v="36"/>
    <x v="4"/>
    <s v="Missing "/>
    <n v="216.82"/>
    <s v="Female"/>
    <s v="Hargeisa"/>
    <x v="7"/>
    <x v="1"/>
  </r>
  <r>
    <s v="CUS00281"/>
    <d v="2026-05-31T00:00:00"/>
    <x v="0"/>
    <n v="34"/>
    <x v="4"/>
    <s v="Engineer"/>
    <n v="1390.38"/>
    <s v="Female"/>
    <s v="Hargeisa"/>
    <x v="2"/>
    <x v="0"/>
  </r>
  <r>
    <s v="CUS00176"/>
    <d v="2026-05-31T00:00:00"/>
    <x v="1"/>
    <n v="44"/>
    <x v="4"/>
    <s v="Teacher"/>
    <n v="661.3"/>
    <s v="Male"/>
    <s v="Hargeisa"/>
    <x v="5"/>
    <x v="1"/>
  </r>
  <r>
    <s v="CUS00129"/>
    <d v="2026-05-31T00:00:00"/>
    <x v="2"/>
    <n v="49"/>
    <x v="5"/>
    <s v="Self-Employed"/>
    <n v="1046.17"/>
    <s v="Missing"/>
    <s v="Kismayo"/>
    <x v="6"/>
    <x v="0"/>
  </r>
  <r>
    <s v="CUS00199"/>
    <d v="2026-06-10T00:00:00"/>
    <x v="1"/>
    <n v="65"/>
    <x v="1"/>
    <s v="Healthcare"/>
    <n v="742.69"/>
    <s v="Male"/>
    <s v="Mogadishu"/>
    <x v="1"/>
    <x v="1"/>
  </r>
  <r>
    <s v="CUS00238"/>
    <d v="2026-06-11T00:00:00"/>
    <x v="1"/>
    <n v="62"/>
    <x v="6"/>
    <s v="Civil Servant"/>
    <n v="595.70000000000005"/>
    <s v="Male"/>
    <s v="Garowe"/>
    <x v="3"/>
    <x v="1"/>
  </r>
  <r>
    <s v="CUS00280"/>
    <d v="2026-06-14T00:00:00"/>
    <x v="1"/>
    <n v="32"/>
    <x v="5"/>
    <s v="student"/>
    <n v="201.16"/>
    <s v="Male"/>
    <s v="Kismayo"/>
    <x v="4"/>
    <x v="1"/>
  </r>
  <r>
    <s v="CUS00212"/>
    <d v="2026-06-16T00:00:00"/>
    <x v="1"/>
    <n v="31"/>
    <x v="1"/>
    <s v="Teacher"/>
    <n v="638.6"/>
    <s v="Male"/>
    <s v="Mogadishu"/>
    <x v="5"/>
    <x v="1"/>
  </r>
  <r>
    <s v="CUS00178"/>
    <d v="2026-06-17T00:00:00"/>
    <x v="1"/>
    <n v="32"/>
    <x v="6"/>
    <s v="Business Owner"/>
    <n v="2091.58"/>
    <s v="Male"/>
    <s v="Garowe"/>
    <x v="0"/>
    <x v="2"/>
  </r>
  <r>
    <s v="CUS00075"/>
    <d v="2026-06-17T00:00:00"/>
    <x v="0"/>
    <n v="47"/>
    <x v="2"/>
    <s v="Business Owner"/>
    <n v="2156"/>
    <s v="Female"/>
    <s v="Baidoa"/>
    <x v="0"/>
    <x v="2"/>
  </r>
  <r>
    <s v="CUS00070"/>
    <d v="2026-06-24T00:00:00"/>
    <x v="1"/>
    <n v="38"/>
    <x v="1"/>
    <s v="Teacher"/>
    <n v="719.42"/>
    <s v="Male"/>
    <s v="Mogadishu"/>
    <x v="5"/>
    <x v="1"/>
  </r>
  <r>
    <s v="CUS00093"/>
    <d v="2026-07-02T00:00:00"/>
    <x v="1"/>
    <n v="59"/>
    <x v="2"/>
    <s v="student"/>
    <n v="239.25"/>
    <s v="Male"/>
    <s v="Baidoa"/>
    <x v="4"/>
    <x v="1"/>
  </r>
  <r>
    <s v="CUS00193"/>
    <d v="2026-07-07T00:00:00"/>
    <x v="1"/>
    <n v="61"/>
    <x v="1"/>
    <s v="Civil Servant"/>
    <n v="1071.8599999999999"/>
    <s v="Male"/>
    <s v="Mogadishu"/>
    <x v="3"/>
    <x v="0"/>
  </r>
  <r>
    <m/>
    <d v="2026-07-08T00:00:00"/>
    <x v="0"/>
    <n v="61"/>
    <x v="4"/>
    <s v="student"/>
    <n v="176.82"/>
    <s v="Female"/>
    <s v="Hargeisa"/>
    <x v="4"/>
    <x v="1"/>
  </r>
  <r>
    <s v="CUS00036"/>
    <d v="2026-07-09T00:00:00"/>
    <x v="0"/>
    <n v="45"/>
    <x v="3"/>
    <s v="Self-Employed"/>
    <n v="671.87"/>
    <s v="Female"/>
    <s v="Bosaso"/>
    <x v="6"/>
    <x v="1"/>
  </r>
  <r>
    <m/>
    <d v="2026-07-19T00:00:00"/>
    <x v="1"/>
    <n v="22"/>
    <x v="1"/>
    <s v="Teacher"/>
    <n v="586.78"/>
    <s v="Male"/>
    <s v="Mogadishu"/>
    <x v="5"/>
    <x v="1"/>
  </r>
  <r>
    <s v="CUS00163"/>
    <d v="2026-07-22T00:00:00"/>
    <x v="1"/>
    <n v="53"/>
    <x v="4"/>
    <s v="Business Owner"/>
    <n v="901.36"/>
    <s v="Male"/>
    <s v="Hargeisa"/>
    <x v="0"/>
    <x v="0"/>
  </r>
  <r>
    <s v="CUS00291"/>
    <d v="2026-07-23T00:00:00"/>
    <x v="1"/>
    <n v="19"/>
    <x v="1"/>
    <s v="Engineer"/>
    <n v="1315.74"/>
    <s v="Male"/>
    <s v="Mogadishu"/>
    <x v="2"/>
    <x v="0"/>
  </r>
  <r>
    <s v="CUS00084"/>
    <d v="2026-07-25T00:00:00"/>
    <x v="1"/>
    <n v="62"/>
    <x v="4"/>
    <s v="Engineer"/>
    <n v="632.38"/>
    <s v="Male"/>
    <s v="Hargeisa"/>
    <x v="2"/>
    <x v="1"/>
  </r>
  <r>
    <s v="CUS00011"/>
    <d v="2026-07-27T00:00:00"/>
    <x v="2"/>
    <n v="70"/>
    <x v="1"/>
    <s v="Healthcare"/>
    <n v="1087.08"/>
    <s v="Missing"/>
    <s v="Mogadishu"/>
    <x v="1"/>
    <x v="0"/>
  </r>
  <r>
    <s v="CUS00158"/>
    <s v="Missing"/>
    <x v="1"/>
    <n v="24"/>
    <x v="3"/>
    <s v="Engineer"/>
    <n v="608.08000000000004"/>
    <s v="Male"/>
    <s v="Bosaso"/>
    <x v="2"/>
    <x v="1"/>
  </r>
  <r>
    <s v="CUS00031"/>
    <s v="Missing"/>
    <x v="0"/>
    <n v="28"/>
    <x v="2"/>
    <s v="Civil Servant"/>
    <n v="647.6"/>
    <s v="Female"/>
    <s v="Baidoa"/>
    <x v="3"/>
    <x v="1"/>
  </r>
  <r>
    <s v="CUS00215"/>
    <s v="Missing"/>
    <x v="1"/>
    <n v="31"/>
    <x v="1"/>
    <s v="Business Owner"/>
    <n v="1961.76"/>
    <s v="Male"/>
    <s v="Mogadishu"/>
    <x v="0"/>
    <x v="2"/>
  </r>
  <r>
    <s v="CUS00265"/>
    <s v="Missing"/>
    <x v="0"/>
    <n v="33"/>
    <x v="1"/>
    <s v="CS"/>
    <n v="964.35"/>
    <s v="Female"/>
    <s v="Mogadishu"/>
    <x v="3"/>
    <x v="0"/>
  </r>
  <r>
    <s v="CUS00090"/>
    <s v="Missing"/>
    <x v="1"/>
    <n v="33"/>
    <x v="5"/>
    <s v="Self-Employed"/>
    <n v="753.73"/>
    <s v="Male"/>
    <s v="Kismayo"/>
    <x v="6"/>
    <x v="1"/>
  </r>
  <r>
    <s v="CUS00034"/>
    <s v="Missing"/>
    <x v="1"/>
    <n v="39"/>
    <x v="2"/>
    <s v="Teacher"/>
    <n v="827.25"/>
    <s v="Male"/>
    <s v="Baidoa"/>
    <x v="5"/>
    <x v="0"/>
  </r>
  <r>
    <s v="CUS00205"/>
    <s v="Missing"/>
    <x v="0"/>
    <n v="40"/>
    <x v="1"/>
    <s v="Self-Employed"/>
    <n v="442.74"/>
    <s v="Female"/>
    <s v="Mogadishu"/>
    <x v="6"/>
    <x v="1"/>
  </r>
  <r>
    <s v="CUS00049"/>
    <s v="Missing"/>
    <x v="0"/>
    <n v="44"/>
    <x v="6"/>
    <s v="Civil Servant"/>
    <n v="661.71"/>
    <s v="Female"/>
    <s v="Garowe"/>
    <x v="3"/>
    <x v="1"/>
  </r>
  <r>
    <s v="CUS00055"/>
    <s v="Missing"/>
    <x v="0"/>
    <n v="45"/>
    <x v="6"/>
    <s v="Healthcare"/>
    <n v="978.74"/>
    <s v="Female"/>
    <s v="Garowe"/>
    <x v="1"/>
    <x v="0"/>
  </r>
  <r>
    <s v="CUS00057"/>
    <s v="Missing"/>
    <x v="1"/>
    <n v="46"/>
    <x v="5"/>
    <s v="Teacher"/>
    <n v="645.54999999999995"/>
    <s v="Male"/>
    <s v="Kismayo"/>
    <x v="5"/>
    <x v="1"/>
  </r>
  <r>
    <s v="CUS00071"/>
    <s v="Missing"/>
    <x v="0"/>
    <n v="48"/>
    <x v="6"/>
    <s v="Civil Servant"/>
    <n v="759.9"/>
    <s v="Female"/>
    <s v="Garowe"/>
    <x v="3"/>
    <x v="1"/>
  </r>
  <r>
    <m/>
    <s v="Missing"/>
    <x v="1"/>
    <n v="50"/>
    <x v="4"/>
    <s v="Business Owner"/>
    <n v="1828.2"/>
    <s v="Male"/>
    <s v="Hargeisa"/>
    <x v="0"/>
    <x v="2"/>
  </r>
  <r>
    <s v="CUS00020"/>
    <s v="Missing"/>
    <x v="0"/>
    <n v="53"/>
    <x v="3"/>
    <s v="Engineer"/>
    <n v="776.84"/>
    <s v="Female"/>
    <s v="Bosaso"/>
    <x v="2"/>
    <x v="1"/>
  </r>
  <r>
    <s v="CUS00130"/>
    <s v="Missing"/>
    <x v="0"/>
    <n v="55"/>
    <x v="5"/>
    <s v="Engineer"/>
    <n v="1603.75"/>
    <s v="Female"/>
    <s v="Kismayo"/>
    <x v="2"/>
    <x v="2"/>
  </r>
  <r>
    <s v="CUS00022"/>
    <s v="Missing"/>
    <x v="0"/>
    <n v="55"/>
    <x v="1"/>
    <s v="Civil Servant"/>
    <n v="618.42999999999995"/>
    <s v="Female"/>
    <s v="Mogadishu"/>
    <x v="3"/>
    <x v="1"/>
  </r>
  <r>
    <s v="CUS00174"/>
    <s v="Missing"/>
    <x v="1"/>
    <n v="55"/>
    <x v="6"/>
    <s v="Teacher"/>
    <n v="325.43"/>
    <s v="Male"/>
    <s v="Garowe"/>
    <x v="5"/>
    <x v="1"/>
  </r>
  <r>
    <s v="CUS00177"/>
    <s v="Missing"/>
    <x v="1"/>
    <n v="57"/>
    <x v="1"/>
    <s v="Healthcare"/>
    <n v="502.04"/>
    <s v="Male"/>
    <s v="Mogadishu"/>
    <x v="1"/>
    <x v="1"/>
  </r>
  <r>
    <m/>
    <s v="Missing"/>
    <x v="1"/>
    <n v="63"/>
    <x v="4"/>
    <s v="student"/>
    <n v="268.75"/>
    <s v="Male"/>
    <s v="Hargeisa"/>
    <x v="4"/>
    <x v="1"/>
  </r>
  <r>
    <s v="CUS00099"/>
    <s v="Missing"/>
    <x v="1"/>
    <n v="70"/>
    <x v="3"/>
    <s v="Business Owner"/>
    <n v="1249.32"/>
    <s v="Male"/>
    <s v="Bosaso"/>
    <x v="0"/>
    <x v="0"/>
  </r>
  <r>
    <s v="CUS00170"/>
    <s v="Missing"/>
    <x v="1"/>
    <n v="107"/>
    <x v="6"/>
    <s v="Engineer"/>
    <n v="632.26"/>
    <s v="Male"/>
    <s v="Garowe"/>
    <x v="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7"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91:B100" firstHeaderRow="1" firstDataRow="1" firstDataCol="1"/>
  <pivotFields count="13">
    <pivotField dataField="1" showAll="0"/>
    <pivotField showAll="0"/>
    <pivotField showAll="0"/>
    <pivotField showAll="0"/>
    <pivotField showAll="0"/>
    <pivotField showAll="0">
      <items count="10">
        <item x="0"/>
        <item x="3"/>
        <item x="8"/>
        <item x="2"/>
        <item x="1"/>
        <item x="7"/>
        <item x="6"/>
        <item x="4"/>
        <item x="5"/>
        <item t="default"/>
      </items>
    </pivotField>
    <pivotField numFmtId="165" showAll="0"/>
    <pivotField showAll="0"/>
    <pivotField showAll="0"/>
    <pivotField axis="axisRow" showAll="0">
      <items count="9">
        <item x="0"/>
        <item x="3"/>
        <item x="2"/>
        <item x="1"/>
        <item x="7"/>
        <item x="6"/>
        <item x="4"/>
        <item x="5"/>
        <item t="default"/>
      </items>
    </pivotField>
    <pivotField showAll="0"/>
    <pivotField showAll="0"/>
    <pivotField showAll="0">
      <items count="14">
        <item x="0"/>
        <item x="1"/>
        <item x="2"/>
        <item x="3"/>
        <item x="4"/>
        <item x="5"/>
        <item x="6"/>
        <item x="7"/>
        <item x="8"/>
        <item x="9"/>
        <item x="10"/>
        <item x="11"/>
        <item x="12"/>
        <item t="default"/>
      </items>
    </pivotField>
  </pivotFields>
  <rowFields count="1">
    <field x="9"/>
  </rowFields>
  <rowItems count="9">
    <i>
      <x/>
    </i>
    <i>
      <x v="1"/>
    </i>
    <i>
      <x v="2"/>
    </i>
    <i>
      <x v="3"/>
    </i>
    <i>
      <x v="4"/>
    </i>
    <i>
      <x v="5"/>
    </i>
    <i>
      <x v="6"/>
    </i>
    <i>
      <x v="7"/>
    </i>
    <i t="grand">
      <x/>
    </i>
  </rowItems>
  <colItems count="1">
    <i/>
  </colItems>
  <dataFields count="1">
    <dataField name="Count of Customer_ID" fld="0"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0">
  <location ref="A15:B23" firstHeaderRow="1" firstDataRow="1" firstDataCol="1"/>
  <pivotFields count="11">
    <pivotField showAll="0"/>
    <pivotField showAll="0"/>
    <pivotField showAll="0">
      <items count="4">
        <item x="0"/>
        <item x="1"/>
        <item x="2"/>
        <item t="default"/>
      </items>
    </pivotField>
    <pivotField showAll="0"/>
    <pivotField axis="axisRow" showAll="0">
      <items count="8">
        <item x="2"/>
        <item x="3"/>
        <item x="6"/>
        <item x="4"/>
        <item x="5"/>
        <item x="0"/>
        <item x="1"/>
        <item t="default"/>
      </items>
    </pivotField>
    <pivotField showAll="0"/>
    <pivotField dataField="1" numFmtId="165" showAll="0"/>
    <pivotField showAll="0"/>
    <pivotField showAll="0"/>
    <pivotField showAll="0">
      <items count="9">
        <item x="0"/>
        <item x="3"/>
        <item x="2"/>
        <item x="1"/>
        <item x="7"/>
        <item x="6"/>
        <item x="4"/>
        <item x="5"/>
        <item t="default"/>
      </items>
    </pivotField>
    <pivotField showAll="0"/>
  </pivotFields>
  <rowFields count="1">
    <field x="4"/>
  </rowFields>
  <rowItems count="8">
    <i>
      <x/>
    </i>
    <i>
      <x v="1"/>
    </i>
    <i>
      <x v="2"/>
    </i>
    <i>
      <x v="3"/>
    </i>
    <i>
      <x v="4"/>
    </i>
    <i>
      <x v="5"/>
    </i>
    <i>
      <x v="6"/>
    </i>
    <i t="grand">
      <x/>
    </i>
  </rowItems>
  <colItems count="1">
    <i/>
  </colItems>
  <dataFields count="1">
    <dataField name="Sum of Monthly_Income" fld="6" baseField="4" baseItem="0"/>
  </dataFields>
  <chartFormats count="2">
    <chartFormat chart="0" format="1" series="1">
      <pivotArea type="data" outline="0" fieldPosition="0">
        <references count="1">
          <reference field="4294967294" count="1" selected="0">
            <x v="0"/>
          </reference>
        </references>
      </pivotArea>
    </chartFormat>
    <chartFormat chart="9"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PivotTable4"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7:B46" firstHeaderRow="1" firstDataRow="1" firstDataCol="1"/>
  <pivotFields count="11">
    <pivotField showAll="0"/>
    <pivotField showAll="0"/>
    <pivotField showAll="0">
      <items count="4">
        <item x="0"/>
        <item x="1"/>
        <item x="2"/>
        <item t="default"/>
      </items>
    </pivotField>
    <pivotField showAll="0"/>
    <pivotField showAll="0">
      <items count="8">
        <item x="2"/>
        <item x="3"/>
        <item x="6"/>
        <item x="4"/>
        <item x="5"/>
        <item x="0"/>
        <item x="1"/>
        <item t="default"/>
      </items>
    </pivotField>
    <pivotField showAll="0"/>
    <pivotField dataField="1" numFmtId="165" showAll="0"/>
    <pivotField showAll="0"/>
    <pivotField showAll="0"/>
    <pivotField axis="axisRow" showAll="0">
      <items count="9">
        <item x="0"/>
        <item x="3"/>
        <item x="2"/>
        <item x="1"/>
        <item x="7"/>
        <item x="6"/>
        <item x="4"/>
        <item x="5"/>
        <item t="default"/>
      </items>
    </pivotField>
    <pivotField showAll="0"/>
  </pivotFields>
  <rowFields count="1">
    <field x="9"/>
  </rowFields>
  <rowItems count="9">
    <i>
      <x/>
    </i>
    <i>
      <x v="1"/>
    </i>
    <i>
      <x v="2"/>
    </i>
    <i>
      <x v="3"/>
    </i>
    <i>
      <x v="4"/>
    </i>
    <i>
      <x v="5"/>
    </i>
    <i>
      <x v="6"/>
    </i>
    <i>
      <x v="7"/>
    </i>
    <i t="grand">
      <x/>
    </i>
  </rowItems>
  <colItems count="1">
    <i/>
  </colItems>
  <dataFields count="1">
    <dataField name="Sum of Monthly_Income" fld="6" baseField="0" baseItem="0"/>
  </dataFields>
  <chartFormats count="10">
    <chartFormat chart="0" format="1" series="1">
      <pivotArea type="data" outline="0" fieldPosition="0">
        <references count="1">
          <reference field="4294967294" count="1" selected="0">
            <x v="0"/>
          </reference>
        </references>
      </pivotArea>
    </chartFormat>
    <chartFormat chart="3" format="12" series="1">
      <pivotArea type="data" outline="0" fieldPosition="0">
        <references count="1">
          <reference field="4294967294" count="1" selected="0">
            <x v="0"/>
          </reference>
        </references>
      </pivotArea>
    </chartFormat>
    <chartFormat chart="3" format="13">
      <pivotArea type="data" outline="0" fieldPosition="0">
        <references count="2">
          <reference field="4294967294" count="1" selected="0">
            <x v="0"/>
          </reference>
          <reference field="9" count="1" selected="0">
            <x v="0"/>
          </reference>
        </references>
      </pivotArea>
    </chartFormat>
    <chartFormat chart="3" format="14">
      <pivotArea type="data" outline="0" fieldPosition="0">
        <references count="2">
          <reference field="4294967294" count="1" selected="0">
            <x v="0"/>
          </reference>
          <reference field="9" count="1" selected="0">
            <x v="1"/>
          </reference>
        </references>
      </pivotArea>
    </chartFormat>
    <chartFormat chart="3" format="15">
      <pivotArea type="data" outline="0" fieldPosition="0">
        <references count="2">
          <reference field="4294967294" count="1" selected="0">
            <x v="0"/>
          </reference>
          <reference field="9" count="1" selected="0">
            <x v="2"/>
          </reference>
        </references>
      </pivotArea>
    </chartFormat>
    <chartFormat chart="3" format="16">
      <pivotArea type="data" outline="0" fieldPosition="0">
        <references count="2">
          <reference field="4294967294" count="1" selected="0">
            <x v="0"/>
          </reference>
          <reference field="9" count="1" selected="0">
            <x v="3"/>
          </reference>
        </references>
      </pivotArea>
    </chartFormat>
    <chartFormat chart="3" format="17">
      <pivotArea type="data" outline="0" fieldPosition="0">
        <references count="2">
          <reference field="4294967294" count="1" selected="0">
            <x v="0"/>
          </reference>
          <reference field="9" count="1" selected="0">
            <x v="4"/>
          </reference>
        </references>
      </pivotArea>
    </chartFormat>
    <chartFormat chart="3" format="18">
      <pivotArea type="data" outline="0" fieldPosition="0">
        <references count="2">
          <reference field="4294967294" count="1" selected="0">
            <x v="0"/>
          </reference>
          <reference field="9" count="1" selected="0">
            <x v="5"/>
          </reference>
        </references>
      </pivotArea>
    </chartFormat>
    <chartFormat chart="3" format="19">
      <pivotArea type="data" outline="0" fieldPosition="0">
        <references count="2">
          <reference field="4294967294" count="1" selected="0">
            <x v="0"/>
          </reference>
          <reference field="9" count="1" selected="0">
            <x v="6"/>
          </reference>
        </references>
      </pivotArea>
    </chartFormat>
    <chartFormat chart="3" format="20">
      <pivotArea type="data" outline="0" fieldPosition="0">
        <references count="2">
          <reference field="4294967294" count="1" selected="0">
            <x v="0"/>
          </reference>
          <reference field="9" count="1" selected="0">
            <x v="7"/>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PivotTable3"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M17:Q26" firstHeaderRow="1" firstDataRow="2" firstDataCol="1"/>
  <pivotFields count="11">
    <pivotField dataField="1" showAll="0"/>
    <pivotField showAll="0"/>
    <pivotField axis="axisCol" showAll="0">
      <items count="4">
        <item x="0"/>
        <item x="1"/>
        <item x="2"/>
        <item t="default"/>
      </items>
    </pivotField>
    <pivotField showAll="0"/>
    <pivotField axis="axisRow" showAll="0">
      <items count="8">
        <item x="2"/>
        <item x="3"/>
        <item x="6"/>
        <item x="4"/>
        <item x="5"/>
        <item x="0"/>
        <item x="1"/>
        <item t="default"/>
      </items>
    </pivotField>
    <pivotField showAll="0"/>
    <pivotField numFmtId="165" showAll="0"/>
    <pivotField showAll="0"/>
    <pivotField showAll="0"/>
    <pivotField showAll="0">
      <items count="9">
        <item x="0"/>
        <item x="3"/>
        <item x="2"/>
        <item x="1"/>
        <item x="7"/>
        <item x="6"/>
        <item x="4"/>
        <item x="5"/>
        <item t="default"/>
      </items>
    </pivotField>
    <pivotField showAll="0"/>
  </pivotFields>
  <rowFields count="1">
    <field x="4"/>
  </rowFields>
  <rowItems count="8">
    <i>
      <x/>
    </i>
    <i>
      <x v="1"/>
    </i>
    <i>
      <x v="2"/>
    </i>
    <i>
      <x v="3"/>
    </i>
    <i>
      <x v="4"/>
    </i>
    <i>
      <x v="5"/>
    </i>
    <i>
      <x v="6"/>
    </i>
    <i t="grand">
      <x/>
    </i>
  </rowItems>
  <colFields count="1">
    <field x="2"/>
  </colFields>
  <colItems count="4">
    <i>
      <x/>
    </i>
    <i>
      <x v="1"/>
    </i>
    <i>
      <x v="2"/>
    </i>
    <i t="grand">
      <x/>
    </i>
  </colItems>
  <dataFields count="1">
    <dataField name="Count of Customer_ID" fld="0" subtotal="count" baseField="0" baseItem="0"/>
  </dataFields>
  <chartFormats count="6">
    <chartFormat chart="1" format="3" series="1">
      <pivotArea type="data" outline="0" fieldPosition="0">
        <references count="2">
          <reference field="4294967294" count="1" selected="0">
            <x v="0"/>
          </reference>
          <reference field="2" count="1" selected="0">
            <x v="0"/>
          </reference>
        </references>
      </pivotArea>
    </chartFormat>
    <chartFormat chart="1" format="4" series="1">
      <pivotArea type="data" outline="0" fieldPosition="0">
        <references count="2">
          <reference field="4294967294" count="1" selected="0">
            <x v="0"/>
          </reference>
          <reference field="2" count="1" selected="0">
            <x v="1"/>
          </reference>
        </references>
      </pivotArea>
    </chartFormat>
    <chartFormat chart="1" format="5" series="1">
      <pivotArea type="data" outline="0" fieldPosition="0">
        <references count="2">
          <reference field="4294967294" count="1" selected="0">
            <x v="0"/>
          </reference>
          <reference field="2" count="1" selected="0">
            <x v="2"/>
          </reference>
        </references>
      </pivotArea>
    </chartFormat>
    <chartFormat chart="5" format="9" series="1">
      <pivotArea type="data" outline="0" fieldPosition="0">
        <references count="2">
          <reference field="4294967294" count="1" selected="0">
            <x v="0"/>
          </reference>
          <reference field="2" count="1" selected="0">
            <x v="0"/>
          </reference>
        </references>
      </pivotArea>
    </chartFormat>
    <chartFormat chart="5" format="10" series="1">
      <pivotArea type="data" outline="0" fieldPosition="0">
        <references count="2">
          <reference field="4294967294" count="1" selected="0">
            <x v="0"/>
          </reference>
          <reference field="2" count="1" selected="0">
            <x v="1"/>
          </reference>
        </references>
      </pivotArea>
    </chartFormat>
    <chartFormat chart="5" format="11"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http://schemas.openxmlformats.org/spreadsheetml/2006/main" name="PivotTable1"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V16:W20" firstHeaderRow="1" firstDataRow="1" firstDataCol="1"/>
  <pivotFields count="11">
    <pivotField showAll="0"/>
    <pivotField showAll="0"/>
    <pivotField axis="axisRow" showAll="0">
      <items count="4">
        <item x="0"/>
        <item x="1"/>
        <item x="2"/>
        <item t="default"/>
      </items>
    </pivotField>
    <pivotField showAll="0"/>
    <pivotField showAll="0">
      <items count="8">
        <item x="2"/>
        <item x="3"/>
        <item x="6"/>
        <item x="4"/>
        <item x="5"/>
        <item x="0"/>
        <item x="1"/>
        <item t="default"/>
      </items>
    </pivotField>
    <pivotField showAll="0"/>
    <pivotField dataField="1" numFmtId="165" showAll="0"/>
    <pivotField showAll="0"/>
    <pivotField showAll="0"/>
    <pivotField showAll="0">
      <items count="9">
        <item x="0"/>
        <item x="3"/>
        <item x="2"/>
        <item x="1"/>
        <item x="7"/>
        <item x="6"/>
        <item x="4"/>
        <item x="5"/>
        <item t="default"/>
      </items>
    </pivotField>
    <pivotField showAll="0"/>
  </pivotFields>
  <rowFields count="1">
    <field x="2"/>
  </rowFields>
  <rowItems count="4">
    <i>
      <x/>
    </i>
    <i>
      <x v="1"/>
    </i>
    <i>
      <x v="2"/>
    </i>
    <i t="grand">
      <x/>
    </i>
  </rowItems>
  <colItems count="1">
    <i/>
  </colItems>
  <dataFields count="1">
    <dataField name="Sum of Monthly_Income" fld="6" baseField="0" baseItem="0"/>
  </dataFields>
  <chartFormats count="8">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2" count="1" selected="0">
            <x v="0"/>
          </reference>
        </references>
      </pivotArea>
    </chartFormat>
    <chartFormat chart="1" format="2">
      <pivotArea type="data" outline="0" fieldPosition="0">
        <references count="2">
          <reference field="4294967294" count="1" selected="0">
            <x v="0"/>
          </reference>
          <reference field="2" count="1" selected="0">
            <x v="1"/>
          </reference>
        </references>
      </pivotArea>
    </chartFormat>
    <chartFormat chart="1" format="3">
      <pivotArea type="data" outline="0" fieldPosition="0">
        <references count="2">
          <reference field="4294967294" count="1" selected="0">
            <x v="0"/>
          </reference>
          <reference field="2" count="1" selected="0">
            <x v="2"/>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2" count="1" selected="0">
            <x v="0"/>
          </reference>
        </references>
      </pivotArea>
    </chartFormat>
    <chartFormat chart="4" format="10">
      <pivotArea type="data" outline="0" fieldPosition="0">
        <references count="2">
          <reference field="4294967294" count="1" selected="0">
            <x v="0"/>
          </reference>
          <reference field="2" count="1" selected="0">
            <x v="1"/>
          </reference>
        </references>
      </pivotArea>
    </chartFormat>
    <chartFormat chart="4" format="1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pivotTableDefinition>
</file>

<file path=xl/pivotTables/pivotTable6.xml><?xml version="1.0" encoding="utf-8"?>
<pivotTableDefinition xmlns="http://schemas.openxmlformats.org/spreadsheetml/2006/main" name="PivotTable5"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
  <location ref="M42:O47" firstHeaderRow="1" firstDataRow="2" firstDataCol="1" rowPageCount="1" colPageCount="1"/>
  <pivotFields count="11">
    <pivotField dataField="1" showAll="0"/>
    <pivotField showAll="0"/>
    <pivotField showAll="0">
      <items count="4">
        <item x="0"/>
        <item x="1"/>
        <item x="2"/>
        <item t="default"/>
      </items>
    </pivotField>
    <pivotField showAll="0"/>
    <pivotField axis="axisPage" multipleItemSelectionAllowed="1" showAll="0">
      <items count="8">
        <item x="2"/>
        <item x="3"/>
        <item x="6"/>
        <item x="4"/>
        <item x="5"/>
        <item x="0"/>
        <item x="1"/>
        <item t="default"/>
      </items>
    </pivotField>
    <pivotField showAll="0"/>
    <pivotField dataField="1" numFmtId="165" showAll="0"/>
    <pivotField showAll="0"/>
    <pivotField showAll="0"/>
    <pivotField showAll="0">
      <items count="9">
        <item x="0"/>
        <item x="3"/>
        <item x="2"/>
        <item x="1"/>
        <item x="7"/>
        <item x="6"/>
        <item x="4"/>
        <item x="5"/>
        <item t="default"/>
      </items>
    </pivotField>
    <pivotField axis="axisRow" showAll="0">
      <items count="4">
        <item x="2"/>
        <item x="1"/>
        <item x="0"/>
        <item t="default"/>
      </items>
    </pivotField>
  </pivotFields>
  <rowFields count="1">
    <field x="10"/>
  </rowFields>
  <rowItems count="4">
    <i>
      <x/>
    </i>
    <i>
      <x v="1"/>
    </i>
    <i>
      <x v="2"/>
    </i>
    <i t="grand">
      <x/>
    </i>
  </rowItems>
  <colFields count="1">
    <field x="-2"/>
  </colFields>
  <colItems count="2">
    <i>
      <x/>
    </i>
    <i i="1">
      <x v="1"/>
    </i>
  </colItems>
  <pageFields count="1">
    <pageField fld="4" hier="-1"/>
  </pageFields>
  <dataFields count="2">
    <dataField name="Count of Customer_ID" fld="0" subtotal="count" baseField="0" baseItem="0"/>
    <dataField name="Average of Monthly_Income" fld="6" subtotal="average" baseField="1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58:B62" firstHeaderRow="1" firstDataRow="1" firstDataCol="1"/>
  <pivotFields count="13">
    <pivotField showAll="0"/>
    <pivotField showAll="0"/>
    <pivotField showAll="0"/>
    <pivotField showAll="0"/>
    <pivotField showAll="0"/>
    <pivotField showAll="0">
      <items count="10">
        <item x="0"/>
        <item x="3"/>
        <item x="8"/>
        <item x="2"/>
        <item x="1"/>
        <item x="7"/>
        <item x="6"/>
        <item x="4"/>
        <item x="5"/>
        <item t="default"/>
      </items>
    </pivotField>
    <pivotField dataField="1" numFmtId="165" showAll="0"/>
    <pivotField showAll="0"/>
    <pivotField showAll="0"/>
    <pivotField showAll="0"/>
    <pivotField showAll="0"/>
    <pivotField axis="axisRow" showAll="0">
      <items count="4">
        <item x="0"/>
        <item x="1"/>
        <item x="2"/>
        <item t="default"/>
      </items>
    </pivotField>
    <pivotField showAll="0">
      <items count="14">
        <item x="0"/>
        <item x="1"/>
        <item x="2"/>
        <item x="3"/>
        <item x="4"/>
        <item x="5"/>
        <item x="6"/>
        <item x="7"/>
        <item x="8"/>
        <item x="9"/>
        <item x="10"/>
        <item x="11"/>
        <item x="12"/>
        <item t="default"/>
      </items>
    </pivotField>
  </pivotFields>
  <rowFields count="1">
    <field x="11"/>
  </rowFields>
  <rowItems count="4">
    <i>
      <x/>
    </i>
    <i>
      <x v="1"/>
    </i>
    <i>
      <x v="2"/>
    </i>
    <i t="grand">
      <x/>
    </i>
  </rowItems>
  <colItems count="1">
    <i/>
  </colItems>
  <dataFields count="1">
    <dataField name="Sum of Monthly_Income" fld="6"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0"/>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0" format="3">
      <pivotArea type="data" outline="0" fieldPosition="0">
        <references count="2">
          <reference field="4294967294" count="1" selected="0">
            <x v="0"/>
          </reference>
          <reference field="11" count="1" selected="0">
            <x v="2"/>
          </reference>
        </references>
      </pivotArea>
    </chartFormat>
    <chartFormat chart="3" format="1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pivotTableDefinition>
</file>

<file path=xl/pivotTables/pivotTable8.xml><?xml version="1.0" encoding="utf-8"?>
<pivotTableDefinition xmlns="http://schemas.openxmlformats.org/spreadsheetml/2006/main" name="PivotTable9"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U92:V106" firstHeaderRow="1" firstDataRow="1" firstDataCol="1"/>
  <pivotFields count="13">
    <pivotField showAll="0"/>
    <pivotField showAll="0"/>
    <pivotField showAll="0"/>
    <pivotField showAll="0">
      <items count="56">
        <item x="9"/>
        <item x="7"/>
        <item x="16"/>
        <item x="25"/>
        <item x="30"/>
        <item x="44"/>
        <item x="42"/>
        <item x="37"/>
        <item x="17"/>
        <item x="32"/>
        <item x="14"/>
        <item x="23"/>
        <item x="2"/>
        <item x="52"/>
        <item x="27"/>
        <item x="1"/>
        <item x="20"/>
        <item x="19"/>
        <item x="45"/>
        <item x="22"/>
        <item x="35"/>
        <item x="31"/>
        <item x="3"/>
        <item x="33"/>
        <item x="26"/>
        <item x="8"/>
        <item x="10"/>
        <item x="49"/>
        <item x="0"/>
        <item x="36"/>
        <item x="29"/>
        <item x="11"/>
        <item x="50"/>
        <item x="5"/>
        <item x="18"/>
        <item x="12"/>
        <item x="21"/>
        <item x="40"/>
        <item x="38"/>
        <item x="53"/>
        <item x="39"/>
        <item x="24"/>
        <item x="48"/>
        <item x="28"/>
        <item x="6"/>
        <item x="15"/>
        <item x="46"/>
        <item x="34"/>
        <item x="4"/>
        <item x="41"/>
        <item x="43"/>
        <item x="47"/>
        <item x="13"/>
        <item x="54"/>
        <item x="51"/>
        <item t="default"/>
      </items>
    </pivotField>
    <pivotField showAll="0"/>
    <pivotField showAll="0">
      <items count="10">
        <item x="0"/>
        <item x="3"/>
        <item x="8"/>
        <item x="2"/>
        <item x="1"/>
        <item x="7"/>
        <item x="6"/>
        <item x="4"/>
        <item x="5"/>
        <item t="default"/>
      </items>
    </pivotField>
    <pivotField dataField="1" numFmtId="165" showAll="0"/>
    <pivotField showAll="0"/>
    <pivotField showAll="0"/>
    <pivotField showAll="0"/>
    <pivotField showAll="0">
      <items count="4">
        <item x="2"/>
        <item x="1"/>
        <item x="0"/>
        <item t="default"/>
      </items>
    </pivotField>
    <pivotField showAll="0"/>
    <pivotField axis="axisRow" showAll="0">
      <items count="14">
        <item x="0"/>
        <item x="1"/>
        <item x="2"/>
        <item x="3"/>
        <item x="4"/>
        <item x="5"/>
        <item x="6"/>
        <item x="7"/>
        <item x="8"/>
        <item x="9"/>
        <item x="10"/>
        <item x="11"/>
        <item x="12"/>
        <item t="default"/>
      </items>
    </pivotField>
  </pivotFields>
  <rowFields count="1">
    <field x="12"/>
  </rowFields>
  <rowItems count="14">
    <i>
      <x/>
    </i>
    <i>
      <x v="1"/>
    </i>
    <i>
      <x v="2"/>
    </i>
    <i>
      <x v="3"/>
    </i>
    <i>
      <x v="4"/>
    </i>
    <i>
      <x v="5"/>
    </i>
    <i>
      <x v="6"/>
    </i>
    <i>
      <x v="7"/>
    </i>
    <i>
      <x v="8"/>
    </i>
    <i>
      <x v="9"/>
    </i>
    <i>
      <x v="10"/>
    </i>
    <i>
      <x v="11"/>
    </i>
    <i>
      <x v="12"/>
    </i>
    <i t="grand">
      <x/>
    </i>
  </rowItems>
  <colItems count="1">
    <i/>
  </colItems>
  <dataFields count="1">
    <dataField name="Sum of Monthly_Income" fld="6"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8"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L91:M95" firstHeaderRow="1" firstDataRow="1" firstDataCol="1"/>
  <pivotFields count="13">
    <pivotField dataField="1" showAll="0"/>
    <pivotField showAll="0"/>
    <pivotField showAll="0"/>
    <pivotField showAll="0"/>
    <pivotField showAll="0"/>
    <pivotField showAll="0">
      <items count="10">
        <item x="0"/>
        <item x="3"/>
        <item x="8"/>
        <item x="2"/>
        <item x="1"/>
        <item x="7"/>
        <item x="6"/>
        <item x="4"/>
        <item x="5"/>
        <item t="default"/>
      </items>
    </pivotField>
    <pivotField numFmtId="165" showAll="0"/>
    <pivotField showAll="0"/>
    <pivotField showAll="0"/>
    <pivotField showAll="0"/>
    <pivotField axis="axisRow" showAll="0">
      <items count="4">
        <item x="2"/>
        <item x="1"/>
        <item x="0"/>
        <item t="default"/>
      </items>
    </pivotField>
    <pivotField showAll="0"/>
    <pivotField showAll="0">
      <items count="14">
        <item x="0"/>
        <item x="1"/>
        <item x="2"/>
        <item x="3"/>
        <item x="4"/>
        <item x="5"/>
        <item x="6"/>
        <item x="7"/>
        <item x="8"/>
        <item x="9"/>
        <item x="10"/>
        <item x="11"/>
        <item x="12"/>
        <item t="default"/>
      </items>
    </pivotField>
  </pivotFields>
  <rowFields count="1">
    <field x="10"/>
  </rowFields>
  <rowItems count="4">
    <i>
      <x/>
    </i>
    <i>
      <x v="1"/>
    </i>
    <i>
      <x v="2"/>
    </i>
    <i t="grand">
      <x/>
    </i>
  </rowItems>
  <colItems count="1">
    <i/>
  </colItems>
  <dataFields count="1">
    <dataField name="Count of Customer_ID" fld="0" subtotal="count" baseField="0" baseItem="0"/>
  </dataFields>
  <chartFormats count="8">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10" count="1" selected="0">
            <x v="0"/>
          </reference>
        </references>
      </pivotArea>
    </chartFormat>
    <chartFormat chart="3" format="7">
      <pivotArea type="data" outline="0" fieldPosition="0">
        <references count="2">
          <reference field="4294967294" count="1" selected="0">
            <x v="0"/>
          </reference>
          <reference field="10" count="1" selected="0">
            <x v="1"/>
          </reference>
        </references>
      </pivotArea>
    </chartFormat>
    <chartFormat chart="3" format="8">
      <pivotArea type="data" outline="0" fieldPosition="0">
        <references count="2">
          <reference field="4294967294" count="1" selected="0">
            <x v="0"/>
          </reference>
          <reference field="10" count="1" selected="0">
            <x v="2"/>
          </reference>
        </references>
      </pivotArea>
    </chartFormat>
    <chartFormat chart="0" format="1">
      <pivotArea type="data" outline="0" fieldPosition="0">
        <references count="2">
          <reference field="4294967294" count="1" selected="0">
            <x v="0"/>
          </reference>
          <reference field="10" count="1" selected="0">
            <x v="0"/>
          </reference>
        </references>
      </pivotArea>
    </chartFormat>
    <chartFormat chart="0" format="2">
      <pivotArea type="data" outline="0" fieldPosition="0">
        <references count="2">
          <reference field="4294967294" count="1" selected="0">
            <x v="0"/>
          </reference>
          <reference field="10" count="1" selected="0">
            <x v="1"/>
          </reference>
        </references>
      </pivotArea>
    </chartFormat>
    <chartFormat chart="0" format="3">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10"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V37:W51" firstHeaderRow="1" firstDataRow="1" firstDataCol="1"/>
  <pivotFields count="13">
    <pivotField dataField="1" showAll="0"/>
    <pivotField showAll="0"/>
    <pivotField showAll="0"/>
    <pivotField showAll="0"/>
    <pivotField showAll="0"/>
    <pivotField showAll="0">
      <items count="10">
        <item x="0"/>
        <item x="3"/>
        <item x="8"/>
        <item x="2"/>
        <item x="1"/>
        <item x="7"/>
        <item x="6"/>
        <item x="4"/>
        <item x="5"/>
        <item t="default"/>
      </items>
    </pivotField>
    <pivotField numFmtId="165" showAll="0"/>
    <pivotField showAll="0"/>
    <pivotField showAll="0"/>
    <pivotField showAll="0"/>
    <pivotField showAll="0"/>
    <pivotField showAll="0"/>
    <pivotField axis="axisRow" showAll="0">
      <items count="14">
        <item x="0"/>
        <item x="1"/>
        <item x="2"/>
        <item x="3"/>
        <item x="4"/>
        <item x="5"/>
        <item x="6"/>
        <item x="7"/>
        <item x="8"/>
        <item x="9"/>
        <item x="10"/>
        <item x="11"/>
        <item x="12"/>
        <item t="default"/>
      </items>
    </pivotField>
  </pivotFields>
  <rowFields count="1">
    <field x="12"/>
  </rowFields>
  <rowItems count="14">
    <i>
      <x/>
    </i>
    <i>
      <x v="1"/>
    </i>
    <i>
      <x v="2"/>
    </i>
    <i>
      <x v="3"/>
    </i>
    <i>
      <x v="4"/>
    </i>
    <i>
      <x v="5"/>
    </i>
    <i>
      <x v="6"/>
    </i>
    <i>
      <x v="7"/>
    </i>
    <i>
      <x v="8"/>
    </i>
    <i>
      <x v="9"/>
    </i>
    <i>
      <x v="10"/>
    </i>
    <i>
      <x v="11"/>
    </i>
    <i>
      <x v="12"/>
    </i>
    <i t="grand">
      <x/>
    </i>
  </rowItems>
  <colItems count="1">
    <i/>
  </colItems>
  <dataFields count="1">
    <dataField name="Count of Customer_ID" fld="0" subtotal="count" baseField="0" baseItem="0"/>
  </dataField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City" sourceName="City">
  <pivotTables>
    <pivotTable tabId="4" name="PivotTable2"/>
    <pivotTable tabId="4" name="PivotTable3"/>
    <pivotTable tabId="4" name="PivotTable1"/>
    <pivotTable tabId="4" name="PivotTable4"/>
    <pivotTable tabId="4" name="PivotTable5"/>
  </pivotTables>
  <data>
    <tabular pivotCacheId="1">
      <items count="7">
        <i x="2" s="1"/>
        <i x="3" s="1"/>
        <i x="6" s="1"/>
        <i x="4" s="1"/>
        <i x="5"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Occupation_Clean" sourceName="Occupation_Clean">
  <pivotTables>
    <pivotTable tabId="4" name="PivotTable4"/>
    <pivotTable tabId="4" name="PivotTable1"/>
    <pivotTable tabId="4" name="PivotTable2"/>
    <pivotTable tabId="4" name="PivotTable3"/>
    <pivotTable tabId="4" name="PivotTable5"/>
  </pivotTables>
  <data>
    <tabular pivotCacheId="1">
      <items count="8">
        <i x="0" s="1"/>
        <i x="3" s="1"/>
        <i x="2" s="1"/>
        <i x="1" s="1"/>
        <i x="7" s="1"/>
        <i x="6" s="1"/>
        <i x="4" s="1"/>
        <i x="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Gender" sourceName="Gender">
  <pivotTables>
    <pivotTable tabId="4" name="PivotTable1"/>
    <pivotTable tabId="4" name="PivotTable2"/>
    <pivotTable tabId="4" name="PivotTable3"/>
    <pivotTable tabId="4" name="PivotTable4"/>
    <pivotTable tabId="4" name="PivotTable5"/>
  </pivotTables>
  <data>
    <tabular pivotCacheId="1">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Occupation" sourceName="Occupation">
  <pivotTables>
    <pivotTable tabId="4" name="PivotTable7"/>
    <pivotTable tabId="4" name="PivotTable10"/>
    <pivotTable tabId="4" name="PivotTable6"/>
    <pivotTable tabId="4" name="PivotTable8"/>
    <pivotTable tabId="4" name="PivotTable9"/>
  </pivotTables>
  <data>
    <tabular pivotCacheId="2">
      <items count="9">
        <i x="0" s="1"/>
        <i x="3" s="1"/>
        <i x="8" s="1"/>
        <i x="2" s="1"/>
        <i x="1" s="1"/>
        <i x="7" s="1"/>
        <i x="6" s="1"/>
        <i x="4" s="1"/>
        <i x="5"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Reg_Month1" sourceName="Reg_Month">
  <pivotTables>
    <pivotTable tabId="4" name="PivotTable9"/>
    <pivotTable tabId="4" name="PivotTable6"/>
    <pivotTable tabId="4" name="PivotTable10"/>
    <pivotTable tabId="4" name="PivotTable7"/>
    <pivotTable tabId="4" name="PivotTable8"/>
  </pivotTables>
  <data>
    <tabular pivotCacheId="2">
      <items count="13">
        <i x="0" s="1"/>
        <i x="1" s="1"/>
        <i x="2" s="1"/>
        <i x="3" s="1"/>
        <i x="4" s="1"/>
        <i x="5" s="1"/>
        <i x="6" s="1"/>
        <i x="7" s="1"/>
        <i x="8" s="1"/>
        <i x="9" s="1"/>
        <i x="10" s="1"/>
        <i x="11" s="1"/>
        <i x="1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City" cache="Slicer_City" caption="City" rowHeight="241300"/>
  <slicer name="Occupation_Clean" cache="Slicer_Occupation_Clean" caption="Occupation_Clean" rowHeight="241300"/>
  <slicer name="Gender" cache="Slicer_Gender" caption="Gender" rowHeight="241300"/>
  <slicer name="Reg_Month" cache="Slicer_Reg_Month1" caption="Reg_Month"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Occupation 1" cache="Slicer_Occupation" caption="Occupation" rowHeight="241300"/>
  <slicer name="Reg_Month 2" cache="Slicer_Reg_Month1" caption="Reg_Month"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01"/>
  <sheetViews>
    <sheetView workbookViewId="0">
      <selection activeCell="N12" sqref="N12"/>
    </sheetView>
  </sheetViews>
  <sheetFormatPr defaultRowHeight="15"/>
  <cols>
    <col min="1" max="1" width="20.5703125" style="20" customWidth="1"/>
    <col min="2" max="4" width="24" style="20" customWidth="1"/>
    <col min="5" max="6" width="20.5703125" style="20" customWidth="1"/>
    <col min="7" max="7" width="22.85546875" style="20" customWidth="1"/>
  </cols>
  <sheetData>
    <row r="1" spans="1:7">
      <c r="A1" s="1" t="s">
        <v>0</v>
      </c>
      <c r="B1" s="1" t="s">
        <v>1</v>
      </c>
      <c r="C1" s="1" t="s">
        <v>2</v>
      </c>
      <c r="D1" s="1" t="s">
        <v>3</v>
      </c>
      <c r="E1" s="1" t="s">
        <v>4</v>
      </c>
      <c r="F1" s="1" t="s">
        <v>5</v>
      </c>
      <c r="G1" s="1" t="s">
        <v>6</v>
      </c>
    </row>
    <row r="2" spans="1:7">
      <c r="A2" t="s">
        <v>7</v>
      </c>
      <c r="B2" s="2">
        <v>45677</v>
      </c>
      <c r="C2" t="s">
        <v>8</v>
      </c>
      <c r="D2">
        <v>49</v>
      </c>
      <c r="E2" t="s">
        <v>9</v>
      </c>
      <c r="F2" t="s">
        <v>10</v>
      </c>
      <c r="G2" s="3">
        <v>1024.44</v>
      </c>
    </row>
    <row r="3" spans="1:7">
      <c r="A3" t="s">
        <v>11</v>
      </c>
      <c r="B3" s="2"/>
      <c r="C3" t="s">
        <v>8</v>
      </c>
      <c r="D3">
        <v>39</v>
      </c>
      <c r="E3" t="s">
        <v>12</v>
      </c>
      <c r="F3" t="s">
        <v>13</v>
      </c>
      <c r="G3" s="3">
        <v>827.25</v>
      </c>
    </row>
    <row r="4" spans="1:7">
      <c r="A4" t="s">
        <v>14</v>
      </c>
      <c r="B4" s="2">
        <v>46173</v>
      </c>
      <c r="C4" t="s">
        <v>8</v>
      </c>
      <c r="E4" t="s">
        <v>15</v>
      </c>
      <c r="F4" t="s">
        <v>13</v>
      </c>
      <c r="G4" s="3">
        <v>661.3</v>
      </c>
    </row>
    <row r="5" spans="1:7">
      <c r="A5" t="s">
        <v>16</v>
      </c>
      <c r="B5" s="2">
        <v>45954</v>
      </c>
      <c r="C5" t="s">
        <v>17</v>
      </c>
      <c r="D5">
        <v>20</v>
      </c>
      <c r="E5" t="s">
        <v>9</v>
      </c>
      <c r="F5" t="s">
        <v>18</v>
      </c>
      <c r="G5" s="3">
        <v>295.45</v>
      </c>
    </row>
    <row r="6" spans="1:7">
      <c r="A6" t="s">
        <v>19</v>
      </c>
      <c r="B6" s="2">
        <v>46006</v>
      </c>
      <c r="C6" t="s">
        <v>8</v>
      </c>
      <c r="D6">
        <v>31</v>
      </c>
      <c r="E6" t="s">
        <v>20</v>
      </c>
      <c r="F6" t="s">
        <v>21</v>
      </c>
      <c r="G6" s="3">
        <v>481.99</v>
      </c>
    </row>
    <row r="7" spans="1:7">
      <c r="A7" t="s">
        <v>22</v>
      </c>
      <c r="B7" s="2">
        <v>46059</v>
      </c>
      <c r="C7" t="s">
        <v>17</v>
      </c>
      <c r="D7">
        <v>65</v>
      </c>
      <c r="E7" t="s">
        <v>15</v>
      </c>
      <c r="F7" t="s">
        <v>23</v>
      </c>
      <c r="G7" s="3">
        <v>1067.9000000000001</v>
      </c>
    </row>
    <row r="8" spans="1:7">
      <c r="A8" t="s">
        <v>24</v>
      </c>
      <c r="B8" s="2">
        <v>45861</v>
      </c>
      <c r="C8" t="s">
        <v>17</v>
      </c>
      <c r="D8">
        <v>47</v>
      </c>
      <c r="E8" t="s">
        <v>9</v>
      </c>
      <c r="F8" t="s">
        <v>21</v>
      </c>
      <c r="G8" s="3">
        <v>444.76</v>
      </c>
    </row>
    <row r="9" spans="1:7">
      <c r="A9" t="s">
        <v>25</v>
      </c>
      <c r="B9" s="2">
        <v>45902</v>
      </c>
      <c r="C9" t="s">
        <v>17</v>
      </c>
      <c r="D9">
        <v>46</v>
      </c>
      <c r="E9" t="s">
        <v>9</v>
      </c>
      <c r="G9" s="3">
        <v>911.36</v>
      </c>
    </row>
    <row r="10" spans="1:7">
      <c r="A10" t="s">
        <v>26</v>
      </c>
      <c r="B10" s="2">
        <v>45970</v>
      </c>
      <c r="C10" t="s">
        <v>17</v>
      </c>
      <c r="D10">
        <v>70</v>
      </c>
      <c r="E10" t="s">
        <v>20</v>
      </c>
      <c r="F10" t="s">
        <v>13</v>
      </c>
      <c r="G10" s="3">
        <v>415.78</v>
      </c>
    </row>
    <row r="11" spans="1:7">
      <c r="A11" t="s">
        <v>27</v>
      </c>
      <c r="B11" s="2">
        <v>46159</v>
      </c>
      <c r="C11" t="s">
        <v>17</v>
      </c>
      <c r="D11">
        <v>39</v>
      </c>
      <c r="E11" t="s">
        <v>20</v>
      </c>
      <c r="F11" t="s">
        <v>10</v>
      </c>
      <c r="G11" s="3">
        <v>1315.07</v>
      </c>
    </row>
    <row r="12" spans="1:7">
      <c r="A12" t="s">
        <v>28</v>
      </c>
      <c r="B12" s="2">
        <v>45781</v>
      </c>
      <c r="C12" t="s">
        <v>8</v>
      </c>
      <c r="D12">
        <v>32</v>
      </c>
      <c r="E12" t="s">
        <v>9</v>
      </c>
      <c r="G12" s="3">
        <v>176.95</v>
      </c>
    </row>
    <row r="13" spans="1:7">
      <c r="A13" t="s">
        <v>29</v>
      </c>
      <c r="B13" s="2">
        <v>45807</v>
      </c>
      <c r="C13" t="s">
        <v>17</v>
      </c>
      <c r="D13">
        <v>48</v>
      </c>
      <c r="E13" t="s">
        <v>9</v>
      </c>
      <c r="F13" t="s">
        <v>30</v>
      </c>
      <c r="G13" s="3">
        <v>1075.0899999999999</v>
      </c>
    </row>
    <row r="14" spans="1:7">
      <c r="A14" t="s">
        <v>31</v>
      </c>
      <c r="B14" s="2">
        <v>45747</v>
      </c>
      <c r="C14" t="s">
        <v>17</v>
      </c>
      <c r="D14">
        <v>27</v>
      </c>
      <c r="E14" t="s">
        <v>9</v>
      </c>
      <c r="G14" s="3">
        <v>863.68</v>
      </c>
    </row>
    <row r="15" spans="1:7">
      <c r="A15" t="s">
        <v>32</v>
      </c>
      <c r="B15" s="2">
        <v>46190</v>
      </c>
      <c r="C15" t="s">
        <v>17</v>
      </c>
      <c r="D15">
        <v>47</v>
      </c>
      <c r="E15" t="s">
        <v>12</v>
      </c>
      <c r="F15" t="s">
        <v>30</v>
      </c>
      <c r="G15" s="3">
        <v>2156</v>
      </c>
    </row>
    <row r="16" spans="1:7">
      <c r="A16" t="s">
        <v>33</v>
      </c>
      <c r="B16" s="2">
        <v>46159</v>
      </c>
      <c r="C16" t="s">
        <v>17</v>
      </c>
      <c r="D16">
        <v>27</v>
      </c>
      <c r="E16" t="s">
        <v>15</v>
      </c>
      <c r="G16" s="3">
        <v>255.08</v>
      </c>
    </row>
    <row r="17" spans="1:7">
      <c r="A17" t="s">
        <v>34</v>
      </c>
      <c r="B17" s="2">
        <v>46197</v>
      </c>
      <c r="C17" t="s">
        <v>8</v>
      </c>
      <c r="D17">
        <v>38</v>
      </c>
      <c r="E17" t="s">
        <v>9</v>
      </c>
      <c r="F17" t="s">
        <v>13</v>
      </c>
      <c r="G17" s="3">
        <v>719.42</v>
      </c>
    </row>
    <row r="18" spans="1:7">
      <c r="A18" t="s">
        <v>35</v>
      </c>
      <c r="B18" s="2">
        <v>45780</v>
      </c>
      <c r="C18" t="s">
        <v>17</v>
      </c>
      <c r="D18">
        <v>37</v>
      </c>
      <c r="E18" t="s">
        <v>9</v>
      </c>
      <c r="F18" t="s">
        <v>23</v>
      </c>
      <c r="G18" s="3">
        <v>1041.8399999999999</v>
      </c>
    </row>
    <row r="19" spans="1:7">
      <c r="A19" t="s">
        <v>36</v>
      </c>
      <c r="B19" s="2">
        <v>45937</v>
      </c>
      <c r="C19" t="s">
        <v>17</v>
      </c>
      <c r="E19" t="s">
        <v>20</v>
      </c>
      <c r="F19" t="s">
        <v>18</v>
      </c>
      <c r="G19" s="3">
        <v>265.52</v>
      </c>
    </row>
    <row r="20" spans="1:7">
      <c r="A20" t="s">
        <v>37</v>
      </c>
      <c r="B20" s="2">
        <v>45679</v>
      </c>
      <c r="C20" t="s">
        <v>17</v>
      </c>
      <c r="D20">
        <v>70</v>
      </c>
      <c r="E20" t="s">
        <v>9</v>
      </c>
      <c r="F20" t="s">
        <v>30</v>
      </c>
      <c r="G20" s="3">
        <v>2040.09</v>
      </c>
    </row>
    <row r="21" spans="1:7">
      <c r="A21" t="s">
        <v>38</v>
      </c>
      <c r="B21" s="2">
        <v>45998</v>
      </c>
      <c r="C21" t="s">
        <v>17</v>
      </c>
      <c r="D21">
        <v>40</v>
      </c>
      <c r="E21" t="s">
        <v>39</v>
      </c>
      <c r="F21" t="s">
        <v>30</v>
      </c>
      <c r="G21" s="3">
        <v>1210.32</v>
      </c>
    </row>
    <row r="22" spans="1:7">
      <c r="A22" t="s">
        <v>40</v>
      </c>
      <c r="B22" s="2">
        <v>45715</v>
      </c>
      <c r="C22" t="s">
        <v>8</v>
      </c>
      <c r="D22">
        <v>54</v>
      </c>
      <c r="E22" t="s">
        <v>9</v>
      </c>
      <c r="F22" t="s">
        <v>30</v>
      </c>
      <c r="G22" s="3" t="s">
        <v>41</v>
      </c>
    </row>
    <row r="23" spans="1:7">
      <c r="A23" t="s">
        <v>42</v>
      </c>
      <c r="B23" s="2">
        <v>46137</v>
      </c>
      <c r="C23" t="s">
        <v>17</v>
      </c>
      <c r="D23">
        <v>28</v>
      </c>
      <c r="E23" t="s">
        <v>39</v>
      </c>
      <c r="F23" t="s">
        <v>13</v>
      </c>
      <c r="G23" s="3">
        <v>732.86</v>
      </c>
    </row>
    <row r="24" spans="1:7">
      <c r="A24" t="s">
        <v>43</v>
      </c>
      <c r="B24" s="2">
        <v>45773</v>
      </c>
      <c r="C24" t="s">
        <v>17</v>
      </c>
      <c r="D24">
        <v>61</v>
      </c>
      <c r="E24" t="s">
        <v>9</v>
      </c>
      <c r="F24" t="s">
        <v>44</v>
      </c>
      <c r="G24" s="3">
        <v>998.38</v>
      </c>
    </row>
    <row r="25" spans="1:7">
      <c r="A25" t="s">
        <v>45</v>
      </c>
      <c r="B25" s="2">
        <v>45731</v>
      </c>
      <c r="C25" t="s">
        <v>8</v>
      </c>
      <c r="D25">
        <v>42</v>
      </c>
      <c r="E25" t="s">
        <v>9</v>
      </c>
      <c r="F25" t="s">
        <v>10</v>
      </c>
      <c r="G25" s="3">
        <v>1023.35</v>
      </c>
    </row>
    <row r="26" spans="1:7">
      <c r="B26" s="2">
        <v>46068</v>
      </c>
      <c r="C26" t="s">
        <v>17</v>
      </c>
      <c r="D26">
        <v>58</v>
      </c>
      <c r="E26" t="s">
        <v>20</v>
      </c>
      <c r="F26" t="s">
        <v>44</v>
      </c>
      <c r="G26" s="3">
        <v>1170.92</v>
      </c>
    </row>
    <row r="27" spans="1:7">
      <c r="A27" t="s">
        <v>46</v>
      </c>
      <c r="B27" s="2">
        <v>45691</v>
      </c>
      <c r="C27" t="s">
        <v>8</v>
      </c>
      <c r="D27">
        <v>20</v>
      </c>
      <c r="F27" t="s">
        <v>13</v>
      </c>
      <c r="G27" s="3">
        <v>526.37</v>
      </c>
    </row>
    <row r="28" spans="1:7">
      <c r="A28" t="s">
        <v>47</v>
      </c>
      <c r="B28" s="2">
        <v>46082</v>
      </c>
      <c r="C28" t="s">
        <v>17</v>
      </c>
      <c r="D28">
        <v>32</v>
      </c>
      <c r="E28" t="s">
        <v>39</v>
      </c>
      <c r="F28" t="s">
        <v>23</v>
      </c>
      <c r="G28" s="3">
        <v>558.07000000000005</v>
      </c>
    </row>
    <row r="29" spans="1:7">
      <c r="A29" t="s">
        <v>48</v>
      </c>
      <c r="B29" s="2">
        <v>45925</v>
      </c>
      <c r="C29" t="s">
        <v>17</v>
      </c>
      <c r="D29">
        <v>66</v>
      </c>
      <c r="E29" t="s">
        <v>9</v>
      </c>
      <c r="F29" t="s">
        <v>23</v>
      </c>
      <c r="G29" s="3">
        <v>656.1</v>
      </c>
    </row>
    <row r="30" spans="1:7">
      <c r="A30" t="s">
        <v>49</v>
      </c>
      <c r="B30" s="2"/>
      <c r="C30" t="s">
        <v>17</v>
      </c>
      <c r="D30">
        <v>40</v>
      </c>
      <c r="E30" t="s">
        <v>9</v>
      </c>
      <c r="F30" t="s">
        <v>21</v>
      </c>
      <c r="G30" s="3">
        <v>442.74</v>
      </c>
    </row>
    <row r="31" spans="1:7">
      <c r="A31" t="s">
        <v>50</v>
      </c>
      <c r="B31" s="2">
        <v>46161</v>
      </c>
      <c r="C31" t="s">
        <v>17</v>
      </c>
      <c r="D31">
        <v>53</v>
      </c>
      <c r="E31" t="s">
        <v>9</v>
      </c>
      <c r="F31" t="s">
        <v>44</v>
      </c>
      <c r="G31" s="3"/>
    </row>
    <row r="32" spans="1:7">
      <c r="A32" t="s">
        <v>51</v>
      </c>
      <c r="B32" s="2">
        <v>45884</v>
      </c>
      <c r="C32" t="s">
        <v>17</v>
      </c>
      <c r="D32">
        <v>49</v>
      </c>
      <c r="E32" t="s">
        <v>39</v>
      </c>
      <c r="F32" t="s">
        <v>44</v>
      </c>
      <c r="G32" s="3">
        <v>1610.81</v>
      </c>
    </row>
    <row r="33" spans="1:7">
      <c r="A33" t="s">
        <v>52</v>
      </c>
      <c r="B33" s="2">
        <v>45809</v>
      </c>
      <c r="C33" t="s">
        <v>8</v>
      </c>
      <c r="D33">
        <v>24</v>
      </c>
      <c r="E33" t="s">
        <v>9</v>
      </c>
      <c r="F33" t="s">
        <v>44</v>
      </c>
      <c r="G33" s="3">
        <v>706.35</v>
      </c>
    </row>
    <row r="34" spans="1:7">
      <c r="A34" t="s">
        <v>53</v>
      </c>
      <c r="B34" s="2">
        <v>45881</v>
      </c>
      <c r="C34" t="s">
        <v>8</v>
      </c>
      <c r="D34">
        <v>36</v>
      </c>
      <c r="F34" t="s">
        <v>18</v>
      </c>
      <c r="G34" s="3">
        <v>183.1</v>
      </c>
    </row>
    <row r="35" spans="1:7">
      <c r="B35" s="2">
        <v>46038</v>
      </c>
      <c r="C35" t="s">
        <v>17</v>
      </c>
      <c r="D35">
        <v>44</v>
      </c>
      <c r="E35" t="s">
        <v>9</v>
      </c>
      <c r="F35" t="s">
        <v>21</v>
      </c>
      <c r="G35" s="3" t="s">
        <v>54</v>
      </c>
    </row>
    <row r="36" spans="1:7">
      <c r="A36" t="s">
        <v>55</v>
      </c>
      <c r="B36" s="2">
        <v>45671</v>
      </c>
      <c r="C36" t="s">
        <v>17</v>
      </c>
      <c r="D36">
        <v>19</v>
      </c>
      <c r="E36" t="s">
        <v>9</v>
      </c>
      <c r="F36" t="s">
        <v>18</v>
      </c>
      <c r="G36" s="3"/>
    </row>
    <row r="37" spans="1:7">
      <c r="A37" t="s">
        <v>56</v>
      </c>
      <c r="B37" s="2">
        <v>46054</v>
      </c>
      <c r="C37" t="s">
        <v>8</v>
      </c>
      <c r="D37">
        <v>55</v>
      </c>
      <c r="E37" t="s">
        <v>39</v>
      </c>
      <c r="F37" t="s">
        <v>44</v>
      </c>
      <c r="G37" s="3"/>
    </row>
    <row r="38" spans="1:7">
      <c r="A38" t="s">
        <v>57</v>
      </c>
      <c r="B38" s="2">
        <v>45691</v>
      </c>
      <c r="C38" t="s">
        <v>8</v>
      </c>
      <c r="D38">
        <v>26</v>
      </c>
      <c r="E38" t="s">
        <v>9</v>
      </c>
      <c r="F38" t="s">
        <v>44</v>
      </c>
      <c r="G38" s="3">
        <v>1086.56</v>
      </c>
    </row>
    <row r="39" spans="1:7">
      <c r="A39" t="s">
        <v>58</v>
      </c>
      <c r="B39" s="2">
        <v>46094</v>
      </c>
      <c r="C39" t="s">
        <v>17</v>
      </c>
      <c r="E39" t="s">
        <v>9</v>
      </c>
      <c r="F39" t="s">
        <v>21</v>
      </c>
      <c r="G39" s="3">
        <v>1321.69</v>
      </c>
    </row>
    <row r="40" spans="1:7">
      <c r="A40" t="s">
        <v>59</v>
      </c>
      <c r="B40" s="2">
        <v>46158</v>
      </c>
      <c r="C40" t="s">
        <v>17</v>
      </c>
      <c r="D40">
        <v>30</v>
      </c>
      <c r="E40" t="s">
        <v>9</v>
      </c>
      <c r="F40" t="s">
        <v>30</v>
      </c>
      <c r="G40" s="3">
        <v>2015.04</v>
      </c>
    </row>
    <row r="41" spans="1:7">
      <c r="B41" s="2">
        <v>45982</v>
      </c>
      <c r="C41" t="s">
        <v>8</v>
      </c>
      <c r="D41">
        <v>30</v>
      </c>
      <c r="E41" t="s">
        <v>12</v>
      </c>
      <c r="F41" t="s">
        <v>10</v>
      </c>
      <c r="G41" s="3">
        <v>1396.84</v>
      </c>
    </row>
    <row r="42" spans="1:7">
      <c r="A42" t="s">
        <v>60</v>
      </c>
      <c r="B42" s="2">
        <v>45958</v>
      </c>
      <c r="C42" t="s">
        <v>8</v>
      </c>
      <c r="D42">
        <v>63</v>
      </c>
      <c r="E42" t="s">
        <v>20</v>
      </c>
      <c r="F42" t="s">
        <v>18</v>
      </c>
      <c r="G42" s="3">
        <v>265.83999999999997</v>
      </c>
    </row>
    <row r="43" spans="1:7">
      <c r="A43" t="s">
        <v>61</v>
      </c>
      <c r="B43" s="2">
        <v>46109</v>
      </c>
      <c r="C43" t="s">
        <v>17</v>
      </c>
      <c r="D43">
        <v>40</v>
      </c>
      <c r="E43" t="s">
        <v>15</v>
      </c>
      <c r="F43" t="s">
        <v>10</v>
      </c>
      <c r="G43" s="3">
        <v>644.95000000000005</v>
      </c>
    </row>
    <row r="44" spans="1:7">
      <c r="A44" t="s">
        <v>62</v>
      </c>
      <c r="B44" s="2">
        <v>46031</v>
      </c>
      <c r="C44" t="s">
        <v>17</v>
      </c>
      <c r="D44">
        <v>57</v>
      </c>
      <c r="E44" t="s">
        <v>12</v>
      </c>
      <c r="F44" t="s">
        <v>18</v>
      </c>
      <c r="G44" s="3">
        <v>128.41999999999999</v>
      </c>
    </row>
    <row r="45" spans="1:7">
      <c r="A45" t="s">
        <v>63</v>
      </c>
      <c r="B45" s="2">
        <v>45846</v>
      </c>
      <c r="C45" t="s">
        <v>8</v>
      </c>
      <c r="D45">
        <v>62</v>
      </c>
      <c r="E45" t="s">
        <v>15</v>
      </c>
      <c r="F45" t="s">
        <v>21</v>
      </c>
      <c r="G45" s="3">
        <v>1032.69</v>
      </c>
    </row>
    <row r="46" spans="1:7">
      <c r="A46" t="s">
        <v>64</v>
      </c>
      <c r="B46" s="2">
        <v>46067</v>
      </c>
      <c r="C46" t="s">
        <v>17</v>
      </c>
      <c r="D46">
        <v>22</v>
      </c>
      <c r="E46" t="s">
        <v>15</v>
      </c>
      <c r="F46" t="s">
        <v>23</v>
      </c>
      <c r="G46" s="3">
        <v>1164.05</v>
      </c>
    </row>
    <row r="47" spans="1:7">
      <c r="A47" t="s">
        <v>65</v>
      </c>
      <c r="B47" s="2">
        <v>45824</v>
      </c>
      <c r="C47" t="s">
        <v>17</v>
      </c>
      <c r="D47">
        <v>23</v>
      </c>
      <c r="E47" t="s">
        <v>9</v>
      </c>
      <c r="F47" t="s">
        <v>21</v>
      </c>
      <c r="G47" s="3">
        <v>453.51</v>
      </c>
    </row>
    <row r="48" spans="1:7">
      <c r="A48" t="s">
        <v>66</v>
      </c>
      <c r="B48" s="2">
        <v>45975</v>
      </c>
      <c r="D48">
        <v>70</v>
      </c>
      <c r="E48" t="s">
        <v>9</v>
      </c>
      <c r="F48" t="s">
        <v>23</v>
      </c>
      <c r="G48" s="3">
        <v>395.84</v>
      </c>
    </row>
    <row r="49" spans="1:7">
      <c r="A49" t="s">
        <v>67</v>
      </c>
      <c r="B49" s="2">
        <v>46061</v>
      </c>
      <c r="C49" t="s">
        <v>17</v>
      </c>
      <c r="D49">
        <v>46</v>
      </c>
      <c r="E49" t="s">
        <v>9</v>
      </c>
      <c r="F49" t="s">
        <v>18</v>
      </c>
      <c r="G49" s="3">
        <v>253.15</v>
      </c>
    </row>
    <row r="50" spans="1:7">
      <c r="A50" t="s">
        <v>68</v>
      </c>
      <c r="B50" s="2">
        <v>46205</v>
      </c>
      <c r="C50" t="s">
        <v>8</v>
      </c>
      <c r="D50">
        <v>59</v>
      </c>
      <c r="E50" t="s">
        <v>12</v>
      </c>
      <c r="F50" t="s">
        <v>18</v>
      </c>
      <c r="G50" s="3">
        <v>239.25</v>
      </c>
    </row>
    <row r="51" spans="1:7">
      <c r="A51" t="s">
        <v>69</v>
      </c>
      <c r="B51" s="2">
        <v>46099</v>
      </c>
      <c r="C51" t="s">
        <v>8</v>
      </c>
      <c r="D51">
        <v>45</v>
      </c>
      <c r="E51" t="s">
        <v>12</v>
      </c>
      <c r="F51" t="s">
        <v>18</v>
      </c>
      <c r="G51" s="3">
        <v>200.87</v>
      </c>
    </row>
    <row r="52" spans="1:7">
      <c r="A52" t="s">
        <v>70</v>
      </c>
      <c r="B52" s="2">
        <v>45729</v>
      </c>
      <c r="C52" t="s">
        <v>17</v>
      </c>
      <c r="E52" t="s">
        <v>12</v>
      </c>
      <c r="F52" t="s">
        <v>44</v>
      </c>
      <c r="G52" s="3">
        <v>963.66</v>
      </c>
    </row>
    <row r="53" spans="1:7">
      <c r="A53" t="s">
        <v>71</v>
      </c>
      <c r="B53" s="2">
        <v>45976</v>
      </c>
      <c r="C53" t="s">
        <v>8</v>
      </c>
      <c r="D53">
        <v>53</v>
      </c>
      <c r="E53" t="s">
        <v>9</v>
      </c>
      <c r="F53" t="s">
        <v>18</v>
      </c>
      <c r="G53" s="3">
        <v>247.93</v>
      </c>
    </row>
    <row r="54" spans="1:7">
      <c r="A54" t="s">
        <v>72</v>
      </c>
      <c r="B54" s="2">
        <v>46103</v>
      </c>
      <c r="C54" t="s">
        <v>8</v>
      </c>
      <c r="D54">
        <v>64</v>
      </c>
      <c r="E54" t="s">
        <v>20</v>
      </c>
      <c r="F54" t="s">
        <v>30</v>
      </c>
      <c r="G54" s="3">
        <v>727.81</v>
      </c>
    </row>
    <row r="55" spans="1:7">
      <c r="B55" s="2">
        <v>45957</v>
      </c>
      <c r="C55" t="s">
        <v>8</v>
      </c>
      <c r="D55">
        <v>68</v>
      </c>
      <c r="E55" t="s">
        <v>15</v>
      </c>
      <c r="F55" t="s">
        <v>10</v>
      </c>
      <c r="G55" s="3">
        <v>947.64</v>
      </c>
    </row>
    <row r="56" spans="1:7">
      <c r="A56" t="s">
        <v>73</v>
      </c>
      <c r="B56" s="2"/>
      <c r="C56" t="s">
        <v>8</v>
      </c>
      <c r="D56">
        <v>55</v>
      </c>
      <c r="E56" t="s">
        <v>74</v>
      </c>
      <c r="F56" t="s">
        <v>13</v>
      </c>
      <c r="G56" s="3">
        <v>325.43</v>
      </c>
    </row>
    <row r="57" spans="1:7">
      <c r="A57" t="s">
        <v>75</v>
      </c>
      <c r="B57" s="2">
        <v>45715</v>
      </c>
      <c r="C57" t="s">
        <v>17</v>
      </c>
      <c r="D57">
        <v>34</v>
      </c>
      <c r="E57" t="s">
        <v>39</v>
      </c>
      <c r="F57" t="s">
        <v>21</v>
      </c>
      <c r="G57" s="3">
        <v>835.61</v>
      </c>
    </row>
    <row r="58" spans="1:7">
      <c r="B58" s="2">
        <v>46222</v>
      </c>
      <c r="C58" t="s">
        <v>8</v>
      </c>
      <c r="D58">
        <v>22</v>
      </c>
      <c r="E58" t="s">
        <v>9</v>
      </c>
      <c r="F58" t="s">
        <v>13</v>
      </c>
      <c r="G58" s="3">
        <v>586.78</v>
      </c>
    </row>
    <row r="59" spans="1:7">
      <c r="A59" t="s">
        <v>76</v>
      </c>
      <c r="B59" s="2">
        <v>45744</v>
      </c>
      <c r="C59" t="s">
        <v>8</v>
      </c>
      <c r="D59">
        <v>39</v>
      </c>
      <c r="E59" t="s">
        <v>9</v>
      </c>
      <c r="F59" t="s">
        <v>21</v>
      </c>
      <c r="G59" s="3">
        <v>10013</v>
      </c>
    </row>
    <row r="60" spans="1:7">
      <c r="A60" t="s">
        <v>77</v>
      </c>
      <c r="B60" s="2">
        <v>45884</v>
      </c>
      <c r="C60" t="s">
        <v>8</v>
      </c>
      <c r="D60">
        <v>21</v>
      </c>
      <c r="E60" t="s">
        <v>12</v>
      </c>
      <c r="F60" t="s">
        <v>44</v>
      </c>
      <c r="G60" s="3">
        <v>1429.26</v>
      </c>
    </row>
    <row r="61" spans="1:7">
      <c r="A61" t="s">
        <v>78</v>
      </c>
      <c r="B61" s="2">
        <v>45822</v>
      </c>
      <c r="C61" t="s">
        <v>8</v>
      </c>
      <c r="D61">
        <v>68</v>
      </c>
      <c r="E61" t="s">
        <v>9</v>
      </c>
      <c r="F61" t="s">
        <v>13</v>
      </c>
      <c r="G61" s="3">
        <v>870.42</v>
      </c>
    </row>
    <row r="62" spans="1:7">
      <c r="A62" t="s">
        <v>79</v>
      </c>
      <c r="B62" s="2">
        <v>45703</v>
      </c>
      <c r="C62" t="s">
        <v>8</v>
      </c>
      <c r="D62">
        <v>52</v>
      </c>
      <c r="E62" t="s">
        <v>15</v>
      </c>
      <c r="F62" t="s">
        <v>21</v>
      </c>
      <c r="G62" s="3">
        <v>1214.6199999999999</v>
      </c>
    </row>
    <row r="63" spans="1:7">
      <c r="A63" t="s">
        <v>80</v>
      </c>
      <c r="B63" s="2">
        <v>45978</v>
      </c>
      <c r="D63">
        <v>26</v>
      </c>
      <c r="E63" t="s">
        <v>12</v>
      </c>
      <c r="F63" t="s">
        <v>44</v>
      </c>
      <c r="G63" s="3">
        <v>1045.8599999999999</v>
      </c>
    </row>
    <row r="64" spans="1:7">
      <c r="A64" t="s">
        <v>81</v>
      </c>
      <c r="B64" s="2">
        <v>45881</v>
      </c>
      <c r="C64" t="s">
        <v>8</v>
      </c>
      <c r="D64">
        <v>25</v>
      </c>
      <c r="E64" t="s">
        <v>9</v>
      </c>
      <c r="F64" t="s">
        <v>13</v>
      </c>
      <c r="G64" s="3">
        <v>665.8</v>
      </c>
    </row>
    <row r="65" spans="1:7">
      <c r="A65" t="s">
        <v>82</v>
      </c>
      <c r="B65" s="2">
        <v>45772</v>
      </c>
      <c r="C65" t="s">
        <v>8</v>
      </c>
      <c r="D65">
        <v>25</v>
      </c>
      <c r="E65" t="s">
        <v>9</v>
      </c>
      <c r="F65" t="s">
        <v>30</v>
      </c>
      <c r="G65" s="3">
        <v>930.93</v>
      </c>
    </row>
    <row r="66" spans="1:7">
      <c r="A66" t="s">
        <v>83</v>
      </c>
      <c r="B66" s="2">
        <v>45678</v>
      </c>
      <c r="C66" t="s">
        <v>8</v>
      </c>
      <c r="D66">
        <v>53</v>
      </c>
      <c r="E66" t="s">
        <v>15</v>
      </c>
      <c r="F66" t="s">
        <v>44</v>
      </c>
      <c r="G66" s="3">
        <v>926.65</v>
      </c>
    </row>
    <row r="67" spans="1:7">
      <c r="A67" t="s">
        <v>84</v>
      </c>
      <c r="B67" s="2">
        <v>45742</v>
      </c>
      <c r="C67" t="s">
        <v>17</v>
      </c>
      <c r="D67">
        <v>22</v>
      </c>
      <c r="E67" t="s">
        <v>15</v>
      </c>
      <c r="F67" t="s">
        <v>30</v>
      </c>
      <c r="G67" s="3">
        <v>1984.53</v>
      </c>
    </row>
    <row r="68" spans="1:7">
      <c r="A68" t="s">
        <v>85</v>
      </c>
      <c r="B68" s="2">
        <v>46133</v>
      </c>
      <c r="C68" t="s">
        <v>17</v>
      </c>
      <c r="D68">
        <v>46</v>
      </c>
      <c r="E68" t="s">
        <v>15</v>
      </c>
      <c r="F68" t="s">
        <v>18</v>
      </c>
      <c r="G68" s="3">
        <v>116.1</v>
      </c>
    </row>
    <row r="69" spans="1:7">
      <c r="A69" t="s">
        <v>86</v>
      </c>
      <c r="B69" s="2">
        <v>45665</v>
      </c>
      <c r="C69" t="s">
        <v>8</v>
      </c>
      <c r="D69">
        <v>66</v>
      </c>
      <c r="E69" t="s">
        <v>15</v>
      </c>
      <c r="F69" t="s">
        <v>30</v>
      </c>
      <c r="G69" s="3">
        <v>1964.48</v>
      </c>
    </row>
    <row r="70" spans="1:7">
      <c r="A70" t="s">
        <v>87</v>
      </c>
      <c r="B70" s="2">
        <v>45918</v>
      </c>
      <c r="C70" t="s">
        <v>17</v>
      </c>
      <c r="D70">
        <v>40</v>
      </c>
      <c r="E70" t="s">
        <v>39</v>
      </c>
      <c r="F70" t="s">
        <v>30</v>
      </c>
      <c r="G70" s="3">
        <v>677.55</v>
      </c>
    </row>
    <row r="71" spans="1:7">
      <c r="B71" s="2">
        <v>46060</v>
      </c>
      <c r="C71" t="s">
        <v>8</v>
      </c>
      <c r="D71">
        <v>23</v>
      </c>
      <c r="E71" t="s">
        <v>39</v>
      </c>
      <c r="F71" t="s">
        <v>23</v>
      </c>
      <c r="G71" s="3">
        <v>528.86</v>
      </c>
    </row>
    <row r="72" spans="1:7">
      <c r="A72" t="s">
        <v>88</v>
      </c>
      <c r="B72" s="2">
        <v>46048</v>
      </c>
      <c r="C72" t="s">
        <v>17</v>
      </c>
      <c r="D72">
        <v>47</v>
      </c>
      <c r="F72" t="s">
        <v>21</v>
      </c>
      <c r="G72" s="3">
        <v>728.06</v>
      </c>
    </row>
    <row r="73" spans="1:7">
      <c r="A73" t="s">
        <v>89</v>
      </c>
      <c r="B73" s="2">
        <v>45858</v>
      </c>
      <c r="C73" t="s">
        <v>17</v>
      </c>
      <c r="D73">
        <v>64</v>
      </c>
      <c r="E73" t="s">
        <v>9</v>
      </c>
      <c r="F73" t="s">
        <v>44</v>
      </c>
      <c r="G73" s="3">
        <v>1421.07</v>
      </c>
    </row>
    <row r="74" spans="1:7">
      <c r="A74" t="s">
        <v>90</v>
      </c>
      <c r="B74" s="2" t="s">
        <v>54</v>
      </c>
      <c r="C74" t="s">
        <v>8</v>
      </c>
      <c r="D74">
        <v>70</v>
      </c>
      <c r="E74" t="s">
        <v>20</v>
      </c>
      <c r="F74" t="s">
        <v>30</v>
      </c>
      <c r="G74" s="3">
        <v>1249.32</v>
      </c>
    </row>
    <row r="75" spans="1:7">
      <c r="A75" t="s">
        <v>91</v>
      </c>
      <c r="B75" s="2">
        <v>45942</v>
      </c>
      <c r="D75">
        <v>24</v>
      </c>
      <c r="E75" t="s">
        <v>20</v>
      </c>
      <c r="F75" t="s">
        <v>44</v>
      </c>
      <c r="G75" s="3">
        <v>1155.95</v>
      </c>
    </row>
    <row r="76" spans="1:7">
      <c r="A76" t="s">
        <v>92</v>
      </c>
      <c r="B76" s="2">
        <v>45991</v>
      </c>
      <c r="C76" t="s">
        <v>8</v>
      </c>
      <c r="D76">
        <v>41</v>
      </c>
      <c r="E76" t="s">
        <v>9</v>
      </c>
      <c r="F76" t="s">
        <v>13</v>
      </c>
      <c r="G76" s="3">
        <v>374.63</v>
      </c>
    </row>
    <row r="77" spans="1:7">
      <c r="A77" t="s">
        <v>93</v>
      </c>
      <c r="B77" s="2">
        <v>46093</v>
      </c>
      <c r="C77" t="s">
        <v>17</v>
      </c>
      <c r="D77">
        <v>52</v>
      </c>
      <c r="E77" t="s">
        <v>9</v>
      </c>
      <c r="G77" s="3">
        <v>216.93</v>
      </c>
    </row>
    <row r="78" spans="1:7">
      <c r="A78" t="s">
        <v>94</v>
      </c>
      <c r="B78" s="2">
        <v>45771</v>
      </c>
      <c r="C78" t="s">
        <v>8</v>
      </c>
      <c r="D78">
        <v>38</v>
      </c>
      <c r="E78" t="s">
        <v>9</v>
      </c>
      <c r="F78" t="s">
        <v>13</v>
      </c>
      <c r="G78" s="3">
        <v>680.77</v>
      </c>
    </row>
    <row r="79" spans="1:7">
      <c r="A79" t="s">
        <v>95</v>
      </c>
      <c r="B79" s="2">
        <v>45966</v>
      </c>
      <c r="C79" t="s">
        <v>17</v>
      </c>
      <c r="D79">
        <v>20</v>
      </c>
      <c r="E79" t="s">
        <v>20</v>
      </c>
      <c r="F79" t="s">
        <v>21</v>
      </c>
      <c r="G79" s="3">
        <v>1234.8800000000001</v>
      </c>
    </row>
    <row r="80" spans="1:7">
      <c r="A80" t="s">
        <v>96</v>
      </c>
      <c r="B80" s="2">
        <v>45828</v>
      </c>
      <c r="C80" t="s">
        <v>8</v>
      </c>
      <c r="D80">
        <v>36</v>
      </c>
      <c r="E80" t="s">
        <v>9</v>
      </c>
      <c r="F80" t="s">
        <v>18</v>
      </c>
      <c r="G80" s="3">
        <v>256.8</v>
      </c>
    </row>
    <row r="81" spans="1:7">
      <c r="A81" t="s">
        <v>97</v>
      </c>
      <c r="B81" s="2">
        <v>46184</v>
      </c>
      <c r="C81" t="s">
        <v>8</v>
      </c>
      <c r="D81">
        <v>62</v>
      </c>
      <c r="E81" t="s">
        <v>74</v>
      </c>
      <c r="F81" t="s">
        <v>23</v>
      </c>
      <c r="G81" s="3">
        <v>595.70000000000005</v>
      </c>
    </row>
    <row r="82" spans="1:7">
      <c r="A82" t="s">
        <v>98</v>
      </c>
      <c r="B82" s="2">
        <v>45913</v>
      </c>
      <c r="C82" t="s">
        <v>17</v>
      </c>
      <c r="D82">
        <v>62</v>
      </c>
      <c r="E82" t="s">
        <v>9</v>
      </c>
      <c r="F82" t="s">
        <v>21</v>
      </c>
      <c r="G82" s="3">
        <v>1156.93</v>
      </c>
    </row>
    <row r="83" spans="1:7">
      <c r="A83" t="s">
        <v>99</v>
      </c>
      <c r="B83" s="2">
        <v>45791</v>
      </c>
      <c r="C83" t="s">
        <v>8</v>
      </c>
      <c r="D83">
        <v>20</v>
      </c>
      <c r="E83" t="s">
        <v>9</v>
      </c>
      <c r="F83" t="s">
        <v>21</v>
      </c>
      <c r="G83" s="3">
        <v>895.53</v>
      </c>
    </row>
    <row r="84" spans="1:7">
      <c r="A84" t="s">
        <v>100</v>
      </c>
      <c r="B84" s="2">
        <v>46001</v>
      </c>
      <c r="C84" t="s">
        <v>8</v>
      </c>
      <c r="D84">
        <v>55</v>
      </c>
      <c r="E84" t="s">
        <v>39</v>
      </c>
      <c r="F84" t="s">
        <v>44</v>
      </c>
      <c r="G84" s="3">
        <v>1229.76</v>
      </c>
    </row>
    <row r="85" spans="1:7">
      <c r="A85" t="s">
        <v>101</v>
      </c>
      <c r="B85" s="2">
        <v>45998</v>
      </c>
      <c r="C85" t="s">
        <v>17</v>
      </c>
      <c r="D85">
        <v>32</v>
      </c>
      <c r="E85" t="s">
        <v>9</v>
      </c>
      <c r="F85" t="s">
        <v>30</v>
      </c>
      <c r="G85" s="3">
        <v>1651.76</v>
      </c>
    </row>
    <row r="86" spans="1:7">
      <c r="A86" t="s">
        <v>102</v>
      </c>
      <c r="B86" s="2"/>
      <c r="C86" t="s">
        <v>17</v>
      </c>
      <c r="D86">
        <v>45</v>
      </c>
      <c r="E86" t="s">
        <v>74</v>
      </c>
      <c r="F86" t="s">
        <v>10</v>
      </c>
      <c r="G86" s="3">
        <v>978.74</v>
      </c>
    </row>
    <row r="87" spans="1:7">
      <c r="A87" t="s">
        <v>103</v>
      </c>
      <c r="B87" s="2"/>
      <c r="C87" t="s">
        <v>8</v>
      </c>
      <c r="D87">
        <v>46</v>
      </c>
      <c r="E87" t="s">
        <v>39</v>
      </c>
      <c r="F87" t="s">
        <v>13</v>
      </c>
      <c r="G87" s="3">
        <v>645.54999999999995</v>
      </c>
    </row>
    <row r="88" spans="1:7">
      <c r="A88" t="s">
        <v>16</v>
      </c>
      <c r="B88" s="2">
        <v>45954</v>
      </c>
      <c r="C88" t="s">
        <v>17</v>
      </c>
      <c r="D88">
        <v>20</v>
      </c>
      <c r="E88" t="s">
        <v>9</v>
      </c>
      <c r="F88" t="s">
        <v>18</v>
      </c>
      <c r="G88" s="3">
        <v>295.45</v>
      </c>
    </row>
    <row r="89" spans="1:7">
      <c r="A89" t="s">
        <v>104</v>
      </c>
      <c r="B89" s="2">
        <v>45667</v>
      </c>
      <c r="C89" t="s">
        <v>8</v>
      </c>
      <c r="D89">
        <v>62</v>
      </c>
      <c r="E89" t="s">
        <v>9</v>
      </c>
      <c r="F89" t="s">
        <v>44</v>
      </c>
      <c r="G89" s="3">
        <v>881.22</v>
      </c>
    </row>
    <row r="90" spans="1:7">
      <c r="A90" t="s">
        <v>105</v>
      </c>
      <c r="B90" s="2">
        <v>46109</v>
      </c>
      <c r="C90" t="s">
        <v>17</v>
      </c>
      <c r="D90">
        <v>63</v>
      </c>
      <c r="E90" t="s">
        <v>20</v>
      </c>
      <c r="F90" t="s">
        <v>30</v>
      </c>
      <c r="G90" s="3">
        <v>1127.6500000000001</v>
      </c>
    </row>
    <row r="91" spans="1:7">
      <c r="A91" t="s">
        <v>106</v>
      </c>
      <c r="B91" s="2">
        <v>46187</v>
      </c>
      <c r="C91" t="s">
        <v>8</v>
      </c>
      <c r="D91">
        <v>32</v>
      </c>
      <c r="E91" t="s">
        <v>39</v>
      </c>
      <c r="F91" t="s">
        <v>18</v>
      </c>
      <c r="G91" s="3">
        <v>201.16</v>
      </c>
    </row>
    <row r="92" spans="1:7">
      <c r="A92" t="s">
        <v>107</v>
      </c>
      <c r="B92" s="2"/>
      <c r="C92" t="s">
        <v>17</v>
      </c>
      <c r="D92">
        <v>55</v>
      </c>
      <c r="E92" t="s">
        <v>9</v>
      </c>
      <c r="F92" t="s">
        <v>23</v>
      </c>
      <c r="G92" s="3">
        <v>618.42999999999995</v>
      </c>
    </row>
    <row r="93" spans="1:7">
      <c r="A93" t="s">
        <v>108</v>
      </c>
      <c r="B93" s="2"/>
      <c r="C93" t="s">
        <v>17</v>
      </c>
      <c r="D93">
        <v>48</v>
      </c>
      <c r="E93" t="s">
        <v>74</v>
      </c>
      <c r="F93" t="s">
        <v>23</v>
      </c>
      <c r="G93" s="3">
        <v>759.9</v>
      </c>
    </row>
    <row r="94" spans="1:7">
      <c r="A94" t="s">
        <v>109</v>
      </c>
      <c r="B94" s="2">
        <v>45928</v>
      </c>
      <c r="C94" t="s">
        <v>17</v>
      </c>
      <c r="D94">
        <v>61</v>
      </c>
      <c r="E94" t="s">
        <v>15</v>
      </c>
      <c r="G94" s="3">
        <v>667.7</v>
      </c>
    </row>
    <row r="95" spans="1:7">
      <c r="A95" t="s">
        <v>110</v>
      </c>
      <c r="B95" s="2">
        <v>45778</v>
      </c>
      <c r="C95" t="s">
        <v>17</v>
      </c>
      <c r="D95">
        <v>38</v>
      </c>
      <c r="F95" t="s">
        <v>13</v>
      </c>
      <c r="G95" s="3">
        <v>752.98</v>
      </c>
    </row>
    <row r="96" spans="1:7">
      <c r="A96" t="s">
        <v>111</v>
      </c>
      <c r="B96" s="2">
        <v>45673</v>
      </c>
      <c r="C96" t="s">
        <v>8</v>
      </c>
      <c r="D96">
        <v>43</v>
      </c>
      <c r="E96" t="s">
        <v>15</v>
      </c>
      <c r="F96" t="s">
        <v>18</v>
      </c>
      <c r="G96" s="3">
        <v>127.29</v>
      </c>
    </row>
    <row r="97" spans="1:7">
      <c r="A97" t="s">
        <v>112</v>
      </c>
      <c r="B97" s="2">
        <v>45968</v>
      </c>
      <c r="C97" t="s">
        <v>17</v>
      </c>
      <c r="D97">
        <v>32</v>
      </c>
      <c r="E97" t="s">
        <v>9</v>
      </c>
      <c r="F97" t="s">
        <v>21</v>
      </c>
      <c r="G97" s="3">
        <v>790.7</v>
      </c>
    </row>
    <row r="98" spans="1:7">
      <c r="A98" t="s">
        <v>113</v>
      </c>
      <c r="B98" s="2" t="s">
        <v>114</v>
      </c>
      <c r="C98" t="s">
        <v>17</v>
      </c>
      <c r="E98" t="s">
        <v>74</v>
      </c>
      <c r="F98" t="s">
        <v>23</v>
      </c>
      <c r="G98" s="3">
        <v>661.71</v>
      </c>
    </row>
    <row r="99" spans="1:7">
      <c r="A99" t="s">
        <v>115</v>
      </c>
      <c r="B99" s="2">
        <v>45877</v>
      </c>
      <c r="C99" t="s">
        <v>17</v>
      </c>
      <c r="D99">
        <v>29</v>
      </c>
      <c r="E99" t="s">
        <v>9</v>
      </c>
      <c r="F99" t="s">
        <v>18</v>
      </c>
      <c r="G99" s="3"/>
    </row>
    <row r="100" spans="1:7">
      <c r="A100" t="s">
        <v>116</v>
      </c>
      <c r="B100" s="2">
        <v>45874</v>
      </c>
      <c r="C100" t="s">
        <v>8</v>
      </c>
      <c r="D100">
        <v>45</v>
      </c>
      <c r="E100" t="s">
        <v>9</v>
      </c>
      <c r="F100" t="s">
        <v>23</v>
      </c>
      <c r="G100" s="3">
        <v>839.71</v>
      </c>
    </row>
    <row r="101" spans="1:7">
      <c r="A101" t="s">
        <v>117</v>
      </c>
      <c r="B101" s="2">
        <v>46228</v>
      </c>
      <c r="C101" t="s">
        <v>8</v>
      </c>
      <c r="D101">
        <v>62</v>
      </c>
      <c r="E101" t="s">
        <v>15</v>
      </c>
      <c r="F101" t="s">
        <v>44</v>
      </c>
      <c r="G101" s="3">
        <v>632.38</v>
      </c>
    </row>
    <row r="102" spans="1:7">
      <c r="A102" t="s">
        <v>118</v>
      </c>
      <c r="B102" s="2">
        <v>45723</v>
      </c>
      <c r="D102">
        <v>59</v>
      </c>
      <c r="E102" t="s">
        <v>15</v>
      </c>
      <c r="F102" t="s">
        <v>21</v>
      </c>
      <c r="G102" s="3">
        <v>952.9</v>
      </c>
    </row>
    <row r="103" spans="1:7">
      <c r="A103" t="s">
        <v>119</v>
      </c>
      <c r="B103" s="2">
        <v>45951</v>
      </c>
      <c r="C103" t="s">
        <v>17</v>
      </c>
      <c r="D103">
        <v>26</v>
      </c>
      <c r="E103" t="s">
        <v>9</v>
      </c>
      <c r="F103" t="s">
        <v>13</v>
      </c>
      <c r="G103" s="3">
        <v>896.23</v>
      </c>
    </row>
    <row r="104" spans="1:7">
      <c r="A104" t="s">
        <v>120</v>
      </c>
      <c r="B104" s="2">
        <v>45767</v>
      </c>
      <c r="C104" t="s">
        <v>8</v>
      </c>
      <c r="D104">
        <v>37</v>
      </c>
      <c r="E104" t="s">
        <v>74</v>
      </c>
      <c r="F104" t="s">
        <v>30</v>
      </c>
      <c r="G104" s="3">
        <v>1470.86</v>
      </c>
    </row>
    <row r="105" spans="1:7">
      <c r="A105" t="s">
        <v>121</v>
      </c>
      <c r="B105" s="2">
        <v>46094</v>
      </c>
      <c r="C105" t="s">
        <v>8</v>
      </c>
      <c r="D105">
        <v>43</v>
      </c>
      <c r="E105" t="s">
        <v>9</v>
      </c>
      <c r="F105" t="s">
        <v>30</v>
      </c>
      <c r="G105" s="3">
        <v>1377.65</v>
      </c>
    </row>
    <row r="106" spans="1:7">
      <c r="A106" t="s">
        <v>122</v>
      </c>
      <c r="B106" s="2">
        <v>45950</v>
      </c>
      <c r="C106" t="s">
        <v>114</v>
      </c>
      <c r="D106">
        <v>21</v>
      </c>
      <c r="E106" t="s">
        <v>9</v>
      </c>
      <c r="F106" t="s">
        <v>30</v>
      </c>
      <c r="G106" s="3">
        <v>1996.92</v>
      </c>
    </row>
    <row r="107" spans="1:7">
      <c r="A107" t="s">
        <v>123</v>
      </c>
      <c r="B107" s="2">
        <v>46124</v>
      </c>
      <c r="C107" t="s">
        <v>8</v>
      </c>
      <c r="D107">
        <v>24</v>
      </c>
      <c r="E107" t="s">
        <v>9</v>
      </c>
      <c r="F107" t="s">
        <v>44</v>
      </c>
      <c r="G107" s="3">
        <v>1411.64</v>
      </c>
    </row>
    <row r="108" spans="1:7">
      <c r="A108" t="s">
        <v>124</v>
      </c>
      <c r="B108" s="2">
        <v>45802</v>
      </c>
      <c r="C108" t="s">
        <v>17</v>
      </c>
      <c r="D108">
        <v>38</v>
      </c>
      <c r="E108" t="s">
        <v>9</v>
      </c>
      <c r="F108" t="s">
        <v>44</v>
      </c>
      <c r="G108" s="3">
        <v>836.33</v>
      </c>
    </row>
    <row r="109" spans="1:7">
      <c r="A109" t="s">
        <v>125</v>
      </c>
      <c r="B109" s="2">
        <v>46070</v>
      </c>
      <c r="C109" t="s">
        <v>17</v>
      </c>
      <c r="D109">
        <v>55</v>
      </c>
      <c r="E109" t="s">
        <v>15</v>
      </c>
      <c r="F109" t="s">
        <v>23</v>
      </c>
      <c r="G109" s="3">
        <v>1021.22</v>
      </c>
    </row>
    <row r="110" spans="1:7">
      <c r="A110" t="s">
        <v>126</v>
      </c>
      <c r="B110" s="2">
        <v>45735</v>
      </c>
      <c r="C110" t="s">
        <v>17</v>
      </c>
      <c r="D110">
        <v>61</v>
      </c>
      <c r="F110" t="s">
        <v>18</v>
      </c>
      <c r="G110" s="3">
        <v>265.87</v>
      </c>
    </row>
    <row r="111" spans="1:7">
      <c r="A111" t="s">
        <v>127</v>
      </c>
      <c r="B111" s="2">
        <v>46146</v>
      </c>
      <c r="C111" t="s">
        <v>17</v>
      </c>
      <c r="D111">
        <v>43</v>
      </c>
      <c r="E111" t="s">
        <v>20</v>
      </c>
      <c r="F111" t="s">
        <v>18</v>
      </c>
      <c r="G111" s="3">
        <v>169.21</v>
      </c>
    </row>
    <row r="112" spans="1:7">
      <c r="A112" t="s">
        <v>128</v>
      </c>
      <c r="B112" s="2">
        <v>45763</v>
      </c>
      <c r="C112" t="s">
        <v>17</v>
      </c>
      <c r="D112">
        <v>65</v>
      </c>
      <c r="E112" t="s">
        <v>9</v>
      </c>
      <c r="F112" t="s">
        <v>13</v>
      </c>
      <c r="G112" s="3">
        <v>799.53</v>
      </c>
    </row>
    <row r="113" spans="1:7">
      <c r="A113" t="s">
        <v>129</v>
      </c>
      <c r="B113" s="2">
        <v>45777</v>
      </c>
      <c r="C113" t="s">
        <v>17</v>
      </c>
      <c r="D113">
        <v>41</v>
      </c>
      <c r="F113" t="s">
        <v>10</v>
      </c>
      <c r="G113" s="3">
        <v>1081.02</v>
      </c>
    </row>
    <row r="114" spans="1:7">
      <c r="B114" s="2">
        <v>45908</v>
      </c>
      <c r="C114" t="s">
        <v>17</v>
      </c>
      <c r="D114">
        <v>32</v>
      </c>
      <c r="E114" t="s">
        <v>74</v>
      </c>
      <c r="F114" t="s">
        <v>30</v>
      </c>
      <c r="G114" s="3">
        <v>1614.28</v>
      </c>
    </row>
    <row r="115" spans="1:7">
      <c r="A115" t="s">
        <v>130</v>
      </c>
      <c r="B115" s="2">
        <v>45847</v>
      </c>
      <c r="C115" t="s">
        <v>17</v>
      </c>
      <c r="D115">
        <v>42</v>
      </c>
      <c r="E115" t="s">
        <v>9</v>
      </c>
      <c r="F115" t="s">
        <v>13</v>
      </c>
      <c r="G115" s="3">
        <v>648.44000000000005</v>
      </c>
    </row>
    <row r="116" spans="1:7">
      <c r="A116" t="s">
        <v>131</v>
      </c>
      <c r="B116" s="2">
        <v>45846</v>
      </c>
      <c r="C116" t="s">
        <v>17</v>
      </c>
      <c r="D116">
        <v>18</v>
      </c>
      <c r="E116" t="s">
        <v>12</v>
      </c>
      <c r="F116" t="s">
        <v>18</v>
      </c>
      <c r="G116" s="3">
        <v>275.93</v>
      </c>
    </row>
    <row r="117" spans="1:7">
      <c r="A117" t="s">
        <v>132</v>
      </c>
      <c r="B117" s="2">
        <v>46065</v>
      </c>
      <c r="C117" t="s">
        <v>17</v>
      </c>
      <c r="D117">
        <v>22</v>
      </c>
      <c r="E117" t="s">
        <v>9</v>
      </c>
      <c r="F117" t="s">
        <v>21</v>
      </c>
      <c r="G117" s="3">
        <v>1281</v>
      </c>
    </row>
    <row r="118" spans="1:7">
      <c r="A118" t="s">
        <v>133</v>
      </c>
      <c r="B118" s="2">
        <v>45943</v>
      </c>
      <c r="C118" t="s">
        <v>8</v>
      </c>
      <c r="D118">
        <v>123</v>
      </c>
      <c r="E118" t="s">
        <v>9</v>
      </c>
      <c r="F118" t="s">
        <v>44</v>
      </c>
      <c r="G118" s="3">
        <v>796.52</v>
      </c>
    </row>
    <row r="119" spans="1:7">
      <c r="A119" t="s">
        <v>134</v>
      </c>
      <c r="B119" s="2">
        <v>45681</v>
      </c>
      <c r="C119" t="s">
        <v>17</v>
      </c>
      <c r="D119">
        <v>19</v>
      </c>
      <c r="E119" t="s">
        <v>74</v>
      </c>
      <c r="F119" t="s">
        <v>13</v>
      </c>
      <c r="G119" s="3">
        <v>579.54999999999995</v>
      </c>
    </row>
    <row r="120" spans="1:7">
      <c r="A120" t="s">
        <v>135</v>
      </c>
      <c r="B120" s="2">
        <v>45886</v>
      </c>
      <c r="C120" t="s">
        <v>17</v>
      </c>
      <c r="D120">
        <v>60</v>
      </c>
      <c r="E120" t="s">
        <v>15</v>
      </c>
      <c r="F120" t="s">
        <v>21</v>
      </c>
      <c r="G120" s="3">
        <v>712.55</v>
      </c>
    </row>
    <row r="121" spans="1:7">
      <c r="B121" s="2">
        <v>46151</v>
      </c>
      <c r="C121" t="s">
        <v>17</v>
      </c>
      <c r="D121">
        <v>50</v>
      </c>
      <c r="E121" t="s">
        <v>9</v>
      </c>
      <c r="F121" t="s">
        <v>21</v>
      </c>
      <c r="G121" s="3">
        <v>917.25</v>
      </c>
    </row>
    <row r="122" spans="1:7">
      <c r="A122" t="s">
        <v>136</v>
      </c>
      <c r="B122" s="2">
        <v>45801</v>
      </c>
      <c r="C122" t="s">
        <v>8</v>
      </c>
      <c r="D122">
        <v>21</v>
      </c>
      <c r="E122" t="s">
        <v>12</v>
      </c>
      <c r="F122" t="s">
        <v>44</v>
      </c>
      <c r="G122" s="3">
        <v>890.48</v>
      </c>
    </row>
    <row r="123" spans="1:7">
      <c r="A123" t="s">
        <v>137</v>
      </c>
      <c r="B123" s="2">
        <v>46157</v>
      </c>
      <c r="C123" t="s">
        <v>17</v>
      </c>
      <c r="D123">
        <v>61</v>
      </c>
      <c r="E123" t="s">
        <v>15</v>
      </c>
      <c r="F123" t="s">
        <v>18</v>
      </c>
      <c r="G123" s="3">
        <v>294.94</v>
      </c>
    </row>
    <row r="124" spans="1:7">
      <c r="A124" t="s">
        <v>138</v>
      </c>
      <c r="B124" s="2">
        <v>45840</v>
      </c>
      <c r="C124" t="s">
        <v>17</v>
      </c>
      <c r="E124" t="s">
        <v>15</v>
      </c>
      <c r="F124" t="s">
        <v>21</v>
      </c>
      <c r="G124" s="3">
        <v>756.75</v>
      </c>
    </row>
    <row r="125" spans="1:7">
      <c r="A125" t="s">
        <v>139</v>
      </c>
      <c r="B125" s="2">
        <v>45820</v>
      </c>
      <c r="C125" t="s">
        <v>17</v>
      </c>
      <c r="D125">
        <v>58</v>
      </c>
      <c r="E125" t="s">
        <v>39</v>
      </c>
      <c r="F125" t="s">
        <v>30</v>
      </c>
      <c r="G125" s="3">
        <v>1316.09</v>
      </c>
    </row>
    <row r="126" spans="1:7">
      <c r="A126" t="s">
        <v>140</v>
      </c>
      <c r="B126" s="2"/>
      <c r="C126" t="s">
        <v>8</v>
      </c>
      <c r="D126">
        <v>33</v>
      </c>
      <c r="E126" t="s">
        <v>39</v>
      </c>
      <c r="F126" t="s">
        <v>21</v>
      </c>
      <c r="G126" s="3">
        <v>753.73</v>
      </c>
    </row>
    <row r="127" spans="1:7">
      <c r="A127" t="s">
        <v>141</v>
      </c>
      <c r="B127" s="2">
        <v>46052</v>
      </c>
      <c r="C127" t="s">
        <v>17</v>
      </c>
      <c r="D127">
        <v>49</v>
      </c>
      <c r="E127" t="s">
        <v>9</v>
      </c>
      <c r="F127" t="s">
        <v>21</v>
      </c>
      <c r="G127" s="3">
        <v>527.12</v>
      </c>
    </row>
    <row r="128" spans="1:7">
      <c r="A128" t="s">
        <v>142</v>
      </c>
      <c r="B128" s="2">
        <v>45706</v>
      </c>
      <c r="C128" t="s">
        <v>17</v>
      </c>
      <c r="D128">
        <v>35</v>
      </c>
      <c r="E128" t="s">
        <v>12</v>
      </c>
      <c r="F128" t="s">
        <v>143</v>
      </c>
      <c r="G128" s="3">
        <v>646.07000000000005</v>
      </c>
    </row>
    <row r="129" spans="1:7">
      <c r="A129" t="s">
        <v>144</v>
      </c>
      <c r="B129" s="2">
        <v>45827</v>
      </c>
      <c r="C129" t="s">
        <v>17</v>
      </c>
      <c r="D129">
        <v>42</v>
      </c>
      <c r="E129" t="s">
        <v>15</v>
      </c>
      <c r="F129" t="s">
        <v>10</v>
      </c>
      <c r="G129" s="3">
        <v>1155.3399999999999</v>
      </c>
    </row>
    <row r="130" spans="1:7">
      <c r="A130" t="s">
        <v>145</v>
      </c>
      <c r="B130" s="2">
        <v>45983</v>
      </c>
      <c r="C130" t="s">
        <v>17</v>
      </c>
      <c r="D130">
        <v>50</v>
      </c>
      <c r="E130" t="s">
        <v>9</v>
      </c>
      <c r="F130" t="s">
        <v>30</v>
      </c>
      <c r="G130" s="3"/>
    </row>
    <row r="131" spans="1:7">
      <c r="A131" t="s">
        <v>146</v>
      </c>
      <c r="B131" s="2">
        <v>46037</v>
      </c>
      <c r="C131" t="s">
        <v>17</v>
      </c>
      <c r="D131">
        <v>21</v>
      </c>
      <c r="E131" t="s">
        <v>12</v>
      </c>
      <c r="F131" t="s">
        <v>10</v>
      </c>
      <c r="G131" s="3">
        <v>845.86</v>
      </c>
    </row>
    <row r="132" spans="1:7">
      <c r="A132" t="s">
        <v>147</v>
      </c>
      <c r="B132" s="2">
        <v>45661</v>
      </c>
      <c r="C132" t="s">
        <v>17</v>
      </c>
      <c r="D132">
        <v>46</v>
      </c>
      <c r="F132" t="s">
        <v>30</v>
      </c>
      <c r="G132" s="3">
        <v>1455.22</v>
      </c>
    </row>
    <row r="133" spans="1:7">
      <c r="A133" t="s">
        <v>148</v>
      </c>
      <c r="B133" s="2">
        <v>45768</v>
      </c>
      <c r="C133" t="s">
        <v>8</v>
      </c>
      <c r="D133">
        <v>39</v>
      </c>
      <c r="E133" t="s">
        <v>39</v>
      </c>
      <c r="F133" t="s">
        <v>18</v>
      </c>
      <c r="G133" s="3">
        <v>120.06</v>
      </c>
    </row>
    <row r="134" spans="1:7">
      <c r="A134" t="s">
        <v>149</v>
      </c>
      <c r="B134" s="2">
        <v>45890</v>
      </c>
      <c r="C134" t="s">
        <v>8</v>
      </c>
      <c r="D134">
        <v>60</v>
      </c>
      <c r="E134" t="s">
        <v>150</v>
      </c>
      <c r="F134" t="s">
        <v>18</v>
      </c>
      <c r="G134" s="3"/>
    </row>
    <row r="135" spans="1:7">
      <c r="A135" t="s">
        <v>151</v>
      </c>
      <c r="B135" s="2">
        <v>45719</v>
      </c>
      <c r="C135" t="s">
        <v>8</v>
      </c>
      <c r="D135">
        <v>46</v>
      </c>
      <c r="F135" t="s">
        <v>13</v>
      </c>
      <c r="G135" s="3">
        <v>675.77</v>
      </c>
    </row>
    <row r="136" spans="1:7">
      <c r="A136" t="s">
        <v>152</v>
      </c>
      <c r="B136" s="2">
        <v>45709</v>
      </c>
      <c r="C136" t="s">
        <v>8</v>
      </c>
      <c r="E136" t="s">
        <v>20</v>
      </c>
      <c r="F136" t="s">
        <v>13</v>
      </c>
      <c r="G136" s="3">
        <v>409.49</v>
      </c>
    </row>
    <row r="137" spans="1:7">
      <c r="A137" t="s">
        <v>153</v>
      </c>
      <c r="B137" s="2">
        <v>45763</v>
      </c>
      <c r="D137">
        <v>41</v>
      </c>
      <c r="E137" t="s">
        <v>20</v>
      </c>
      <c r="F137" t="s">
        <v>10</v>
      </c>
      <c r="G137" s="3">
        <v>10006</v>
      </c>
    </row>
    <row r="138" spans="1:7">
      <c r="A138" t="s">
        <v>154</v>
      </c>
      <c r="B138" s="2">
        <v>46033</v>
      </c>
      <c r="C138" t="s">
        <v>17</v>
      </c>
      <c r="D138">
        <v>70</v>
      </c>
      <c r="E138" t="s">
        <v>20</v>
      </c>
      <c r="F138" t="s">
        <v>30</v>
      </c>
      <c r="G138" s="3">
        <v>1956.52</v>
      </c>
    </row>
    <row r="139" spans="1:7">
      <c r="A139" t="s">
        <v>155</v>
      </c>
      <c r="B139" s="2">
        <v>45812</v>
      </c>
      <c r="C139" t="s">
        <v>17</v>
      </c>
      <c r="D139">
        <v>19</v>
      </c>
      <c r="E139" t="s">
        <v>9</v>
      </c>
      <c r="F139" t="s">
        <v>23</v>
      </c>
      <c r="G139" s="3"/>
    </row>
    <row r="140" spans="1:7">
      <c r="A140" t="s">
        <v>156</v>
      </c>
      <c r="B140" s="2">
        <v>45875</v>
      </c>
      <c r="C140" t="s">
        <v>8</v>
      </c>
      <c r="D140">
        <v>59</v>
      </c>
      <c r="E140" t="s">
        <v>20</v>
      </c>
      <c r="F140" t="s">
        <v>13</v>
      </c>
      <c r="G140" s="3"/>
    </row>
    <row r="141" spans="1:7">
      <c r="A141" t="s">
        <v>157</v>
      </c>
      <c r="B141" s="2">
        <v>46026</v>
      </c>
      <c r="C141" t="s">
        <v>17</v>
      </c>
      <c r="D141">
        <v>65</v>
      </c>
      <c r="F141" t="s">
        <v>21</v>
      </c>
      <c r="G141" s="3">
        <v>810.64</v>
      </c>
    </row>
    <row r="142" spans="1:7">
      <c r="A142" t="s">
        <v>158</v>
      </c>
      <c r="B142" s="2">
        <v>46064</v>
      </c>
      <c r="C142" t="s">
        <v>17</v>
      </c>
      <c r="D142">
        <v>30</v>
      </c>
      <c r="F142" t="s">
        <v>13</v>
      </c>
      <c r="G142" s="3">
        <v>855.02</v>
      </c>
    </row>
    <row r="143" spans="1:7">
      <c r="A143" t="s">
        <v>159</v>
      </c>
      <c r="B143" s="2">
        <v>45938</v>
      </c>
      <c r="C143" t="s">
        <v>8</v>
      </c>
      <c r="D143">
        <v>52</v>
      </c>
      <c r="E143" t="s">
        <v>39</v>
      </c>
      <c r="F143" t="s">
        <v>18</v>
      </c>
      <c r="G143" s="3">
        <v>316.74</v>
      </c>
    </row>
    <row r="144" spans="1:7">
      <c r="A144" t="s">
        <v>160</v>
      </c>
      <c r="B144" s="2"/>
      <c r="C144" t="s">
        <v>8</v>
      </c>
      <c r="D144">
        <v>31</v>
      </c>
      <c r="E144" t="s">
        <v>9</v>
      </c>
      <c r="F144" t="s">
        <v>30</v>
      </c>
      <c r="G144" s="3">
        <v>1961.76</v>
      </c>
    </row>
    <row r="145" spans="1:7">
      <c r="A145" t="s">
        <v>161</v>
      </c>
      <c r="B145" s="2">
        <v>46173</v>
      </c>
      <c r="C145" t="s">
        <v>17</v>
      </c>
      <c r="D145">
        <v>34</v>
      </c>
      <c r="E145" t="s">
        <v>15</v>
      </c>
      <c r="F145" t="s">
        <v>44</v>
      </c>
      <c r="G145" s="3">
        <v>1390.38</v>
      </c>
    </row>
    <row r="146" spans="1:7">
      <c r="A146" t="s">
        <v>162</v>
      </c>
      <c r="B146" s="2">
        <v>45752</v>
      </c>
      <c r="C146" t="s">
        <v>8</v>
      </c>
      <c r="E146" t="s">
        <v>39</v>
      </c>
      <c r="F146" t="s">
        <v>30</v>
      </c>
      <c r="G146" s="3">
        <v>1852.82</v>
      </c>
    </row>
    <row r="147" spans="1:7">
      <c r="A147" t="s">
        <v>163</v>
      </c>
      <c r="B147" s="2">
        <v>45931</v>
      </c>
      <c r="C147" t="s">
        <v>8</v>
      </c>
      <c r="D147">
        <v>68</v>
      </c>
      <c r="E147" t="s">
        <v>9</v>
      </c>
      <c r="G147" s="3">
        <v>843.99</v>
      </c>
    </row>
    <row r="148" spans="1:7">
      <c r="B148" s="2"/>
      <c r="C148" t="s">
        <v>8</v>
      </c>
      <c r="D148">
        <v>50</v>
      </c>
      <c r="E148" t="s">
        <v>15</v>
      </c>
      <c r="F148" t="s">
        <v>30</v>
      </c>
      <c r="G148" s="3">
        <v>1828.2</v>
      </c>
    </row>
    <row r="149" spans="1:7">
      <c r="A149" t="s">
        <v>164</v>
      </c>
      <c r="B149" s="2">
        <v>45864</v>
      </c>
      <c r="C149" t="s">
        <v>17</v>
      </c>
      <c r="D149">
        <v>60</v>
      </c>
      <c r="E149" t="s">
        <v>15</v>
      </c>
      <c r="F149" t="s">
        <v>30</v>
      </c>
      <c r="G149" s="3">
        <v>785.37</v>
      </c>
    </row>
    <row r="150" spans="1:7">
      <c r="A150" t="s">
        <v>165</v>
      </c>
      <c r="B150" s="2">
        <v>46020</v>
      </c>
      <c r="C150" t="s">
        <v>17</v>
      </c>
      <c r="D150">
        <v>70</v>
      </c>
      <c r="E150" t="s">
        <v>20</v>
      </c>
      <c r="F150" t="s">
        <v>30</v>
      </c>
      <c r="G150" s="3">
        <v>924.95</v>
      </c>
    </row>
    <row r="151" spans="1:7">
      <c r="A151" t="s">
        <v>166</v>
      </c>
      <c r="B151" s="2">
        <v>45771</v>
      </c>
      <c r="C151" t="s">
        <v>17</v>
      </c>
      <c r="E151" t="s">
        <v>74</v>
      </c>
      <c r="F151" t="s">
        <v>13</v>
      </c>
      <c r="G151" s="3">
        <v>758.44</v>
      </c>
    </row>
    <row r="152" spans="1:7">
      <c r="A152" t="s">
        <v>167</v>
      </c>
      <c r="B152" s="2">
        <v>45982</v>
      </c>
      <c r="C152" t="s">
        <v>8</v>
      </c>
      <c r="D152">
        <v>35</v>
      </c>
      <c r="E152" t="s">
        <v>9</v>
      </c>
      <c r="F152" t="s">
        <v>30</v>
      </c>
      <c r="G152" s="3">
        <v>1086.6400000000001</v>
      </c>
    </row>
    <row r="153" spans="1:7">
      <c r="A153" t="s">
        <v>168</v>
      </c>
      <c r="B153" s="2">
        <v>46000</v>
      </c>
      <c r="C153" t="s">
        <v>17</v>
      </c>
      <c r="D153">
        <v>43</v>
      </c>
      <c r="E153" t="s">
        <v>9</v>
      </c>
      <c r="F153" t="s">
        <v>44</v>
      </c>
      <c r="G153" s="3">
        <v>624.91999999999996</v>
      </c>
    </row>
    <row r="154" spans="1:7">
      <c r="A154" t="s">
        <v>169</v>
      </c>
      <c r="B154" s="2">
        <v>45676</v>
      </c>
      <c r="C154" t="s">
        <v>8</v>
      </c>
      <c r="E154" t="s">
        <v>9</v>
      </c>
      <c r="F154" t="s">
        <v>30</v>
      </c>
      <c r="G154" s="3">
        <v>1015.92</v>
      </c>
    </row>
    <row r="155" spans="1:7">
      <c r="A155" t="s">
        <v>170</v>
      </c>
      <c r="B155" s="2">
        <v>46081</v>
      </c>
      <c r="C155" t="s">
        <v>17</v>
      </c>
      <c r="D155">
        <v>62</v>
      </c>
      <c r="E155" t="s">
        <v>9</v>
      </c>
      <c r="F155" t="s">
        <v>44</v>
      </c>
      <c r="G155" s="3">
        <v>1371.98</v>
      </c>
    </row>
    <row r="156" spans="1:7">
      <c r="A156" t="s">
        <v>171</v>
      </c>
      <c r="B156" s="2">
        <v>45680</v>
      </c>
      <c r="C156" t="s">
        <v>17</v>
      </c>
      <c r="D156">
        <v>28</v>
      </c>
      <c r="E156" t="s">
        <v>12</v>
      </c>
      <c r="F156" t="s">
        <v>10</v>
      </c>
      <c r="G156" s="3">
        <v>836.87</v>
      </c>
    </row>
    <row r="157" spans="1:7">
      <c r="A157" t="s">
        <v>172</v>
      </c>
      <c r="B157" s="2">
        <v>45892</v>
      </c>
      <c r="C157" t="s">
        <v>8</v>
      </c>
      <c r="E157" t="s">
        <v>20</v>
      </c>
      <c r="F157" t="s">
        <v>30</v>
      </c>
      <c r="G157" s="3">
        <v>895.93</v>
      </c>
    </row>
    <row r="158" spans="1:7">
      <c r="A158" t="s">
        <v>173</v>
      </c>
      <c r="B158" s="2">
        <v>46157</v>
      </c>
      <c r="D158">
        <v>65</v>
      </c>
      <c r="E158" t="s">
        <v>12</v>
      </c>
      <c r="F158" t="s">
        <v>30</v>
      </c>
      <c r="G158" s="3">
        <v>1137.32</v>
      </c>
    </row>
    <row r="159" spans="1:7">
      <c r="A159" t="s">
        <v>174</v>
      </c>
      <c r="B159" s="2">
        <v>46041</v>
      </c>
      <c r="C159" t="s">
        <v>17</v>
      </c>
      <c r="D159">
        <v>28</v>
      </c>
      <c r="E159" t="s">
        <v>54</v>
      </c>
      <c r="F159" t="s">
        <v>21</v>
      </c>
      <c r="G159" s="3">
        <v>785.95</v>
      </c>
    </row>
    <row r="160" spans="1:7">
      <c r="A160" t="s">
        <v>175</v>
      </c>
      <c r="B160" s="2">
        <v>46230</v>
      </c>
      <c r="D160">
        <v>70</v>
      </c>
      <c r="E160" t="s">
        <v>9</v>
      </c>
      <c r="F160" t="s">
        <v>10</v>
      </c>
      <c r="G160" s="3">
        <v>1087.08</v>
      </c>
    </row>
    <row r="161" spans="1:7">
      <c r="A161" t="s">
        <v>176</v>
      </c>
      <c r="B161" s="2">
        <v>45839</v>
      </c>
      <c r="C161" t="s">
        <v>17</v>
      </c>
      <c r="E161" t="s">
        <v>15</v>
      </c>
      <c r="F161" t="s">
        <v>13</v>
      </c>
      <c r="G161" s="3">
        <v>648.57000000000005</v>
      </c>
    </row>
    <row r="162" spans="1:7">
      <c r="A162" t="s">
        <v>177</v>
      </c>
      <c r="B162" s="2">
        <v>45873</v>
      </c>
      <c r="C162" t="s">
        <v>8</v>
      </c>
      <c r="D162">
        <v>52</v>
      </c>
      <c r="E162" t="s">
        <v>39</v>
      </c>
      <c r="F162" t="s">
        <v>10</v>
      </c>
      <c r="G162" s="3">
        <v>1064.4100000000001</v>
      </c>
    </row>
    <row r="163" spans="1:7">
      <c r="B163" s="2">
        <v>45878</v>
      </c>
      <c r="C163" t="s">
        <v>8</v>
      </c>
      <c r="D163">
        <v>53</v>
      </c>
      <c r="E163" t="s">
        <v>9</v>
      </c>
      <c r="F163" t="s">
        <v>21</v>
      </c>
      <c r="G163" s="3">
        <v>944.96</v>
      </c>
    </row>
    <row r="164" spans="1:7">
      <c r="A164" t="s">
        <v>178</v>
      </c>
      <c r="B164" s="2">
        <v>46059</v>
      </c>
      <c r="C164" t="s">
        <v>8</v>
      </c>
      <c r="D164">
        <v>36</v>
      </c>
      <c r="E164" t="s">
        <v>15</v>
      </c>
      <c r="F164" t="s">
        <v>10</v>
      </c>
      <c r="G164" s="3">
        <v>508.34</v>
      </c>
    </row>
    <row r="165" spans="1:7">
      <c r="A165" t="s">
        <v>179</v>
      </c>
      <c r="B165" s="2">
        <v>46148</v>
      </c>
      <c r="C165" t="s">
        <v>8</v>
      </c>
      <c r="D165">
        <v>52</v>
      </c>
      <c r="E165" t="s">
        <v>9</v>
      </c>
      <c r="F165" t="s">
        <v>10</v>
      </c>
      <c r="G165" s="3">
        <v>934.22</v>
      </c>
    </row>
    <row r="166" spans="1:7">
      <c r="A166" t="s">
        <v>180</v>
      </c>
      <c r="B166" s="2">
        <v>45795</v>
      </c>
      <c r="C166" t="s">
        <v>8</v>
      </c>
      <c r="D166">
        <v>26</v>
      </c>
      <c r="E166" t="s">
        <v>39</v>
      </c>
      <c r="F166" t="s">
        <v>18</v>
      </c>
      <c r="G166" s="3">
        <v>267.12</v>
      </c>
    </row>
    <row r="167" spans="1:7">
      <c r="A167" t="s">
        <v>181</v>
      </c>
      <c r="B167" s="2">
        <v>45879</v>
      </c>
      <c r="C167" t="s">
        <v>8</v>
      </c>
      <c r="D167">
        <v>42</v>
      </c>
      <c r="E167" t="s">
        <v>15</v>
      </c>
      <c r="F167" t="s">
        <v>30</v>
      </c>
      <c r="G167" s="3">
        <v>1672.71</v>
      </c>
    </row>
    <row r="168" spans="1:7">
      <c r="A168" t="s">
        <v>182</v>
      </c>
      <c r="B168" s="2">
        <v>46094</v>
      </c>
      <c r="C168" t="s">
        <v>17</v>
      </c>
      <c r="D168">
        <v>29</v>
      </c>
      <c r="E168" t="s">
        <v>20</v>
      </c>
      <c r="F168" t="s">
        <v>13</v>
      </c>
      <c r="G168" s="3">
        <v>794.1</v>
      </c>
    </row>
    <row r="169" spans="1:7">
      <c r="A169" t="s">
        <v>183</v>
      </c>
      <c r="B169" s="2">
        <v>45868</v>
      </c>
      <c r="C169" t="s">
        <v>17</v>
      </c>
      <c r="D169">
        <v>59</v>
      </c>
      <c r="E169" t="s">
        <v>15</v>
      </c>
      <c r="F169" t="s">
        <v>13</v>
      </c>
      <c r="G169" s="3">
        <v>856.56</v>
      </c>
    </row>
    <row r="170" spans="1:7">
      <c r="A170" t="s">
        <v>184</v>
      </c>
      <c r="B170" s="2">
        <v>45731</v>
      </c>
      <c r="C170" t="s">
        <v>17</v>
      </c>
      <c r="D170">
        <v>66</v>
      </c>
      <c r="E170" t="s">
        <v>15</v>
      </c>
      <c r="F170" t="s">
        <v>21</v>
      </c>
      <c r="G170" s="3">
        <v>457.6</v>
      </c>
    </row>
    <row r="171" spans="1:7">
      <c r="A171" t="s">
        <v>185</v>
      </c>
      <c r="B171" s="2">
        <v>46017</v>
      </c>
      <c r="C171" t="s">
        <v>8</v>
      </c>
      <c r="D171">
        <v>60</v>
      </c>
      <c r="E171" t="s">
        <v>9</v>
      </c>
      <c r="F171" t="s">
        <v>18</v>
      </c>
      <c r="G171" s="3">
        <v>175.19</v>
      </c>
    </row>
    <row r="172" spans="1:7">
      <c r="A172" t="s">
        <v>186</v>
      </c>
      <c r="B172" s="2">
        <v>45753</v>
      </c>
      <c r="C172" t="s">
        <v>17</v>
      </c>
      <c r="D172">
        <v>48</v>
      </c>
      <c r="E172" t="s">
        <v>74</v>
      </c>
      <c r="F172" t="s">
        <v>23</v>
      </c>
      <c r="G172" s="3">
        <v>746.26</v>
      </c>
    </row>
    <row r="173" spans="1:7">
      <c r="A173" t="s">
        <v>187</v>
      </c>
      <c r="B173" s="2">
        <v>45850</v>
      </c>
      <c r="C173" t="s">
        <v>17</v>
      </c>
      <c r="D173">
        <v>55</v>
      </c>
      <c r="E173" t="s">
        <v>9</v>
      </c>
      <c r="F173" t="s">
        <v>30</v>
      </c>
      <c r="G173" s="3">
        <v>1137.1600000000001</v>
      </c>
    </row>
    <row r="174" spans="1:7">
      <c r="A174" t="s">
        <v>188</v>
      </c>
      <c r="B174" s="2">
        <v>45871</v>
      </c>
      <c r="C174" t="s">
        <v>8</v>
      </c>
      <c r="D174">
        <v>30</v>
      </c>
      <c r="E174" t="s">
        <v>9</v>
      </c>
      <c r="F174" t="s">
        <v>18</v>
      </c>
      <c r="G174" s="3">
        <v>167.65</v>
      </c>
    </row>
    <row r="175" spans="1:7">
      <c r="A175" t="s">
        <v>189</v>
      </c>
      <c r="B175" s="2">
        <v>46189</v>
      </c>
      <c r="C175" t="s">
        <v>8</v>
      </c>
      <c r="D175">
        <v>31</v>
      </c>
      <c r="E175" t="s">
        <v>9</v>
      </c>
      <c r="F175" t="s">
        <v>13</v>
      </c>
      <c r="G175" s="3">
        <v>638.6</v>
      </c>
    </row>
    <row r="176" spans="1:7">
      <c r="A176" t="s">
        <v>190</v>
      </c>
      <c r="B176" s="2">
        <v>45696</v>
      </c>
      <c r="C176" t="s">
        <v>17</v>
      </c>
      <c r="D176">
        <v>62</v>
      </c>
      <c r="E176" t="s">
        <v>15</v>
      </c>
      <c r="F176" t="s">
        <v>18</v>
      </c>
      <c r="G176" s="3">
        <v>210.96</v>
      </c>
    </row>
    <row r="177" spans="1:7">
      <c r="A177" t="s">
        <v>191</v>
      </c>
      <c r="B177" s="2">
        <v>45857</v>
      </c>
      <c r="C177" t="s">
        <v>192</v>
      </c>
      <c r="D177">
        <v>28</v>
      </c>
      <c r="E177" t="s">
        <v>12</v>
      </c>
      <c r="F177" t="s">
        <v>18</v>
      </c>
      <c r="G177" s="3">
        <v>152.91999999999999</v>
      </c>
    </row>
    <row r="178" spans="1:7">
      <c r="A178" t="s">
        <v>193</v>
      </c>
      <c r="B178" s="2">
        <v>45896</v>
      </c>
      <c r="C178" t="s">
        <v>8</v>
      </c>
      <c r="D178">
        <v>26</v>
      </c>
      <c r="E178" t="s">
        <v>20</v>
      </c>
      <c r="F178" t="s">
        <v>44</v>
      </c>
      <c r="G178" s="3">
        <v>1481.76</v>
      </c>
    </row>
    <row r="179" spans="1:7">
      <c r="A179" t="s">
        <v>194</v>
      </c>
      <c r="B179" s="2"/>
      <c r="C179" t="s">
        <v>17</v>
      </c>
      <c r="D179">
        <v>33</v>
      </c>
      <c r="E179" t="s">
        <v>9</v>
      </c>
      <c r="F179" t="s">
        <v>195</v>
      </c>
      <c r="G179" s="3">
        <v>964.35</v>
      </c>
    </row>
    <row r="180" spans="1:7">
      <c r="A180" t="s">
        <v>196</v>
      </c>
      <c r="B180" s="2">
        <v>46166</v>
      </c>
      <c r="C180" t="s">
        <v>8</v>
      </c>
      <c r="D180">
        <v>69</v>
      </c>
      <c r="E180" t="s">
        <v>9</v>
      </c>
      <c r="F180" t="s">
        <v>10</v>
      </c>
      <c r="G180" s="3">
        <v>1244.97</v>
      </c>
    </row>
    <row r="181" spans="1:7">
      <c r="A181" t="s">
        <v>197</v>
      </c>
      <c r="B181" s="2">
        <v>46146</v>
      </c>
      <c r="C181" t="s">
        <v>17</v>
      </c>
      <c r="D181">
        <v>18</v>
      </c>
      <c r="E181" t="s">
        <v>9</v>
      </c>
      <c r="F181" t="s">
        <v>30</v>
      </c>
      <c r="G181" s="3">
        <v>721.99</v>
      </c>
    </row>
    <row r="182" spans="1:7">
      <c r="A182" t="s">
        <v>198</v>
      </c>
      <c r="B182" s="2">
        <v>45932</v>
      </c>
      <c r="C182" t="s">
        <v>17</v>
      </c>
      <c r="D182">
        <v>33</v>
      </c>
      <c r="E182" t="s">
        <v>74</v>
      </c>
      <c r="F182" t="s">
        <v>10</v>
      </c>
      <c r="G182" s="3">
        <v>1332.38</v>
      </c>
    </row>
    <row r="183" spans="1:7">
      <c r="A183" t="s">
        <v>199</v>
      </c>
      <c r="B183" s="2">
        <v>45930</v>
      </c>
      <c r="C183" t="s">
        <v>17</v>
      </c>
      <c r="D183">
        <v>66</v>
      </c>
      <c r="E183" t="s">
        <v>9</v>
      </c>
      <c r="F183" t="s">
        <v>30</v>
      </c>
      <c r="G183" s="3">
        <v>969.34</v>
      </c>
    </row>
    <row r="184" spans="1:7">
      <c r="A184" t="s">
        <v>200</v>
      </c>
      <c r="B184" s="2">
        <v>45804</v>
      </c>
      <c r="C184" t="s">
        <v>17</v>
      </c>
      <c r="D184">
        <v>65</v>
      </c>
      <c r="E184" t="s">
        <v>9</v>
      </c>
      <c r="F184" t="s">
        <v>44</v>
      </c>
      <c r="G184" s="3">
        <v>790.75</v>
      </c>
    </row>
    <row r="185" spans="1:7">
      <c r="A185" t="s">
        <v>201</v>
      </c>
      <c r="B185" s="2">
        <v>45899</v>
      </c>
      <c r="C185" t="s">
        <v>8</v>
      </c>
      <c r="D185">
        <v>67</v>
      </c>
      <c r="E185" t="s">
        <v>39</v>
      </c>
      <c r="F185" t="s">
        <v>13</v>
      </c>
      <c r="G185" s="3">
        <v>828.77</v>
      </c>
    </row>
    <row r="186" spans="1:7">
      <c r="A186" t="s">
        <v>202</v>
      </c>
      <c r="B186" s="2">
        <v>45720</v>
      </c>
      <c r="C186" t="s">
        <v>17</v>
      </c>
      <c r="D186">
        <v>37</v>
      </c>
      <c r="E186" t="s">
        <v>9</v>
      </c>
      <c r="F186" t="s">
        <v>30</v>
      </c>
      <c r="G186" s="3">
        <v>1800.86</v>
      </c>
    </row>
    <row r="187" spans="1:7">
      <c r="B187" s="2">
        <v>45945</v>
      </c>
      <c r="C187" t="s">
        <v>17</v>
      </c>
      <c r="D187">
        <v>41</v>
      </c>
      <c r="E187" t="s">
        <v>20</v>
      </c>
      <c r="F187" t="s">
        <v>10</v>
      </c>
      <c r="G187" s="3">
        <v>1200.17</v>
      </c>
    </row>
    <row r="188" spans="1:7">
      <c r="A188" t="s">
        <v>203</v>
      </c>
      <c r="B188" s="2">
        <v>45780</v>
      </c>
      <c r="C188" t="s">
        <v>8</v>
      </c>
      <c r="D188">
        <v>67</v>
      </c>
      <c r="E188" t="s">
        <v>9</v>
      </c>
      <c r="F188" t="s">
        <v>23</v>
      </c>
      <c r="G188" s="3"/>
    </row>
    <row r="189" spans="1:7">
      <c r="A189" t="s">
        <v>204</v>
      </c>
      <c r="B189" s="2">
        <v>46021</v>
      </c>
      <c r="C189" t="s">
        <v>8</v>
      </c>
      <c r="E189" t="s">
        <v>74</v>
      </c>
      <c r="F189" t="s">
        <v>10</v>
      </c>
      <c r="G189" s="3">
        <v>853.76</v>
      </c>
    </row>
    <row r="190" spans="1:7">
      <c r="B190" s="2">
        <v>45728</v>
      </c>
      <c r="C190" t="s">
        <v>8</v>
      </c>
      <c r="D190">
        <v>21</v>
      </c>
      <c r="E190" t="s">
        <v>39</v>
      </c>
      <c r="F190" t="s">
        <v>10</v>
      </c>
      <c r="G190" s="3">
        <v>1144.9100000000001</v>
      </c>
    </row>
    <row r="191" spans="1:7">
      <c r="A191" t="s">
        <v>205</v>
      </c>
      <c r="B191" s="2">
        <v>45845</v>
      </c>
      <c r="C191" t="s">
        <v>17</v>
      </c>
      <c r="D191">
        <v>56</v>
      </c>
      <c r="E191" t="s">
        <v>39</v>
      </c>
      <c r="F191" t="s">
        <v>30</v>
      </c>
      <c r="G191" s="3">
        <v>660.22</v>
      </c>
    </row>
    <row r="192" spans="1:7">
      <c r="A192" t="s">
        <v>206</v>
      </c>
      <c r="B192" s="2">
        <v>45805</v>
      </c>
      <c r="C192" t="s">
        <v>8</v>
      </c>
      <c r="D192">
        <v>41</v>
      </c>
      <c r="E192" t="s">
        <v>9</v>
      </c>
      <c r="F192" t="s">
        <v>13</v>
      </c>
      <c r="G192" s="3">
        <v>868.55</v>
      </c>
    </row>
    <row r="193" spans="1:7">
      <c r="A193" t="s">
        <v>207</v>
      </c>
      <c r="B193" s="2">
        <v>45665</v>
      </c>
      <c r="C193" t="s">
        <v>17</v>
      </c>
      <c r="D193">
        <v>40</v>
      </c>
      <c r="E193" t="s">
        <v>20</v>
      </c>
      <c r="F193" t="s">
        <v>23</v>
      </c>
      <c r="G193" s="3">
        <v>789.1</v>
      </c>
    </row>
    <row r="194" spans="1:7">
      <c r="A194" t="s">
        <v>208</v>
      </c>
      <c r="B194" s="2">
        <v>46019</v>
      </c>
      <c r="C194" t="s">
        <v>17</v>
      </c>
      <c r="D194">
        <v>38</v>
      </c>
      <c r="E194" t="s">
        <v>9</v>
      </c>
      <c r="F194" t="s">
        <v>21</v>
      </c>
      <c r="G194" s="3">
        <v>748.35</v>
      </c>
    </row>
    <row r="195" spans="1:7">
      <c r="A195" t="s">
        <v>209</v>
      </c>
      <c r="B195" s="2">
        <v>45998</v>
      </c>
      <c r="C195" t="s">
        <v>17</v>
      </c>
      <c r="D195">
        <v>37</v>
      </c>
      <c r="E195" t="s">
        <v>74</v>
      </c>
      <c r="F195" t="s">
        <v>13</v>
      </c>
      <c r="G195" s="3">
        <v>853.86</v>
      </c>
    </row>
    <row r="196" spans="1:7">
      <c r="A196" t="s">
        <v>210</v>
      </c>
      <c r="B196" s="2">
        <v>46073</v>
      </c>
      <c r="C196" t="s">
        <v>8</v>
      </c>
      <c r="D196">
        <v>30</v>
      </c>
      <c r="E196" t="s">
        <v>20</v>
      </c>
      <c r="F196" t="s">
        <v>10</v>
      </c>
      <c r="G196" s="3">
        <v>1315.27</v>
      </c>
    </row>
    <row r="197" spans="1:7">
      <c r="A197" t="s">
        <v>211</v>
      </c>
      <c r="B197" s="2">
        <v>46014</v>
      </c>
      <c r="C197" t="s">
        <v>8</v>
      </c>
      <c r="D197">
        <v>55</v>
      </c>
      <c r="E197" t="s">
        <v>15</v>
      </c>
      <c r="F197" t="s">
        <v>10</v>
      </c>
      <c r="G197" s="3">
        <v>775.19</v>
      </c>
    </row>
    <row r="198" spans="1:7">
      <c r="A198" t="s">
        <v>212</v>
      </c>
      <c r="B198" s="2">
        <v>45734</v>
      </c>
      <c r="C198" t="s">
        <v>8</v>
      </c>
      <c r="D198">
        <v>32</v>
      </c>
      <c r="E198" t="s">
        <v>12</v>
      </c>
      <c r="F198" t="s">
        <v>23</v>
      </c>
      <c r="G198" s="3">
        <v>707.01</v>
      </c>
    </row>
    <row r="199" spans="1:7">
      <c r="A199" t="s">
        <v>213</v>
      </c>
      <c r="B199" s="2">
        <v>46183</v>
      </c>
      <c r="C199" t="s">
        <v>8</v>
      </c>
      <c r="D199">
        <v>65</v>
      </c>
      <c r="E199" t="s">
        <v>9</v>
      </c>
      <c r="F199" t="s">
        <v>10</v>
      </c>
      <c r="G199" s="3">
        <v>742.69</v>
      </c>
    </row>
    <row r="200" spans="1:7">
      <c r="A200" t="s">
        <v>214</v>
      </c>
      <c r="B200" s="2">
        <v>46014</v>
      </c>
      <c r="C200" t="s">
        <v>17</v>
      </c>
      <c r="D200">
        <v>60</v>
      </c>
      <c r="E200" t="s">
        <v>12</v>
      </c>
      <c r="F200" t="s">
        <v>44</v>
      </c>
      <c r="G200" s="3">
        <v>599.34</v>
      </c>
    </row>
    <row r="201" spans="1:7">
      <c r="A201" t="s">
        <v>215</v>
      </c>
      <c r="B201" s="2">
        <v>45984</v>
      </c>
      <c r="C201" t="s">
        <v>17</v>
      </c>
      <c r="D201">
        <v>39</v>
      </c>
      <c r="E201" t="s">
        <v>39</v>
      </c>
      <c r="F201" t="s">
        <v>44</v>
      </c>
      <c r="G201" s="3">
        <v>797.52</v>
      </c>
    </row>
    <row r="202" spans="1:7">
      <c r="A202" t="s">
        <v>216</v>
      </c>
      <c r="B202" s="2">
        <v>45667</v>
      </c>
      <c r="C202" t="s">
        <v>17</v>
      </c>
      <c r="D202">
        <v>51</v>
      </c>
      <c r="E202" t="s">
        <v>9</v>
      </c>
      <c r="F202" t="s">
        <v>30</v>
      </c>
      <c r="G202" s="3">
        <v>1547.72</v>
      </c>
    </row>
    <row r="203" spans="1:7">
      <c r="A203" t="s">
        <v>217</v>
      </c>
      <c r="B203" s="2">
        <v>45694</v>
      </c>
      <c r="C203" t="s">
        <v>17</v>
      </c>
      <c r="D203">
        <v>20</v>
      </c>
      <c r="E203" t="s">
        <v>9</v>
      </c>
      <c r="F203" t="s">
        <v>23</v>
      </c>
      <c r="G203" s="3"/>
    </row>
    <row r="204" spans="1:7">
      <c r="A204" t="s">
        <v>218</v>
      </c>
      <c r="B204" s="2">
        <v>45848</v>
      </c>
      <c r="C204" t="s">
        <v>8</v>
      </c>
      <c r="D204">
        <v>18</v>
      </c>
      <c r="E204" t="s">
        <v>20</v>
      </c>
      <c r="F204" t="s">
        <v>18</v>
      </c>
      <c r="G204" s="3">
        <v>108.23</v>
      </c>
    </row>
    <row r="205" spans="1:7">
      <c r="A205" t="s">
        <v>219</v>
      </c>
      <c r="B205" s="2">
        <v>45833</v>
      </c>
      <c r="C205" t="s">
        <v>8</v>
      </c>
      <c r="D205">
        <v>28</v>
      </c>
      <c r="E205" t="s">
        <v>74</v>
      </c>
      <c r="F205" t="s">
        <v>13</v>
      </c>
      <c r="G205" s="3">
        <v>919.61</v>
      </c>
    </row>
    <row r="206" spans="1:7">
      <c r="A206" t="s">
        <v>220</v>
      </c>
      <c r="B206" s="2">
        <v>45765</v>
      </c>
      <c r="C206" t="s">
        <v>8</v>
      </c>
      <c r="D206" t="s">
        <v>54</v>
      </c>
      <c r="E206" t="s">
        <v>20</v>
      </c>
      <c r="F206" t="s">
        <v>21</v>
      </c>
      <c r="G206" s="3" t="s">
        <v>150</v>
      </c>
    </row>
    <row r="207" spans="1:7">
      <c r="A207" t="s">
        <v>221</v>
      </c>
      <c r="B207" s="2">
        <v>45932</v>
      </c>
      <c r="C207" t="s">
        <v>8</v>
      </c>
      <c r="D207">
        <v>54</v>
      </c>
      <c r="E207" t="s">
        <v>39</v>
      </c>
      <c r="F207" t="s">
        <v>23</v>
      </c>
      <c r="G207" s="3">
        <v>1108.6199999999999</v>
      </c>
    </row>
    <row r="208" spans="1:7">
      <c r="A208" t="s">
        <v>222</v>
      </c>
      <c r="B208" s="2">
        <v>46060</v>
      </c>
      <c r="D208">
        <v>33</v>
      </c>
      <c r="E208" t="s">
        <v>9</v>
      </c>
      <c r="F208" t="s">
        <v>23</v>
      </c>
      <c r="G208" s="3">
        <v>930.02</v>
      </c>
    </row>
    <row r="209" spans="1:7">
      <c r="A209" t="s">
        <v>223</v>
      </c>
      <c r="B209" s="2"/>
      <c r="C209" t="s">
        <v>17</v>
      </c>
      <c r="D209">
        <v>55</v>
      </c>
      <c r="E209" t="s">
        <v>39</v>
      </c>
      <c r="F209" t="s">
        <v>44</v>
      </c>
      <c r="G209" s="3">
        <v>1603.75</v>
      </c>
    </row>
    <row r="210" spans="1:7">
      <c r="A210" t="s">
        <v>224</v>
      </c>
      <c r="B210" s="2">
        <v>46014</v>
      </c>
      <c r="C210" t="s">
        <v>8</v>
      </c>
      <c r="D210">
        <v>46</v>
      </c>
      <c r="F210" t="s">
        <v>30</v>
      </c>
      <c r="G210" s="3">
        <v>1509.47</v>
      </c>
    </row>
    <row r="211" spans="1:7">
      <c r="A211" t="s">
        <v>225</v>
      </c>
      <c r="B211" s="2">
        <v>45821</v>
      </c>
      <c r="C211" t="s">
        <v>226</v>
      </c>
      <c r="D211">
        <v>48</v>
      </c>
      <c r="E211" t="s">
        <v>9</v>
      </c>
      <c r="F211" t="s">
        <v>13</v>
      </c>
      <c r="G211" s="3">
        <v>921.62</v>
      </c>
    </row>
    <row r="212" spans="1:7">
      <c r="A212" t="s">
        <v>227</v>
      </c>
      <c r="B212" s="2"/>
      <c r="C212" t="s">
        <v>8</v>
      </c>
      <c r="D212">
        <v>57</v>
      </c>
      <c r="E212" t="s">
        <v>9</v>
      </c>
      <c r="F212" t="s">
        <v>10</v>
      </c>
      <c r="G212" s="3">
        <v>502.04</v>
      </c>
    </row>
    <row r="213" spans="1:7">
      <c r="A213" t="s">
        <v>228</v>
      </c>
      <c r="B213" s="2">
        <v>45749</v>
      </c>
      <c r="C213" t="s">
        <v>8</v>
      </c>
      <c r="D213">
        <v>42</v>
      </c>
      <c r="E213" t="s">
        <v>9</v>
      </c>
      <c r="F213" t="s">
        <v>30</v>
      </c>
      <c r="G213" s="3">
        <v>1091.0999999999999</v>
      </c>
    </row>
    <row r="214" spans="1:7">
      <c r="A214" t="s">
        <v>229</v>
      </c>
      <c r="B214" s="2">
        <v>45925</v>
      </c>
      <c r="C214" t="s">
        <v>17</v>
      </c>
      <c r="D214">
        <v>58</v>
      </c>
      <c r="E214" t="s">
        <v>9</v>
      </c>
      <c r="F214" t="s">
        <v>30</v>
      </c>
      <c r="G214" s="3">
        <v>1013.28</v>
      </c>
    </row>
    <row r="215" spans="1:7">
      <c r="A215" t="s">
        <v>230</v>
      </c>
      <c r="B215" s="2">
        <v>45960</v>
      </c>
      <c r="C215" t="s">
        <v>17</v>
      </c>
      <c r="D215">
        <v>30</v>
      </c>
      <c r="E215" t="s">
        <v>15</v>
      </c>
      <c r="F215" t="s">
        <v>21</v>
      </c>
      <c r="G215" s="3">
        <v>728.45</v>
      </c>
    </row>
    <row r="216" spans="1:7">
      <c r="A216" t="s">
        <v>231</v>
      </c>
      <c r="B216" s="2">
        <v>45830</v>
      </c>
      <c r="C216" t="s">
        <v>17</v>
      </c>
      <c r="D216">
        <v>67</v>
      </c>
      <c r="E216" t="s">
        <v>9</v>
      </c>
      <c r="F216" t="s">
        <v>44</v>
      </c>
      <c r="G216" s="3"/>
    </row>
    <row r="217" spans="1:7">
      <c r="A217" t="s">
        <v>232</v>
      </c>
      <c r="B217" s="2">
        <v>45832</v>
      </c>
      <c r="C217" t="s">
        <v>17</v>
      </c>
      <c r="D217">
        <v>39</v>
      </c>
      <c r="E217" t="s">
        <v>39</v>
      </c>
      <c r="G217" s="3">
        <v>838.84</v>
      </c>
    </row>
    <row r="218" spans="1:7">
      <c r="A218" t="s">
        <v>233</v>
      </c>
      <c r="B218" s="2">
        <v>45919</v>
      </c>
      <c r="C218" t="s">
        <v>17</v>
      </c>
      <c r="D218">
        <v>19</v>
      </c>
      <c r="E218" t="s">
        <v>15</v>
      </c>
      <c r="F218" t="s">
        <v>23</v>
      </c>
      <c r="G218" s="3">
        <v>916.62</v>
      </c>
    </row>
    <row r="219" spans="1:7">
      <c r="A219" t="s">
        <v>234</v>
      </c>
      <c r="B219" s="2">
        <v>45682</v>
      </c>
      <c r="C219" t="s">
        <v>17</v>
      </c>
      <c r="D219">
        <v>63</v>
      </c>
      <c r="E219" t="s">
        <v>9</v>
      </c>
      <c r="F219" t="s">
        <v>10</v>
      </c>
      <c r="G219" s="3">
        <v>954.9</v>
      </c>
    </row>
    <row r="220" spans="1:7">
      <c r="A220" t="s">
        <v>235</v>
      </c>
      <c r="B220" s="2">
        <v>45792</v>
      </c>
      <c r="C220" t="s">
        <v>8</v>
      </c>
      <c r="D220">
        <v>33</v>
      </c>
      <c r="E220" t="s">
        <v>9</v>
      </c>
      <c r="G220" s="3">
        <v>519</v>
      </c>
    </row>
    <row r="221" spans="1:7">
      <c r="A221" t="s">
        <v>236</v>
      </c>
      <c r="B221" s="2">
        <v>45900</v>
      </c>
      <c r="C221" t="s">
        <v>17</v>
      </c>
      <c r="D221">
        <v>22</v>
      </c>
      <c r="E221" t="s">
        <v>15</v>
      </c>
      <c r="G221" s="3">
        <v>721.11</v>
      </c>
    </row>
    <row r="222" spans="1:7">
      <c r="A222" t="s">
        <v>237</v>
      </c>
      <c r="B222" s="2">
        <v>45875</v>
      </c>
      <c r="C222" t="s">
        <v>8</v>
      </c>
      <c r="D222">
        <v>48</v>
      </c>
      <c r="E222" t="s">
        <v>15</v>
      </c>
      <c r="F222" t="s">
        <v>195</v>
      </c>
      <c r="G222" s="3"/>
    </row>
    <row r="223" spans="1:7">
      <c r="A223" t="s">
        <v>238</v>
      </c>
      <c r="B223" s="2">
        <v>46190</v>
      </c>
      <c r="C223" t="s">
        <v>8</v>
      </c>
      <c r="D223">
        <v>32</v>
      </c>
      <c r="E223" t="s">
        <v>74</v>
      </c>
      <c r="F223" t="s">
        <v>30</v>
      </c>
      <c r="G223" s="3">
        <v>2091.58</v>
      </c>
    </row>
    <row r="224" spans="1:7">
      <c r="A224" t="s">
        <v>239</v>
      </c>
      <c r="B224" s="2">
        <v>46225</v>
      </c>
      <c r="C224" t="s">
        <v>8</v>
      </c>
      <c r="D224">
        <v>53</v>
      </c>
      <c r="E224" t="s">
        <v>15</v>
      </c>
      <c r="F224" t="s">
        <v>30</v>
      </c>
      <c r="G224" s="3">
        <v>901.36</v>
      </c>
    </row>
    <row r="225" spans="1:7">
      <c r="A225" t="s">
        <v>240</v>
      </c>
      <c r="B225" s="2">
        <v>45893</v>
      </c>
      <c r="C225" t="s">
        <v>8</v>
      </c>
      <c r="D225">
        <v>39</v>
      </c>
      <c r="E225" t="s">
        <v>15</v>
      </c>
      <c r="F225" t="s">
        <v>44</v>
      </c>
      <c r="G225" s="3">
        <v>1386</v>
      </c>
    </row>
    <row r="226" spans="1:7">
      <c r="A226" t="s">
        <v>241</v>
      </c>
      <c r="B226" s="2">
        <v>45884</v>
      </c>
      <c r="C226" t="s">
        <v>8</v>
      </c>
      <c r="D226">
        <v>59</v>
      </c>
      <c r="E226" t="s">
        <v>15</v>
      </c>
      <c r="F226" t="s">
        <v>13</v>
      </c>
      <c r="G226" s="3">
        <v>508.66</v>
      </c>
    </row>
    <row r="227" spans="1:7">
      <c r="A227" t="s">
        <v>242</v>
      </c>
      <c r="B227" s="2">
        <v>46090</v>
      </c>
      <c r="C227" t="s">
        <v>17</v>
      </c>
      <c r="D227">
        <v>43</v>
      </c>
      <c r="E227" t="s">
        <v>9</v>
      </c>
      <c r="F227" t="s">
        <v>13</v>
      </c>
      <c r="G227" s="3">
        <v>778.23</v>
      </c>
    </row>
    <row r="228" spans="1:7">
      <c r="B228" s="2">
        <v>46211</v>
      </c>
      <c r="C228" t="s">
        <v>17</v>
      </c>
      <c r="D228">
        <v>61</v>
      </c>
      <c r="E228" t="s">
        <v>15</v>
      </c>
      <c r="F228" t="s">
        <v>18</v>
      </c>
      <c r="G228" s="3">
        <v>176.82</v>
      </c>
    </row>
    <row r="229" spans="1:7">
      <c r="A229" t="s">
        <v>243</v>
      </c>
      <c r="B229" s="2">
        <v>45895</v>
      </c>
      <c r="C229" t="s">
        <v>17</v>
      </c>
      <c r="D229">
        <v>61</v>
      </c>
      <c r="E229" t="s">
        <v>9</v>
      </c>
      <c r="F229" t="s">
        <v>13</v>
      </c>
      <c r="G229" s="3"/>
    </row>
    <row r="230" spans="1:7">
      <c r="A230" t="s">
        <v>244</v>
      </c>
      <c r="B230" s="2">
        <v>45874</v>
      </c>
      <c r="C230" t="s">
        <v>8</v>
      </c>
      <c r="D230">
        <v>52</v>
      </c>
      <c r="E230" t="s">
        <v>12</v>
      </c>
      <c r="G230" s="3">
        <v>481.21</v>
      </c>
    </row>
    <row r="231" spans="1:7">
      <c r="A231" t="s">
        <v>245</v>
      </c>
      <c r="B231" s="2">
        <v>45771</v>
      </c>
      <c r="C231" t="s">
        <v>8</v>
      </c>
      <c r="D231">
        <v>47</v>
      </c>
      <c r="E231" t="s">
        <v>39</v>
      </c>
      <c r="F231" t="s">
        <v>18</v>
      </c>
      <c r="G231" s="3">
        <v>129.81</v>
      </c>
    </row>
    <row r="232" spans="1:7">
      <c r="A232" t="s">
        <v>246</v>
      </c>
      <c r="B232" s="2">
        <v>45778</v>
      </c>
      <c r="C232" t="s">
        <v>8</v>
      </c>
      <c r="D232">
        <v>55</v>
      </c>
      <c r="F232" t="s">
        <v>44</v>
      </c>
      <c r="G232" s="3">
        <v>1436.28</v>
      </c>
    </row>
    <row r="233" spans="1:7">
      <c r="B233" s="2">
        <v>45773</v>
      </c>
      <c r="C233" t="s">
        <v>8</v>
      </c>
      <c r="D233">
        <v>38</v>
      </c>
      <c r="E233" t="s">
        <v>9</v>
      </c>
      <c r="F233" t="s">
        <v>13</v>
      </c>
      <c r="G233" s="3">
        <v>920.19</v>
      </c>
    </row>
    <row r="234" spans="1:7">
      <c r="A234" t="s">
        <v>247</v>
      </c>
      <c r="B234" s="2">
        <v>46116</v>
      </c>
      <c r="C234" t="s">
        <v>17</v>
      </c>
      <c r="D234">
        <v>40</v>
      </c>
      <c r="F234" t="s">
        <v>21</v>
      </c>
      <c r="G234" s="3">
        <v>727.06</v>
      </c>
    </row>
    <row r="235" spans="1:7">
      <c r="A235" t="s">
        <v>248</v>
      </c>
      <c r="B235" s="2">
        <v>46037</v>
      </c>
      <c r="C235" t="s">
        <v>8</v>
      </c>
      <c r="D235">
        <v>63</v>
      </c>
      <c r="E235" t="s">
        <v>74</v>
      </c>
      <c r="F235" t="s">
        <v>249</v>
      </c>
      <c r="G235" s="3">
        <v>306.45999999999998</v>
      </c>
    </row>
    <row r="236" spans="1:7">
      <c r="A236" t="s">
        <v>250</v>
      </c>
      <c r="B236" s="2">
        <v>45876</v>
      </c>
      <c r="C236" t="s">
        <v>8</v>
      </c>
      <c r="D236">
        <v>50</v>
      </c>
      <c r="E236" t="s">
        <v>39</v>
      </c>
      <c r="F236" t="s">
        <v>13</v>
      </c>
      <c r="G236" s="3">
        <v>818.19</v>
      </c>
    </row>
    <row r="237" spans="1:7">
      <c r="A237" t="s">
        <v>251</v>
      </c>
      <c r="B237" s="2">
        <v>46157</v>
      </c>
      <c r="C237" t="s">
        <v>8</v>
      </c>
      <c r="D237">
        <v>42</v>
      </c>
      <c r="E237" t="s">
        <v>20</v>
      </c>
      <c r="F237" t="s">
        <v>30</v>
      </c>
      <c r="G237" s="3"/>
    </row>
    <row r="238" spans="1:7">
      <c r="A238" t="s">
        <v>252</v>
      </c>
      <c r="B238" s="2">
        <v>46169</v>
      </c>
      <c r="C238" t="s">
        <v>17</v>
      </c>
      <c r="D238">
        <v>36</v>
      </c>
      <c r="E238" t="s">
        <v>15</v>
      </c>
      <c r="G238" s="3">
        <v>216.82</v>
      </c>
    </row>
    <row r="239" spans="1:7">
      <c r="B239" s="2" t="s">
        <v>41</v>
      </c>
      <c r="C239" t="s">
        <v>8</v>
      </c>
      <c r="D239">
        <v>63</v>
      </c>
      <c r="E239" t="s">
        <v>15</v>
      </c>
      <c r="F239" t="s">
        <v>18</v>
      </c>
      <c r="G239" s="3">
        <v>268.75</v>
      </c>
    </row>
    <row r="240" spans="1:7">
      <c r="A240" t="s">
        <v>253</v>
      </c>
      <c r="B240" s="2">
        <v>45776</v>
      </c>
      <c r="C240" t="s">
        <v>17</v>
      </c>
      <c r="D240">
        <v>43</v>
      </c>
      <c r="E240" t="s">
        <v>39</v>
      </c>
      <c r="F240" t="s">
        <v>44</v>
      </c>
      <c r="G240" s="3">
        <v>781.63</v>
      </c>
    </row>
    <row r="241" spans="1:7">
      <c r="A241" t="s">
        <v>254</v>
      </c>
      <c r="B241" s="2">
        <v>45758</v>
      </c>
      <c r="D241">
        <v>40</v>
      </c>
      <c r="E241" t="s">
        <v>39</v>
      </c>
      <c r="F241" t="s">
        <v>23</v>
      </c>
      <c r="G241" s="3">
        <v>641.59</v>
      </c>
    </row>
    <row r="242" spans="1:7">
      <c r="A242" t="s">
        <v>255</v>
      </c>
      <c r="B242" s="2">
        <v>45670</v>
      </c>
      <c r="C242" t="s">
        <v>8</v>
      </c>
      <c r="D242">
        <v>19</v>
      </c>
      <c r="E242" t="s">
        <v>39</v>
      </c>
      <c r="F242" t="s">
        <v>256</v>
      </c>
      <c r="G242" s="3">
        <v>278.61</v>
      </c>
    </row>
    <row r="243" spans="1:7">
      <c r="A243" t="s">
        <v>257</v>
      </c>
      <c r="B243" s="2">
        <v>45744</v>
      </c>
      <c r="C243" t="s">
        <v>8</v>
      </c>
      <c r="D243">
        <v>20</v>
      </c>
      <c r="E243" t="s">
        <v>15</v>
      </c>
      <c r="F243" t="s">
        <v>23</v>
      </c>
      <c r="G243" s="3">
        <v>389.22</v>
      </c>
    </row>
    <row r="244" spans="1:7">
      <c r="A244" t="s">
        <v>258</v>
      </c>
      <c r="B244" s="2">
        <v>46226</v>
      </c>
      <c r="C244" t="s">
        <v>8</v>
      </c>
      <c r="D244">
        <v>19</v>
      </c>
      <c r="E244" t="s">
        <v>9</v>
      </c>
      <c r="F244" t="s">
        <v>44</v>
      </c>
      <c r="G244" s="3">
        <v>1315.74</v>
      </c>
    </row>
    <row r="245" spans="1:7">
      <c r="A245" t="s">
        <v>259</v>
      </c>
      <c r="B245" s="2">
        <v>46127</v>
      </c>
      <c r="C245" t="s">
        <v>8</v>
      </c>
      <c r="D245">
        <v>70</v>
      </c>
      <c r="E245" t="s">
        <v>39</v>
      </c>
      <c r="F245" t="s">
        <v>30</v>
      </c>
      <c r="G245" s="3">
        <v>891.18</v>
      </c>
    </row>
    <row r="246" spans="1:7">
      <c r="A246" t="s">
        <v>260</v>
      </c>
      <c r="B246" s="2"/>
      <c r="C246" t="s">
        <v>8</v>
      </c>
      <c r="D246">
        <v>24</v>
      </c>
      <c r="E246" t="s">
        <v>20</v>
      </c>
      <c r="F246" t="s">
        <v>44</v>
      </c>
      <c r="G246" s="3">
        <v>608.08000000000004</v>
      </c>
    </row>
    <row r="247" spans="1:7">
      <c r="A247" t="s">
        <v>261</v>
      </c>
      <c r="B247" s="2">
        <v>45664</v>
      </c>
      <c r="C247" t="s">
        <v>8</v>
      </c>
      <c r="D247">
        <v>30</v>
      </c>
      <c r="E247" t="s">
        <v>12</v>
      </c>
      <c r="F247" t="s">
        <v>44</v>
      </c>
      <c r="G247" s="3">
        <v>602</v>
      </c>
    </row>
    <row r="248" spans="1:7">
      <c r="A248" t="s">
        <v>262</v>
      </c>
      <c r="B248" s="2">
        <v>45917</v>
      </c>
      <c r="C248" t="s">
        <v>17</v>
      </c>
      <c r="D248">
        <v>32</v>
      </c>
      <c r="E248" t="s">
        <v>12</v>
      </c>
      <c r="F248" t="s">
        <v>44</v>
      </c>
      <c r="G248" s="3">
        <v>1425.97</v>
      </c>
    </row>
    <row r="249" spans="1:7">
      <c r="A249" t="s">
        <v>263</v>
      </c>
      <c r="B249" s="2">
        <v>46212</v>
      </c>
      <c r="C249" t="s">
        <v>17</v>
      </c>
      <c r="D249">
        <v>45</v>
      </c>
      <c r="E249" t="s">
        <v>20</v>
      </c>
      <c r="F249" t="s">
        <v>21</v>
      </c>
      <c r="G249" s="3">
        <v>671.87</v>
      </c>
    </row>
    <row r="250" spans="1:7">
      <c r="A250" t="s">
        <v>264</v>
      </c>
      <c r="B250" s="2">
        <v>45833</v>
      </c>
      <c r="D250">
        <v>43</v>
      </c>
      <c r="E250" t="s">
        <v>9</v>
      </c>
      <c r="F250" t="s">
        <v>23</v>
      </c>
      <c r="G250" s="3">
        <v>885.26</v>
      </c>
    </row>
    <row r="251" spans="1:7">
      <c r="A251" t="s">
        <v>265</v>
      </c>
      <c r="B251" s="2">
        <v>45963</v>
      </c>
      <c r="C251" t="s">
        <v>17</v>
      </c>
      <c r="D251">
        <v>40</v>
      </c>
      <c r="E251" t="s">
        <v>20</v>
      </c>
      <c r="F251" t="s">
        <v>21</v>
      </c>
      <c r="G251" s="3">
        <v>463.46</v>
      </c>
    </row>
    <row r="252" spans="1:7">
      <c r="A252" t="s">
        <v>266</v>
      </c>
      <c r="B252" s="2">
        <v>45837</v>
      </c>
      <c r="C252" t="s">
        <v>8</v>
      </c>
      <c r="D252">
        <v>54</v>
      </c>
      <c r="E252" t="s">
        <v>39</v>
      </c>
      <c r="F252" t="s">
        <v>13</v>
      </c>
      <c r="G252" s="3">
        <v>464.6</v>
      </c>
    </row>
    <row r="253" spans="1:7">
      <c r="A253" t="s">
        <v>267</v>
      </c>
      <c r="B253" s="2">
        <v>45816</v>
      </c>
      <c r="D253">
        <v>38</v>
      </c>
      <c r="E253" t="s">
        <v>12</v>
      </c>
      <c r="F253" t="s">
        <v>13</v>
      </c>
      <c r="G253" s="3">
        <v>453.74</v>
      </c>
    </row>
    <row r="254" spans="1:7">
      <c r="A254" t="s">
        <v>268</v>
      </c>
      <c r="B254" s="2">
        <v>45732</v>
      </c>
      <c r="C254" t="s">
        <v>8</v>
      </c>
      <c r="D254">
        <v>21</v>
      </c>
      <c r="E254" t="s">
        <v>9</v>
      </c>
      <c r="G254" s="3">
        <v>1300.93</v>
      </c>
    </row>
    <row r="255" spans="1:7">
      <c r="A255" t="s">
        <v>269</v>
      </c>
      <c r="B255" s="2">
        <v>45892</v>
      </c>
      <c r="C255" t="s">
        <v>8</v>
      </c>
      <c r="D255">
        <v>43</v>
      </c>
      <c r="E255" t="s">
        <v>39</v>
      </c>
      <c r="F255" t="s">
        <v>10</v>
      </c>
      <c r="G255" s="3">
        <v>1126.8900000000001</v>
      </c>
    </row>
    <row r="256" spans="1:7">
      <c r="A256" t="s">
        <v>270</v>
      </c>
      <c r="B256" s="2">
        <v>46210</v>
      </c>
      <c r="C256" t="s">
        <v>8</v>
      </c>
      <c r="D256">
        <v>61</v>
      </c>
      <c r="E256" t="s">
        <v>9</v>
      </c>
      <c r="F256" t="s">
        <v>23</v>
      </c>
      <c r="G256" s="3">
        <v>1071.8599999999999</v>
      </c>
    </row>
    <row r="257" spans="1:7">
      <c r="A257" t="s">
        <v>271</v>
      </c>
      <c r="B257" s="2">
        <v>46163</v>
      </c>
      <c r="C257" t="s">
        <v>17</v>
      </c>
      <c r="D257">
        <v>29</v>
      </c>
      <c r="E257" t="s">
        <v>9</v>
      </c>
      <c r="F257" t="s">
        <v>21</v>
      </c>
      <c r="G257" s="3">
        <v>1143.8399999999999</v>
      </c>
    </row>
    <row r="258" spans="1:7">
      <c r="A258" t="s">
        <v>32</v>
      </c>
      <c r="B258" s="2">
        <v>46190</v>
      </c>
      <c r="C258" t="s">
        <v>17</v>
      </c>
      <c r="D258">
        <v>47</v>
      </c>
      <c r="E258" t="s">
        <v>12</v>
      </c>
      <c r="F258" t="s">
        <v>30</v>
      </c>
      <c r="G258" s="3">
        <v>2156</v>
      </c>
    </row>
    <row r="259" spans="1:7">
      <c r="A259" t="s">
        <v>272</v>
      </c>
      <c r="B259" s="2">
        <v>46057</v>
      </c>
      <c r="C259" t="s">
        <v>8</v>
      </c>
      <c r="D259">
        <v>47</v>
      </c>
      <c r="E259" t="s">
        <v>9</v>
      </c>
      <c r="F259" t="s">
        <v>44</v>
      </c>
      <c r="G259" s="3"/>
    </row>
    <row r="260" spans="1:7">
      <c r="A260" t="s">
        <v>273</v>
      </c>
      <c r="B260" s="2">
        <v>45752</v>
      </c>
      <c r="C260" t="s">
        <v>17</v>
      </c>
      <c r="D260">
        <v>39</v>
      </c>
      <c r="E260" t="s">
        <v>74</v>
      </c>
      <c r="F260" t="s">
        <v>23</v>
      </c>
      <c r="G260" s="3">
        <v>396.11</v>
      </c>
    </row>
    <row r="261" spans="1:7">
      <c r="A261" t="s">
        <v>274</v>
      </c>
      <c r="B261" s="2">
        <v>46008</v>
      </c>
      <c r="D261">
        <v>64</v>
      </c>
      <c r="E261" t="s">
        <v>20</v>
      </c>
      <c r="F261" t="s">
        <v>21</v>
      </c>
      <c r="G261" s="3">
        <v>638.53</v>
      </c>
    </row>
    <row r="262" spans="1:7">
      <c r="A262" t="s">
        <v>275</v>
      </c>
      <c r="B262" s="2">
        <v>45721</v>
      </c>
      <c r="D262">
        <v>29</v>
      </c>
      <c r="E262" t="s">
        <v>9</v>
      </c>
      <c r="F262" t="s">
        <v>44</v>
      </c>
      <c r="G262" s="3">
        <v>1516.2</v>
      </c>
    </row>
    <row r="263" spans="1:7">
      <c r="A263" t="s">
        <v>276</v>
      </c>
      <c r="B263" s="2" t="s">
        <v>114</v>
      </c>
      <c r="C263" t="s">
        <v>17</v>
      </c>
      <c r="D263">
        <v>28</v>
      </c>
      <c r="E263" t="s">
        <v>12</v>
      </c>
      <c r="F263" t="s">
        <v>23</v>
      </c>
      <c r="G263" s="3">
        <v>647.6</v>
      </c>
    </row>
    <row r="264" spans="1:7">
      <c r="A264" t="s">
        <v>48</v>
      </c>
      <c r="B264" s="2">
        <v>45925</v>
      </c>
      <c r="C264" t="s">
        <v>17</v>
      </c>
      <c r="D264">
        <v>66</v>
      </c>
      <c r="E264" t="s">
        <v>9</v>
      </c>
      <c r="F264" t="s">
        <v>23</v>
      </c>
      <c r="G264" s="3">
        <v>656.1</v>
      </c>
    </row>
    <row r="265" spans="1:7">
      <c r="A265" t="s">
        <v>277</v>
      </c>
      <c r="B265" s="2">
        <v>46039</v>
      </c>
      <c r="C265" t="s">
        <v>17</v>
      </c>
      <c r="D265">
        <v>37</v>
      </c>
      <c r="E265" t="s">
        <v>20</v>
      </c>
      <c r="F265" t="s">
        <v>18</v>
      </c>
      <c r="G265" s="3"/>
    </row>
    <row r="266" spans="1:7">
      <c r="A266" t="s">
        <v>278</v>
      </c>
      <c r="B266" s="2">
        <v>45674</v>
      </c>
      <c r="D266">
        <v>18</v>
      </c>
      <c r="E266" t="s">
        <v>74</v>
      </c>
      <c r="F266" t="s">
        <v>18</v>
      </c>
      <c r="G266" s="3">
        <v>312.77</v>
      </c>
    </row>
    <row r="267" spans="1:7">
      <c r="A267" t="s">
        <v>279</v>
      </c>
      <c r="B267" s="2">
        <v>45883</v>
      </c>
      <c r="C267" t="s">
        <v>8</v>
      </c>
      <c r="D267">
        <v>61</v>
      </c>
      <c r="E267" t="s">
        <v>9</v>
      </c>
      <c r="F267" t="s">
        <v>21</v>
      </c>
      <c r="G267" s="3">
        <v>961.13</v>
      </c>
    </row>
    <row r="268" spans="1:7">
      <c r="A268" t="s">
        <v>280</v>
      </c>
      <c r="B268" s="2">
        <v>45884</v>
      </c>
      <c r="C268" t="s">
        <v>8</v>
      </c>
      <c r="D268">
        <v>44</v>
      </c>
      <c r="E268" t="s">
        <v>9</v>
      </c>
      <c r="F268" t="s">
        <v>30</v>
      </c>
      <c r="G268" s="3">
        <v>1300.01</v>
      </c>
    </row>
    <row r="269" spans="1:7">
      <c r="A269" t="s">
        <v>281</v>
      </c>
      <c r="B269" s="2">
        <v>45772</v>
      </c>
      <c r="C269" t="s">
        <v>8</v>
      </c>
      <c r="D269">
        <v>56</v>
      </c>
      <c r="E269" t="s">
        <v>9</v>
      </c>
      <c r="F269" t="s">
        <v>21</v>
      </c>
      <c r="G269" s="3">
        <v>1318.45</v>
      </c>
    </row>
    <row r="270" spans="1:7">
      <c r="A270" t="s">
        <v>282</v>
      </c>
      <c r="B270" s="2">
        <v>45705</v>
      </c>
      <c r="C270" t="s">
        <v>8</v>
      </c>
      <c r="D270">
        <v>52</v>
      </c>
      <c r="E270" t="s">
        <v>74</v>
      </c>
      <c r="G270" s="3">
        <v>494.83</v>
      </c>
    </row>
    <row r="271" spans="1:7">
      <c r="A271" t="s">
        <v>283</v>
      </c>
      <c r="B271" s="2">
        <v>46173</v>
      </c>
      <c r="D271">
        <v>49</v>
      </c>
      <c r="E271" t="s">
        <v>39</v>
      </c>
      <c r="F271" t="s">
        <v>21</v>
      </c>
      <c r="G271" s="3">
        <v>1046.17</v>
      </c>
    </row>
    <row r="272" spans="1:7">
      <c r="A272" t="s">
        <v>284</v>
      </c>
      <c r="B272" s="2">
        <v>46157</v>
      </c>
      <c r="C272" t="s">
        <v>17</v>
      </c>
      <c r="D272">
        <v>44</v>
      </c>
      <c r="E272" t="s">
        <v>15</v>
      </c>
      <c r="F272" t="s">
        <v>30</v>
      </c>
      <c r="G272" s="3">
        <v>746.07</v>
      </c>
    </row>
    <row r="273" spans="1:7">
      <c r="A273" t="s">
        <v>285</v>
      </c>
      <c r="B273" s="2">
        <v>46168</v>
      </c>
      <c r="C273" t="s">
        <v>8</v>
      </c>
      <c r="E273" t="s">
        <v>15</v>
      </c>
      <c r="F273" t="s">
        <v>18</v>
      </c>
      <c r="G273" s="3">
        <v>149.24</v>
      </c>
    </row>
    <row r="274" spans="1:7">
      <c r="A274" t="s">
        <v>286</v>
      </c>
      <c r="B274" s="2">
        <v>45941</v>
      </c>
      <c r="C274" t="s">
        <v>8</v>
      </c>
      <c r="D274">
        <v>20</v>
      </c>
      <c r="E274" t="s">
        <v>15</v>
      </c>
      <c r="F274" t="s">
        <v>21</v>
      </c>
      <c r="G274" s="3">
        <v>438.08</v>
      </c>
    </row>
    <row r="275" spans="1:7">
      <c r="A275" t="s">
        <v>287</v>
      </c>
      <c r="B275" s="2"/>
      <c r="C275" t="s">
        <v>17</v>
      </c>
      <c r="D275">
        <v>53</v>
      </c>
      <c r="E275" t="s">
        <v>20</v>
      </c>
      <c r="F275" t="s">
        <v>44</v>
      </c>
      <c r="G275" s="3">
        <v>776.84</v>
      </c>
    </row>
    <row r="276" spans="1:7">
      <c r="A276" t="s">
        <v>288</v>
      </c>
      <c r="B276" s="2">
        <v>46041</v>
      </c>
      <c r="C276" t="s">
        <v>17</v>
      </c>
      <c r="D276">
        <v>36</v>
      </c>
      <c r="F276" t="s">
        <v>13</v>
      </c>
      <c r="G276" s="3">
        <v>922.87</v>
      </c>
    </row>
    <row r="277" spans="1:7">
      <c r="A277" t="s">
        <v>289</v>
      </c>
      <c r="B277" s="2">
        <v>45662</v>
      </c>
      <c r="C277" t="s">
        <v>8</v>
      </c>
      <c r="D277">
        <v>33</v>
      </c>
      <c r="E277" t="s">
        <v>9</v>
      </c>
      <c r="F277" t="s">
        <v>10</v>
      </c>
      <c r="G277" s="3">
        <v>1250.21</v>
      </c>
    </row>
    <row r="278" spans="1:7">
      <c r="A278" t="s">
        <v>290</v>
      </c>
      <c r="B278" s="2">
        <v>46080</v>
      </c>
      <c r="C278" t="s">
        <v>17</v>
      </c>
      <c r="D278">
        <v>60</v>
      </c>
      <c r="E278" t="s">
        <v>20</v>
      </c>
      <c r="F278" t="s">
        <v>10</v>
      </c>
      <c r="G278" s="3">
        <v>854.23</v>
      </c>
    </row>
    <row r="279" spans="1:7">
      <c r="A279" t="s">
        <v>174</v>
      </c>
      <c r="B279" s="2">
        <v>46041</v>
      </c>
      <c r="C279" t="s">
        <v>17</v>
      </c>
      <c r="D279">
        <v>28</v>
      </c>
      <c r="F279" t="s">
        <v>21</v>
      </c>
      <c r="G279" s="3">
        <v>785.95</v>
      </c>
    </row>
    <row r="280" spans="1:7">
      <c r="A280" t="s">
        <v>291</v>
      </c>
      <c r="B280" s="2">
        <v>46022</v>
      </c>
      <c r="D280">
        <v>33</v>
      </c>
      <c r="E280" t="s">
        <v>9</v>
      </c>
      <c r="F280" t="s">
        <v>13</v>
      </c>
      <c r="G280" s="3">
        <v>790.38</v>
      </c>
    </row>
    <row r="281" spans="1:7">
      <c r="A281" t="s">
        <v>292</v>
      </c>
      <c r="B281" s="2">
        <v>46077</v>
      </c>
      <c r="C281" t="s">
        <v>8</v>
      </c>
      <c r="D281">
        <v>50</v>
      </c>
      <c r="E281" t="s">
        <v>74</v>
      </c>
      <c r="F281" t="s">
        <v>44</v>
      </c>
      <c r="G281" s="3">
        <v>644.80999999999995</v>
      </c>
    </row>
    <row r="282" spans="1:7">
      <c r="A282" t="s">
        <v>293</v>
      </c>
      <c r="B282" s="2"/>
      <c r="C282" t="s">
        <v>8</v>
      </c>
      <c r="D282">
        <v>107</v>
      </c>
      <c r="E282" t="s">
        <v>74</v>
      </c>
      <c r="F282" t="s">
        <v>44</v>
      </c>
      <c r="G282" s="3">
        <v>632.26</v>
      </c>
    </row>
    <row r="283" spans="1:7">
      <c r="A283" t="s">
        <v>294</v>
      </c>
      <c r="B283" s="2">
        <v>46089</v>
      </c>
      <c r="C283" t="s">
        <v>17</v>
      </c>
      <c r="D283">
        <v>43</v>
      </c>
      <c r="E283" t="s">
        <v>9</v>
      </c>
      <c r="F283" t="s">
        <v>10</v>
      </c>
      <c r="G283" s="3">
        <v>1069.08</v>
      </c>
    </row>
    <row r="284" spans="1:7">
      <c r="A284" t="s">
        <v>295</v>
      </c>
      <c r="B284" s="2">
        <v>45862</v>
      </c>
      <c r="C284" t="s">
        <v>17</v>
      </c>
      <c r="D284">
        <v>69</v>
      </c>
      <c r="E284" t="s">
        <v>296</v>
      </c>
      <c r="G284" s="3">
        <v>691.63</v>
      </c>
    </row>
    <row r="285" spans="1:7">
      <c r="A285" t="s">
        <v>297</v>
      </c>
      <c r="B285" s="2">
        <v>46137</v>
      </c>
      <c r="C285" t="s">
        <v>8</v>
      </c>
      <c r="E285" t="s">
        <v>15</v>
      </c>
      <c r="F285" t="s">
        <v>10</v>
      </c>
      <c r="G285" s="3">
        <v>1263.1099999999999</v>
      </c>
    </row>
    <row r="286" spans="1:7">
      <c r="A286" t="s">
        <v>298</v>
      </c>
      <c r="B286" s="2">
        <v>45703</v>
      </c>
      <c r="C286" t="s">
        <v>8</v>
      </c>
      <c r="D286">
        <v>66</v>
      </c>
      <c r="E286" t="s">
        <v>15</v>
      </c>
      <c r="F286" t="s">
        <v>10</v>
      </c>
      <c r="G286" s="3">
        <v>1215.9100000000001</v>
      </c>
    </row>
    <row r="287" spans="1:7">
      <c r="A287" t="s">
        <v>299</v>
      </c>
      <c r="B287" s="2">
        <v>45973</v>
      </c>
      <c r="C287" t="s">
        <v>8</v>
      </c>
      <c r="D287">
        <v>20</v>
      </c>
      <c r="E287" t="s">
        <v>39</v>
      </c>
      <c r="F287" t="s">
        <v>23</v>
      </c>
      <c r="G287" s="3">
        <v>872.34</v>
      </c>
    </row>
    <row r="288" spans="1:7">
      <c r="A288" t="s">
        <v>300</v>
      </c>
      <c r="B288" s="2">
        <v>45934</v>
      </c>
      <c r="C288" t="s">
        <v>8</v>
      </c>
      <c r="D288">
        <v>27</v>
      </c>
      <c r="E288" t="s">
        <v>20</v>
      </c>
      <c r="F288" t="s">
        <v>23</v>
      </c>
      <c r="G288" s="3">
        <v>897.29</v>
      </c>
    </row>
    <row r="289" spans="1:7">
      <c r="A289" t="s">
        <v>301</v>
      </c>
      <c r="B289" s="2">
        <v>45741</v>
      </c>
      <c r="C289" t="s">
        <v>17</v>
      </c>
      <c r="D289">
        <v>48</v>
      </c>
      <c r="E289" t="s">
        <v>12</v>
      </c>
      <c r="F289" t="s">
        <v>23</v>
      </c>
      <c r="G289" s="3">
        <v>523.37</v>
      </c>
    </row>
    <row r="290" spans="1:7">
      <c r="A290" t="s">
        <v>250</v>
      </c>
      <c r="B290" s="2">
        <v>45876</v>
      </c>
      <c r="C290" t="s">
        <v>8</v>
      </c>
      <c r="D290">
        <v>50</v>
      </c>
      <c r="E290" t="s">
        <v>39</v>
      </c>
      <c r="F290" t="s">
        <v>13</v>
      </c>
      <c r="G290" s="3">
        <v>818.19</v>
      </c>
    </row>
    <row r="291" spans="1:7">
      <c r="A291" t="s">
        <v>302</v>
      </c>
      <c r="B291" s="2">
        <v>45775</v>
      </c>
      <c r="C291" t="s">
        <v>17</v>
      </c>
      <c r="D291">
        <v>58</v>
      </c>
      <c r="E291" t="s">
        <v>39</v>
      </c>
      <c r="F291" t="s">
        <v>44</v>
      </c>
      <c r="G291" s="3">
        <v>622.54999999999995</v>
      </c>
    </row>
    <row r="292" spans="1:7">
      <c r="A292" t="s">
        <v>29</v>
      </c>
      <c r="B292" s="2">
        <v>45807</v>
      </c>
      <c r="C292" t="s">
        <v>17</v>
      </c>
      <c r="D292">
        <v>48</v>
      </c>
      <c r="E292" t="s">
        <v>9</v>
      </c>
      <c r="F292" t="s">
        <v>30</v>
      </c>
      <c r="G292" s="3">
        <v>1075.0899999999999</v>
      </c>
    </row>
    <row r="293" spans="1:7">
      <c r="A293" t="s">
        <v>303</v>
      </c>
      <c r="B293" s="2">
        <v>46129</v>
      </c>
      <c r="C293" t="s">
        <v>17</v>
      </c>
      <c r="D293">
        <v>18</v>
      </c>
      <c r="E293" t="s">
        <v>9</v>
      </c>
      <c r="F293" t="s">
        <v>23</v>
      </c>
      <c r="G293" s="3">
        <v>1155.56</v>
      </c>
    </row>
    <row r="294" spans="1:7">
      <c r="A294" t="s">
        <v>304</v>
      </c>
      <c r="B294" s="2">
        <v>45956</v>
      </c>
      <c r="C294" t="s">
        <v>8</v>
      </c>
      <c r="D294">
        <v>34</v>
      </c>
      <c r="E294" t="s">
        <v>20</v>
      </c>
      <c r="F294" t="s">
        <v>23</v>
      </c>
      <c r="G294" s="3">
        <v>862.99</v>
      </c>
    </row>
    <row r="295" spans="1:7">
      <c r="A295" t="s">
        <v>305</v>
      </c>
      <c r="B295" s="2">
        <v>46150</v>
      </c>
      <c r="C295" t="s">
        <v>8</v>
      </c>
      <c r="D295">
        <v>67</v>
      </c>
      <c r="E295" t="s">
        <v>9</v>
      </c>
      <c r="F295" t="s">
        <v>23</v>
      </c>
      <c r="G295" s="3">
        <v>857.27</v>
      </c>
    </row>
    <row r="296" spans="1:7">
      <c r="A296" t="s">
        <v>193</v>
      </c>
      <c r="B296" s="2">
        <v>45896</v>
      </c>
      <c r="C296" t="s">
        <v>8</v>
      </c>
      <c r="D296">
        <v>26</v>
      </c>
      <c r="E296" t="s">
        <v>20</v>
      </c>
      <c r="F296" t="s">
        <v>44</v>
      </c>
      <c r="G296" s="3">
        <v>1481.76</v>
      </c>
    </row>
    <row r="297" spans="1:7">
      <c r="A297" t="s">
        <v>306</v>
      </c>
      <c r="B297" s="2">
        <v>45745</v>
      </c>
      <c r="C297" t="s">
        <v>17</v>
      </c>
      <c r="D297">
        <v>32</v>
      </c>
      <c r="E297" t="s">
        <v>9</v>
      </c>
      <c r="F297" t="s">
        <v>307</v>
      </c>
      <c r="G297" s="3">
        <v>1235.8900000000001</v>
      </c>
    </row>
    <row r="298" spans="1:7">
      <c r="A298" t="s">
        <v>308</v>
      </c>
      <c r="B298" s="2">
        <v>46136</v>
      </c>
      <c r="C298" t="s">
        <v>17</v>
      </c>
      <c r="D298">
        <v>57</v>
      </c>
      <c r="E298" t="s">
        <v>39</v>
      </c>
      <c r="F298" t="s">
        <v>30</v>
      </c>
      <c r="G298" s="3">
        <v>749.33</v>
      </c>
    </row>
    <row r="299" spans="1:7">
      <c r="A299" t="s">
        <v>113</v>
      </c>
      <c r="B299" s="2">
        <v>45757</v>
      </c>
      <c r="C299" t="s">
        <v>17</v>
      </c>
      <c r="D299">
        <v>33</v>
      </c>
      <c r="E299" t="s">
        <v>74</v>
      </c>
      <c r="F299" t="s">
        <v>23</v>
      </c>
      <c r="G299" s="3">
        <v>661.71</v>
      </c>
    </row>
    <row r="300" spans="1:7">
      <c r="A300" t="s">
        <v>309</v>
      </c>
      <c r="B300" s="2">
        <v>46022</v>
      </c>
      <c r="C300" t="s">
        <v>17</v>
      </c>
      <c r="D300">
        <v>41</v>
      </c>
      <c r="E300" t="s">
        <v>12</v>
      </c>
      <c r="F300" t="s">
        <v>21</v>
      </c>
      <c r="G300" s="3">
        <v>455.83</v>
      </c>
    </row>
    <row r="301" spans="1:7">
      <c r="A301" t="s">
        <v>310</v>
      </c>
      <c r="B301" s="2">
        <v>45750</v>
      </c>
      <c r="C301" t="s">
        <v>8</v>
      </c>
      <c r="D301">
        <v>49</v>
      </c>
      <c r="E301" t="s">
        <v>20</v>
      </c>
      <c r="F301" t="s">
        <v>18</v>
      </c>
      <c r="G301" s="3"/>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94"/>
  <sheetViews>
    <sheetView tabSelected="1" workbookViewId="0">
      <pane ySplit="1" topLeftCell="A2" activePane="bottomLeft" state="frozen"/>
      <selection pane="bottomLeft" activeCell="O22" sqref="O22"/>
    </sheetView>
  </sheetViews>
  <sheetFormatPr defaultRowHeight="15"/>
  <cols>
    <col min="1" max="1" width="12.42578125" style="6" bestFit="1" customWidth="1"/>
    <col min="2" max="2" width="17" style="14" bestFit="1" customWidth="1"/>
    <col min="3" max="3" width="7.7109375" style="6" bestFit="1" customWidth="1"/>
    <col min="4" max="4" width="5.42578125" style="6" bestFit="1" customWidth="1"/>
    <col min="5" max="5" width="10.7109375" style="6" bestFit="1" customWidth="1"/>
    <col min="6" max="6" width="15.28515625" style="6" bestFit="1" customWidth="1"/>
    <col min="7" max="7" width="16.28515625" style="6" bestFit="1" customWidth="1"/>
    <col min="8" max="8" width="13.85546875" style="6" bestFit="1" customWidth="1"/>
    <col min="9" max="9" width="10.7109375" style="6" bestFit="1" customWidth="1"/>
    <col min="10" max="10" width="17.28515625" style="6" bestFit="1" customWidth="1"/>
    <col min="11" max="11" width="13.42578125" style="6" bestFit="1" customWidth="1"/>
    <col min="12" max="12" width="9.140625" style="6" customWidth="1"/>
    <col min="13" max="13" width="11.28515625" style="6" bestFit="1" customWidth="1"/>
    <col min="14" max="14" width="9.140625" style="6" customWidth="1"/>
    <col min="15" max="16384" width="9.140625" style="6"/>
  </cols>
  <sheetData>
    <row r="1" spans="1:13" s="5" customFormat="1">
      <c r="A1" s="4" t="s">
        <v>0</v>
      </c>
      <c r="B1" s="18" t="s">
        <v>1</v>
      </c>
      <c r="C1" s="4" t="s">
        <v>2</v>
      </c>
      <c r="D1" s="4" t="s">
        <v>3</v>
      </c>
      <c r="E1" s="4" t="s">
        <v>4</v>
      </c>
      <c r="F1" s="4" t="s">
        <v>5</v>
      </c>
      <c r="G1" s="4" t="s">
        <v>6</v>
      </c>
      <c r="H1" s="5" t="s">
        <v>311</v>
      </c>
      <c r="I1" s="5" t="s">
        <v>312</v>
      </c>
      <c r="J1" s="5" t="s">
        <v>313</v>
      </c>
      <c r="K1" s="5" t="s">
        <v>314</v>
      </c>
      <c r="L1" s="5" t="s">
        <v>315</v>
      </c>
      <c r="M1" s="5" t="s">
        <v>316</v>
      </c>
    </row>
    <row r="2" spans="1:13">
      <c r="A2" s="6" t="s">
        <v>147</v>
      </c>
      <c r="B2" s="14">
        <v>45661</v>
      </c>
      <c r="C2" s="6" t="s">
        <v>17</v>
      </c>
      <c r="D2" s="6">
        <v>46</v>
      </c>
      <c r="E2" s="6" t="s">
        <v>317</v>
      </c>
      <c r="F2" s="6" t="s">
        <v>30</v>
      </c>
      <c r="G2" s="7">
        <v>1455.22</v>
      </c>
      <c r="H2" s="6" t="str">
        <f t="shared" ref="H2:H65" si="0">PROPER(TRIM(C2))</f>
        <v>Female</v>
      </c>
      <c r="I2" s="6" t="str">
        <f t="shared" ref="I2:I65" si="1">PROPER(TRIM(E2))</f>
        <v>Missing</v>
      </c>
      <c r="J2" s="6" t="str">
        <f t="shared" ref="J2:J65" si="2">PROPER(TRIM(SUBSTITUTE(F2,"CS","Civil Servant")))</f>
        <v>Business Owner</v>
      </c>
      <c r="K2" s="6" t="str">
        <f t="shared" ref="K2:K65" si="3">IF(G2&gt;=1500,"High",IF(G2&gt;=800,"Medium","Low"))</f>
        <v>Medium</v>
      </c>
      <c r="L2" s="6">
        <f t="shared" ref="L2:L65" si="4">IF(ISNUMBER(B2),YEAR(B2),"")</f>
        <v>2025</v>
      </c>
      <c r="M2" s="6">
        <f t="shared" ref="M2:M65" si="5">IF(ISNUMBER(B2),MONTH(B2),"")</f>
        <v>1</v>
      </c>
    </row>
    <row r="3" spans="1:13">
      <c r="A3" s="6" t="s">
        <v>289</v>
      </c>
      <c r="B3" s="14">
        <v>45662</v>
      </c>
      <c r="C3" s="6" t="s">
        <v>8</v>
      </c>
      <c r="D3" s="6">
        <v>33</v>
      </c>
      <c r="E3" s="6" t="s">
        <v>9</v>
      </c>
      <c r="F3" s="6" t="s">
        <v>10</v>
      </c>
      <c r="G3" s="7">
        <v>1250.21</v>
      </c>
      <c r="H3" s="6" t="str">
        <f t="shared" si="0"/>
        <v>Male</v>
      </c>
      <c r="I3" s="6" t="str">
        <f t="shared" si="1"/>
        <v>Mogadishu</v>
      </c>
      <c r="J3" s="6" t="str">
        <f t="shared" si="2"/>
        <v>Healthcare</v>
      </c>
      <c r="K3" s="6" t="str">
        <f t="shared" si="3"/>
        <v>Medium</v>
      </c>
      <c r="L3" s="6">
        <f t="shared" si="4"/>
        <v>2025</v>
      </c>
      <c r="M3" s="6">
        <f t="shared" si="5"/>
        <v>1</v>
      </c>
    </row>
    <row r="4" spans="1:13">
      <c r="A4" s="6" t="s">
        <v>261</v>
      </c>
      <c r="B4" s="14">
        <v>45664</v>
      </c>
      <c r="C4" s="6" t="s">
        <v>8</v>
      </c>
      <c r="D4" s="6">
        <v>30</v>
      </c>
      <c r="E4" s="6" t="s">
        <v>12</v>
      </c>
      <c r="F4" s="6" t="s">
        <v>44</v>
      </c>
      <c r="G4" s="7">
        <v>602</v>
      </c>
      <c r="H4" s="6" t="str">
        <f t="shared" si="0"/>
        <v>Male</v>
      </c>
      <c r="I4" s="6" t="str">
        <f t="shared" si="1"/>
        <v>Baidoa</v>
      </c>
      <c r="J4" s="6" t="str">
        <f t="shared" si="2"/>
        <v>Engineer</v>
      </c>
      <c r="K4" s="6" t="str">
        <f t="shared" si="3"/>
        <v>Low</v>
      </c>
      <c r="L4" s="6">
        <f t="shared" si="4"/>
        <v>2025</v>
      </c>
      <c r="M4" s="6">
        <f t="shared" si="5"/>
        <v>1</v>
      </c>
    </row>
    <row r="5" spans="1:13">
      <c r="A5" s="6" t="s">
        <v>207</v>
      </c>
      <c r="B5" s="14">
        <v>45665</v>
      </c>
      <c r="C5" s="6" t="s">
        <v>17</v>
      </c>
      <c r="D5" s="6">
        <v>40</v>
      </c>
      <c r="E5" s="6" t="s">
        <v>20</v>
      </c>
      <c r="F5" s="6" t="s">
        <v>23</v>
      </c>
      <c r="G5" s="7">
        <v>789.1</v>
      </c>
      <c r="H5" s="6" t="str">
        <f t="shared" si="0"/>
        <v>Female</v>
      </c>
      <c r="I5" s="6" t="str">
        <f t="shared" si="1"/>
        <v>Bosaso</v>
      </c>
      <c r="J5" s="6" t="str">
        <f t="shared" si="2"/>
        <v>Civil Servant</v>
      </c>
      <c r="K5" s="6" t="str">
        <f t="shared" si="3"/>
        <v>Low</v>
      </c>
      <c r="L5" s="6">
        <f t="shared" si="4"/>
        <v>2025</v>
      </c>
      <c r="M5" s="6">
        <f t="shared" si="5"/>
        <v>1</v>
      </c>
    </row>
    <row r="6" spans="1:13">
      <c r="A6" s="6" t="s">
        <v>86</v>
      </c>
      <c r="B6" s="14">
        <v>45665</v>
      </c>
      <c r="C6" s="6" t="s">
        <v>8</v>
      </c>
      <c r="D6" s="6">
        <v>66</v>
      </c>
      <c r="E6" s="6" t="s">
        <v>15</v>
      </c>
      <c r="F6" s="6" t="s">
        <v>30</v>
      </c>
      <c r="G6" s="7">
        <v>1964.48</v>
      </c>
      <c r="H6" s="6" t="str">
        <f t="shared" si="0"/>
        <v>Male</v>
      </c>
      <c r="I6" s="6" t="str">
        <f t="shared" si="1"/>
        <v>Hargeisa</v>
      </c>
      <c r="J6" s="6" t="str">
        <f t="shared" si="2"/>
        <v>Business Owner</v>
      </c>
      <c r="K6" s="6" t="str">
        <f t="shared" si="3"/>
        <v>High</v>
      </c>
      <c r="L6" s="6">
        <f t="shared" si="4"/>
        <v>2025</v>
      </c>
      <c r="M6" s="6">
        <f t="shared" si="5"/>
        <v>1</v>
      </c>
    </row>
    <row r="7" spans="1:13">
      <c r="A7" s="6" t="s">
        <v>216</v>
      </c>
      <c r="B7" s="14">
        <v>45667</v>
      </c>
      <c r="C7" s="6" t="s">
        <v>17</v>
      </c>
      <c r="D7" s="6">
        <v>51</v>
      </c>
      <c r="E7" s="6" t="s">
        <v>9</v>
      </c>
      <c r="F7" s="6" t="s">
        <v>30</v>
      </c>
      <c r="G7" s="7">
        <v>1547.72</v>
      </c>
      <c r="H7" s="6" t="str">
        <f t="shared" si="0"/>
        <v>Female</v>
      </c>
      <c r="I7" s="6" t="str">
        <f t="shared" si="1"/>
        <v>Mogadishu</v>
      </c>
      <c r="J7" s="6" t="str">
        <f t="shared" si="2"/>
        <v>Business Owner</v>
      </c>
      <c r="K7" s="6" t="str">
        <f t="shared" si="3"/>
        <v>High</v>
      </c>
      <c r="L7" s="6">
        <f t="shared" si="4"/>
        <v>2025</v>
      </c>
      <c r="M7" s="6">
        <f t="shared" si="5"/>
        <v>1</v>
      </c>
    </row>
    <row r="8" spans="1:13">
      <c r="A8" s="6" t="s">
        <v>104</v>
      </c>
      <c r="B8" s="14">
        <v>45667</v>
      </c>
      <c r="C8" s="6" t="s">
        <v>8</v>
      </c>
      <c r="D8" s="6">
        <v>62</v>
      </c>
      <c r="E8" s="6" t="s">
        <v>9</v>
      </c>
      <c r="F8" s="6" t="s">
        <v>44</v>
      </c>
      <c r="G8" s="7">
        <v>881.22</v>
      </c>
      <c r="H8" s="6" t="str">
        <f t="shared" si="0"/>
        <v>Male</v>
      </c>
      <c r="I8" s="6" t="str">
        <f t="shared" si="1"/>
        <v>Mogadishu</v>
      </c>
      <c r="J8" s="6" t="str">
        <f t="shared" si="2"/>
        <v>Engineer</v>
      </c>
      <c r="K8" s="6" t="str">
        <f t="shared" si="3"/>
        <v>Medium</v>
      </c>
      <c r="L8" s="6">
        <f t="shared" si="4"/>
        <v>2025</v>
      </c>
      <c r="M8" s="6">
        <f t="shared" si="5"/>
        <v>1</v>
      </c>
    </row>
    <row r="9" spans="1:13">
      <c r="A9" s="6" t="s">
        <v>255</v>
      </c>
      <c r="B9" s="14">
        <v>45670</v>
      </c>
      <c r="C9" s="6" t="s">
        <v>8</v>
      </c>
      <c r="D9" s="6">
        <v>19</v>
      </c>
      <c r="E9" s="6" t="s">
        <v>39</v>
      </c>
      <c r="F9" s="6" t="s">
        <v>256</v>
      </c>
      <c r="G9" s="7">
        <v>278.61</v>
      </c>
      <c r="H9" s="6" t="str">
        <f t="shared" si="0"/>
        <v>Male</v>
      </c>
      <c r="I9" s="6" t="str">
        <f t="shared" si="1"/>
        <v>Kismayo</v>
      </c>
      <c r="J9" s="6" t="str">
        <f t="shared" si="2"/>
        <v>Student</v>
      </c>
      <c r="K9" s="6" t="str">
        <f t="shared" si="3"/>
        <v>Low</v>
      </c>
      <c r="L9" s="6">
        <f t="shared" si="4"/>
        <v>2025</v>
      </c>
      <c r="M9" s="6">
        <f t="shared" si="5"/>
        <v>1</v>
      </c>
    </row>
    <row r="10" spans="1:13">
      <c r="A10" s="6" t="s">
        <v>55</v>
      </c>
      <c r="B10" s="14">
        <v>45671</v>
      </c>
      <c r="C10" s="6" t="s">
        <v>17</v>
      </c>
      <c r="D10" s="6">
        <v>19</v>
      </c>
      <c r="E10" s="6" t="s">
        <v>9</v>
      </c>
      <c r="F10" s="6" t="s">
        <v>18</v>
      </c>
      <c r="G10" s="7">
        <v>923.87</v>
      </c>
      <c r="H10" s="6" t="str">
        <f t="shared" si="0"/>
        <v>Female</v>
      </c>
      <c r="I10" s="6" t="str">
        <f t="shared" si="1"/>
        <v>Mogadishu</v>
      </c>
      <c r="J10" s="6" t="str">
        <f t="shared" si="2"/>
        <v>Student</v>
      </c>
      <c r="K10" s="6" t="str">
        <f t="shared" si="3"/>
        <v>Medium</v>
      </c>
      <c r="L10" s="6">
        <f t="shared" si="4"/>
        <v>2025</v>
      </c>
      <c r="M10" s="6">
        <f t="shared" si="5"/>
        <v>1</v>
      </c>
    </row>
    <row r="11" spans="1:13">
      <c r="A11" s="6" t="s">
        <v>111</v>
      </c>
      <c r="B11" s="14">
        <v>45673</v>
      </c>
      <c r="C11" s="6" t="s">
        <v>8</v>
      </c>
      <c r="D11" s="6">
        <v>43</v>
      </c>
      <c r="E11" s="6" t="s">
        <v>15</v>
      </c>
      <c r="F11" s="6" t="s">
        <v>18</v>
      </c>
      <c r="G11" s="7">
        <v>127.29</v>
      </c>
      <c r="H11" s="6" t="str">
        <f t="shared" si="0"/>
        <v>Male</v>
      </c>
      <c r="I11" s="6" t="str">
        <f t="shared" si="1"/>
        <v>Hargeisa</v>
      </c>
      <c r="J11" s="6" t="str">
        <f t="shared" si="2"/>
        <v>Student</v>
      </c>
      <c r="K11" s="6" t="str">
        <f t="shared" si="3"/>
        <v>Low</v>
      </c>
      <c r="L11" s="6">
        <f t="shared" si="4"/>
        <v>2025</v>
      </c>
      <c r="M11" s="6">
        <f t="shared" si="5"/>
        <v>1</v>
      </c>
    </row>
    <row r="12" spans="1:13">
      <c r="A12" s="6" t="s">
        <v>278</v>
      </c>
      <c r="B12" s="14">
        <v>45674</v>
      </c>
      <c r="C12" s="6" t="s">
        <v>317</v>
      </c>
      <c r="D12" s="6">
        <v>18</v>
      </c>
      <c r="E12" s="6" t="s">
        <v>74</v>
      </c>
      <c r="F12" s="6" t="s">
        <v>18</v>
      </c>
      <c r="G12" s="7">
        <v>312.77</v>
      </c>
      <c r="H12" s="6" t="str">
        <f t="shared" si="0"/>
        <v>Missing</v>
      </c>
      <c r="I12" s="6" t="str">
        <f t="shared" si="1"/>
        <v>Garowe</v>
      </c>
      <c r="J12" s="6" t="str">
        <f t="shared" si="2"/>
        <v>Student</v>
      </c>
      <c r="K12" s="6" t="str">
        <f t="shared" si="3"/>
        <v>Low</v>
      </c>
      <c r="L12" s="6">
        <f t="shared" si="4"/>
        <v>2025</v>
      </c>
      <c r="M12" s="6">
        <f t="shared" si="5"/>
        <v>1</v>
      </c>
    </row>
    <row r="13" spans="1:13">
      <c r="A13" s="6" t="s">
        <v>169</v>
      </c>
      <c r="B13" s="14">
        <v>45676</v>
      </c>
      <c r="C13" s="6" t="s">
        <v>8</v>
      </c>
      <c r="D13" s="6">
        <v>44</v>
      </c>
      <c r="E13" s="6" t="s">
        <v>9</v>
      </c>
      <c r="F13" s="6" t="s">
        <v>30</v>
      </c>
      <c r="G13" s="7">
        <v>1015.92</v>
      </c>
      <c r="H13" s="6" t="str">
        <f t="shared" si="0"/>
        <v>Male</v>
      </c>
      <c r="I13" s="6" t="str">
        <f t="shared" si="1"/>
        <v>Mogadishu</v>
      </c>
      <c r="J13" s="6" t="str">
        <f t="shared" si="2"/>
        <v>Business Owner</v>
      </c>
      <c r="K13" s="6" t="str">
        <f t="shared" si="3"/>
        <v>Medium</v>
      </c>
      <c r="L13" s="6">
        <f t="shared" si="4"/>
        <v>2025</v>
      </c>
      <c r="M13" s="6">
        <f t="shared" si="5"/>
        <v>1</v>
      </c>
    </row>
    <row r="14" spans="1:13">
      <c r="A14" s="6" t="s">
        <v>7</v>
      </c>
      <c r="B14" s="14">
        <v>45677</v>
      </c>
      <c r="C14" s="6" t="s">
        <v>8</v>
      </c>
      <c r="D14" s="6">
        <v>49</v>
      </c>
      <c r="E14" s="6" t="s">
        <v>9</v>
      </c>
      <c r="F14" s="6" t="s">
        <v>10</v>
      </c>
      <c r="G14" s="7">
        <v>1024.44</v>
      </c>
      <c r="H14" s="6" t="str">
        <f t="shared" si="0"/>
        <v>Male</v>
      </c>
      <c r="I14" s="6" t="str">
        <f t="shared" si="1"/>
        <v>Mogadishu</v>
      </c>
      <c r="J14" s="6" t="str">
        <f t="shared" si="2"/>
        <v>Healthcare</v>
      </c>
      <c r="K14" s="6" t="str">
        <f t="shared" si="3"/>
        <v>Medium</v>
      </c>
      <c r="L14" s="6">
        <f t="shared" si="4"/>
        <v>2025</v>
      </c>
      <c r="M14" s="6">
        <f t="shared" si="5"/>
        <v>1</v>
      </c>
    </row>
    <row r="15" spans="1:13">
      <c r="A15" s="6" t="s">
        <v>83</v>
      </c>
      <c r="B15" s="14">
        <v>45678</v>
      </c>
      <c r="C15" s="6" t="s">
        <v>8</v>
      </c>
      <c r="D15" s="6">
        <v>53</v>
      </c>
      <c r="E15" s="6" t="s">
        <v>15</v>
      </c>
      <c r="F15" s="6" t="s">
        <v>44</v>
      </c>
      <c r="G15" s="7">
        <v>926.65</v>
      </c>
      <c r="H15" s="6" t="str">
        <f t="shared" si="0"/>
        <v>Male</v>
      </c>
      <c r="I15" s="6" t="str">
        <f t="shared" si="1"/>
        <v>Hargeisa</v>
      </c>
      <c r="J15" s="6" t="str">
        <f t="shared" si="2"/>
        <v>Engineer</v>
      </c>
      <c r="K15" s="6" t="str">
        <f t="shared" si="3"/>
        <v>Medium</v>
      </c>
      <c r="L15" s="6">
        <f t="shared" si="4"/>
        <v>2025</v>
      </c>
      <c r="M15" s="6">
        <f t="shared" si="5"/>
        <v>1</v>
      </c>
    </row>
    <row r="16" spans="1:13">
      <c r="A16" s="6" t="s">
        <v>37</v>
      </c>
      <c r="B16" s="14">
        <v>45679</v>
      </c>
      <c r="C16" s="6" t="s">
        <v>17</v>
      </c>
      <c r="D16" s="6">
        <v>70</v>
      </c>
      <c r="E16" s="6" t="s">
        <v>9</v>
      </c>
      <c r="F16" s="6" t="s">
        <v>30</v>
      </c>
      <c r="G16" s="7">
        <v>2040.09</v>
      </c>
      <c r="H16" s="6" t="str">
        <f t="shared" si="0"/>
        <v>Female</v>
      </c>
      <c r="I16" s="6" t="str">
        <f t="shared" si="1"/>
        <v>Mogadishu</v>
      </c>
      <c r="J16" s="6" t="str">
        <f t="shared" si="2"/>
        <v>Business Owner</v>
      </c>
      <c r="K16" s="6" t="str">
        <f t="shared" si="3"/>
        <v>High</v>
      </c>
      <c r="L16" s="6">
        <f t="shared" si="4"/>
        <v>2025</v>
      </c>
      <c r="M16" s="6">
        <f t="shared" si="5"/>
        <v>1</v>
      </c>
    </row>
    <row r="17" spans="1:13">
      <c r="A17" s="6" t="s">
        <v>171</v>
      </c>
      <c r="B17" s="14">
        <v>45680</v>
      </c>
      <c r="C17" s="6" t="s">
        <v>17</v>
      </c>
      <c r="D17" s="6">
        <v>28</v>
      </c>
      <c r="E17" s="6" t="s">
        <v>12</v>
      </c>
      <c r="F17" s="6" t="s">
        <v>10</v>
      </c>
      <c r="G17" s="7">
        <v>836.87</v>
      </c>
      <c r="H17" s="6" t="str">
        <f t="shared" si="0"/>
        <v>Female</v>
      </c>
      <c r="I17" s="6" t="str">
        <f t="shared" si="1"/>
        <v>Baidoa</v>
      </c>
      <c r="J17" s="6" t="str">
        <f t="shared" si="2"/>
        <v>Healthcare</v>
      </c>
      <c r="K17" s="6" t="str">
        <f t="shared" si="3"/>
        <v>Medium</v>
      </c>
      <c r="L17" s="6">
        <f t="shared" si="4"/>
        <v>2025</v>
      </c>
      <c r="M17" s="6">
        <f t="shared" si="5"/>
        <v>1</v>
      </c>
    </row>
    <row r="18" spans="1:13">
      <c r="A18" s="6" t="s">
        <v>134</v>
      </c>
      <c r="B18" s="14">
        <v>45681</v>
      </c>
      <c r="C18" s="6" t="s">
        <v>17</v>
      </c>
      <c r="D18" s="6">
        <v>19</v>
      </c>
      <c r="E18" s="6" t="s">
        <v>74</v>
      </c>
      <c r="F18" s="6" t="s">
        <v>13</v>
      </c>
      <c r="G18" s="7">
        <v>579.54999999999995</v>
      </c>
      <c r="H18" s="6" t="str">
        <f t="shared" si="0"/>
        <v>Female</v>
      </c>
      <c r="I18" s="6" t="str">
        <f t="shared" si="1"/>
        <v>Garowe</v>
      </c>
      <c r="J18" s="6" t="str">
        <f t="shared" si="2"/>
        <v>Teacher</v>
      </c>
      <c r="K18" s="6" t="str">
        <f t="shared" si="3"/>
        <v>Low</v>
      </c>
      <c r="L18" s="6">
        <f t="shared" si="4"/>
        <v>2025</v>
      </c>
      <c r="M18" s="6">
        <f t="shared" si="5"/>
        <v>1</v>
      </c>
    </row>
    <row r="19" spans="1:13">
      <c r="A19" s="6" t="s">
        <v>234</v>
      </c>
      <c r="B19" s="14">
        <v>45682</v>
      </c>
      <c r="C19" s="6" t="s">
        <v>17</v>
      </c>
      <c r="D19" s="6">
        <v>63</v>
      </c>
      <c r="E19" s="6" t="s">
        <v>9</v>
      </c>
      <c r="F19" s="6" t="s">
        <v>10</v>
      </c>
      <c r="G19" s="7">
        <v>954.9</v>
      </c>
      <c r="H19" s="6" t="str">
        <f t="shared" si="0"/>
        <v>Female</v>
      </c>
      <c r="I19" s="6" t="str">
        <f t="shared" si="1"/>
        <v>Mogadishu</v>
      </c>
      <c r="J19" s="6" t="str">
        <f t="shared" si="2"/>
        <v>Healthcare</v>
      </c>
      <c r="K19" s="6" t="str">
        <f t="shared" si="3"/>
        <v>Medium</v>
      </c>
      <c r="L19" s="6">
        <f t="shared" si="4"/>
        <v>2025</v>
      </c>
      <c r="M19" s="6">
        <f t="shared" si="5"/>
        <v>1</v>
      </c>
    </row>
    <row r="20" spans="1:13">
      <c r="A20" s="6" t="s">
        <v>46</v>
      </c>
      <c r="B20" s="14">
        <v>45691</v>
      </c>
      <c r="C20" s="6" t="s">
        <v>8</v>
      </c>
      <c r="D20" s="6">
        <v>20</v>
      </c>
      <c r="E20" s="6" t="s">
        <v>317</v>
      </c>
      <c r="F20" s="6" t="s">
        <v>13</v>
      </c>
      <c r="G20" s="7">
        <v>526.37</v>
      </c>
      <c r="H20" s="6" t="str">
        <f t="shared" si="0"/>
        <v>Male</v>
      </c>
      <c r="I20" s="6" t="str">
        <f t="shared" si="1"/>
        <v>Missing</v>
      </c>
      <c r="J20" s="6" t="str">
        <f t="shared" si="2"/>
        <v>Teacher</v>
      </c>
      <c r="K20" s="6" t="str">
        <f t="shared" si="3"/>
        <v>Low</v>
      </c>
      <c r="L20" s="6">
        <f t="shared" si="4"/>
        <v>2025</v>
      </c>
      <c r="M20" s="6">
        <f t="shared" si="5"/>
        <v>2</v>
      </c>
    </row>
    <row r="21" spans="1:13">
      <c r="A21" s="6" t="s">
        <v>57</v>
      </c>
      <c r="B21" s="14">
        <v>45691</v>
      </c>
      <c r="C21" s="6" t="s">
        <v>8</v>
      </c>
      <c r="D21" s="6">
        <v>26</v>
      </c>
      <c r="E21" s="6" t="s">
        <v>9</v>
      </c>
      <c r="F21" s="6" t="s">
        <v>44</v>
      </c>
      <c r="G21" s="7">
        <v>1086.56</v>
      </c>
      <c r="H21" s="6" t="str">
        <f t="shared" si="0"/>
        <v>Male</v>
      </c>
      <c r="I21" s="6" t="str">
        <f t="shared" si="1"/>
        <v>Mogadishu</v>
      </c>
      <c r="J21" s="6" t="str">
        <f t="shared" si="2"/>
        <v>Engineer</v>
      </c>
      <c r="K21" s="6" t="str">
        <f t="shared" si="3"/>
        <v>Medium</v>
      </c>
      <c r="L21" s="6">
        <f t="shared" si="4"/>
        <v>2025</v>
      </c>
      <c r="M21" s="6">
        <f t="shared" si="5"/>
        <v>2</v>
      </c>
    </row>
    <row r="22" spans="1:13">
      <c r="A22" s="6" t="s">
        <v>217</v>
      </c>
      <c r="B22" s="14">
        <v>45694</v>
      </c>
      <c r="C22" s="6" t="s">
        <v>17</v>
      </c>
      <c r="D22" s="6">
        <v>20</v>
      </c>
      <c r="E22" s="6" t="s">
        <v>9</v>
      </c>
      <c r="F22" s="6" t="s">
        <v>23</v>
      </c>
      <c r="G22" s="7">
        <v>923.87</v>
      </c>
      <c r="H22" s="6" t="str">
        <f t="shared" si="0"/>
        <v>Female</v>
      </c>
      <c r="I22" s="6" t="str">
        <f t="shared" si="1"/>
        <v>Mogadishu</v>
      </c>
      <c r="J22" s="6" t="str">
        <f t="shared" si="2"/>
        <v>Civil Servant</v>
      </c>
      <c r="K22" s="6" t="str">
        <f t="shared" si="3"/>
        <v>Medium</v>
      </c>
      <c r="L22" s="6">
        <f t="shared" si="4"/>
        <v>2025</v>
      </c>
      <c r="M22" s="6">
        <f t="shared" si="5"/>
        <v>2</v>
      </c>
    </row>
    <row r="23" spans="1:13">
      <c r="A23" s="6" t="s">
        <v>190</v>
      </c>
      <c r="B23" s="14">
        <v>45696</v>
      </c>
      <c r="C23" s="6" t="s">
        <v>17</v>
      </c>
      <c r="D23" s="6">
        <v>62</v>
      </c>
      <c r="E23" s="6" t="s">
        <v>15</v>
      </c>
      <c r="F23" s="6" t="s">
        <v>18</v>
      </c>
      <c r="G23" s="7">
        <v>210.96</v>
      </c>
      <c r="H23" s="6" t="str">
        <f t="shared" si="0"/>
        <v>Female</v>
      </c>
      <c r="I23" s="6" t="str">
        <f t="shared" si="1"/>
        <v>Hargeisa</v>
      </c>
      <c r="J23" s="6" t="str">
        <f t="shared" si="2"/>
        <v>Student</v>
      </c>
      <c r="K23" s="6" t="str">
        <f t="shared" si="3"/>
        <v>Low</v>
      </c>
      <c r="L23" s="6">
        <f t="shared" si="4"/>
        <v>2025</v>
      </c>
      <c r="M23" s="6">
        <f t="shared" si="5"/>
        <v>2</v>
      </c>
    </row>
    <row r="24" spans="1:13">
      <c r="A24" s="6" t="s">
        <v>79</v>
      </c>
      <c r="B24" s="14">
        <v>45703</v>
      </c>
      <c r="C24" s="6" t="s">
        <v>8</v>
      </c>
      <c r="D24" s="6">
        <v>52</v>
      </c>
      <c r="E24" s="6" t="s">
        <v>15</v>
      </c>
      <c r="F24" s="6" t="s">
        <v>21</v>
      </c>
      <c r="G24" s="7">
        <v>1214.6199999999999</v>
      </c>
      <c r="H24" s="6" t="str">
        <f t="shared" si="0"/>
        <v>Male</v>
      </c>
      <c r="I24" s="6" t="str">
        <f t="shared" si="1"/>
        <v>Hargeisa</v>
      </c>
      <c r="J24" s="6" t="str">
        <f t="shared" si="2"/>
        <v>Self-Employed</v>
      </c>
      <c r="K24" s="6" t="str">
        <f t="shared" si="3"/>
        <v>Medium</v>
      </c>
      <c r="L24" s="6">
        <f t="shared" si="4"/>
        <v>2025</v>
      </c>
      <c r="M24" s="6">
        <f t="shared" si="5"/>
        <v>2</v>
      </c>
    </row>
    <row r="25" spans="1:13">
      <c r="A25" s="6" t="s">
        <v>298</v>
      </c>
      <c r="B25" s="14">
        <v>45703</v>
      </c>
      <c r="C25" s="6" t="s">
        <v>8</v>
      </c>
      <c r="D25" s="6">
        <v>66</v>
      </c>
      <c r="E25" s="6" t="s">
        <v>15</v>
      </c>
      <c r="F25" s="6" t="s">
        <v>10</v>
      </c>
      <c r="G25" s="7">
        <v>1215.9100000000001</v>
      </c>
      <c r="H25" s="6" t="str">
        <f t="shared" si="0"/>
        <v>Male</v>
      </c>
      <c r="I25" s="6" t="str">
        <f t="shared" si="1"/>
        <v>Hargeisa</v>
      </c>
      <c r="J25" s="6" t="str">
        <f t="shared" si="2"/>
        <v>Healthcare</v>
      </c>
      <c r="K25" s="6" t="str">
        <f t="shared" si="3"/>
        <v>Medium</v>
      </c>
      <c r="L25" s="6">
        <f t="shared" si="4"/>
        <v>2025</v>
      </c>
      <c r="M25" s="6">
        <f t="shared" si="5"/>
        <v>2</v>
      </c>
    </row>
    <row r="26" spans="1:13">
      <c r="A26" s="6" t="s">
        <v>282</v>
      </c>
      <c r="B26" s="14">
        <v>45705</v>
      </c>
      <c r="C26" s="6" t="s">
        <v>8</v>
      </c>
      <c r="D26" s="6">
        <v>52</v>
      </c>
      <c r="E26" s="6" t="s">
        <v>74</v>
      </c>
      <c r="F26" s="6" t="s">
        <v>318</v>
      </c>
      <c r="G26" s="7">
        <v>494.83</v>
      </c>
      <c r="H26" s="6" t="str">
        <f t="shared" si="0"/>
        <v>Male</v>
      </c>
      <c r="I26" s="6" t="str">
        <f t="shared" si="1"/>
        <v>Garowe</v>
      </c>
      <c r="J26" s="6" t="str">
        <f t="shared" si="2"/>
        <v>Missing</v>
      </c>
      <c r="K26" s="6" t="str">
        <f t="shared" si="3"/>
        <v>Low</v>
      </c>
      <c r="L26" s="6">
        <f t="shared" si="4"/>
        <v>2025</v>
      </c>
      <c r="M26" s="6">
        <f t="shared" si="5"/>
        <v>2</v>
      </c>
    </row>
    <row r="27" spans="1:13">
      <c r="A27" s="6" t="s">
        <v>142</v>
      </c>
      <c r="B27" s="14">
        <v>45706</v>
      </c>
      <c r="C27" s="6" t="s">
        <v>17</v>
      </c>
      <c r="D27" s="6">
        <v>35</v>
      </c>
      <c r="E27" s="6" t="s">
        <v>12</v>
      </c>
      <c r="F27" s="6" t="s">
        <v>143</v>
      </c>
      <c r="G27" s="7">
        <v>646.07000000000005</v>
      </c>
      <c r="H27" s="6" t="str">
        <f t="shared" si="0"/>
        <v>Female</v>
      </c>
      <c r="I27" s="6" t="str">
        <f t="shared" si="1"/>
        <v>Baidoa</v>
      </c>
      <c r="J27" s="6" t="str">
        <f t="shared" si="2"/>
        <v>Civil Servant</v>
      </c>
      <c r="K27" s="6" t="str">
        <f t="shared" si="3"/>
        <v>Low</v>
      </c>
      <c r="L27" s="6">
        <f t="shared" si="4"/>
        <v>2025</v>
      </c>
      <c r="M27" s="6">
        <f t="shared" si="5"/>
        <v>2</v>
      </c>
    </row>
    <row r="28" spans="1:13">
      <c r="A28" s="6" t="s">
        <v>152</v>
      </c>
      <c r="B28" s="14">
        <v>45709</v>
      </c>
      <c r="C28" s="6" t="s">
        <v>8</v>
      </c>
      <c r="D28" s="6">
        <v>44</v>
      </c>
      <c r="E28" s="6" t="s">
        <v>20</v>
      </c>
      <c r="F28" s="6" t="s">
        <v>13</v>
      </c>
      <c r="G28" s="7">
        <v>409.49</v>
      </c>
      <c r="H28" s="6" t="str">
        <f t="shared" si="0"/>
        <v>Male</v>
      </c>
      <c r="I28" s="6" t="str">
        <f t="shared" si="1"/>
        <v>Bosaso</v>
      </c>
      <c r="J28" s="6" t="str">
        <f t="shared" si="2"/>
        <v>Teacher</v>
      </c>
      <c r="K28" s="6" t="str">
        <f t="shared" si="3"/>
        <v>Low</v>
      </c>
      <c r="L28" s="6">
        <f t="shared" si="4"/>
        <v>2025</v>
      </c>
      <c r="M28" s="6">
        <f t="shared" si="5"/>
        <v>2</v>
      </c>
    </row>
    <row r="29" spans="1:13">
      <c r="A29" s="6" t="s">
        <v>75</v>
      </c>
      <c r="B29" s="14">
        <v>45715</v>
      </c>
      <c r="C29" s="6" t="s">
        <v>17</v>
      </c>
      <c r="D29" s="6">
        <v>34</v>
      </c>
      <c r="E29" s="6" t="s">
        <v>39</v>
      </c>
      <c r="F29" s="6" t="s">
        <v>21</v>
      </c>
      <c r="G29" s="7">
        <v>835.61</v>
      </c>
      <c r="H29" s="6" t="str">
        <f t="shared" si="0"/>
        <v>Female</v>
      </c>
      <c r="I29" s="6" t="str">
        <f t="shared" si="1"/>
        <v>Kismayo</v>
      </c>
      <c r="J29" s="6" t="str">
        <f t="shared" si="2"/>
        <v>Self-Employed</v>
      </c>
      <c r="K29" s="6" t="str">
        <f t="shared" si="3"/>
        <v>Medium</v>
      </c>
      <c r="L29" s="6">
        <f t="shared" si="4"/>
        <v>2025</v>
      </c>
      <c r="M29" s="6">
        <f t="shared" si="5"/>
        <v>2</v>
      </c>
    </row>
    <row r="30" spans="1:13">
      <c r="A30" s="6" t="s">
        <v>40</v>
      </c>
      <c r="B30" s="14">
        <v>45715</v>
      </c>
      <c r="C30" s="6" t="s">
        <v>8</v>
      </c>
      <c r="D30" s="6">
        <v>54</v>
      </c>
      <c r="E30" s="6" t="s">
        <v>9</v>
      </c>
      <c r="F30" s="6" t="s">
        <v>30</v>
      </c>
      <c r="G30" s="7">
        <v>923.87</v>
      </c>
      <c r="H30" s="6" t="str">
        <f t="shared" si="0"/>
        <v>Male</v>
      </c>
      <c r="I30" s="6" t="str">
        <f t="shared" si="1"/>
        <v>Mogadishu</v>
      </c>
      <c r="J30" s="6" t="str">
        <f t="shared" si="2"/>
        <v>Business Owner</v>
      </c>
      <c r="K30" s="6" t="str">
        <f t="shared" si="3"/>
        <v>Medium</v>
      </c>
      <c r="L30" s="6">
        <f t="shared" si="4"/>
        <v>2025</v>
      </c>
      <c r="M30" s="6">
        <f t="shared" si="5"/>
        <v>2</v>
      </c>
    </row>
    <row r="31" spans="1:13">
      <c r="A31" s="6" t="s">
        <v>151</v>
      </c>
      <c r="B31" s="14">
        <v>45719</v>
      </c>
      <c r="C31" s="6" t="s">
        <v>8</v>
      </c>
      <c r="D31" s="6">
        <v>46</v>
      </c>
      <c r="E31" s="6" t="s">
        <v>317</v>
      </c>
      <c r="F31" s="6" t="s">
        <v>13</v>
      </c>
      <c r="G31" s="7">
        <v>675.77</v>
      </c>
      <c r="H31" s="6" t="str">
        <f t="shared" si="0"/>
        <v>Male</v>
      </c>
      <c r="I31" s="6" t="str">
        <f t="shared" si="1"/>
        <v>Missing</v>
      </c>
      <c r="J31" s="6" t="str">
        <f t="shared" si="2"/>
        <v>Teacher</v>
      </c>
      <c r="K31" s="6" t="str">
        <f t="shared" si="3"/>
        <v>Low</v>
      </c>
      <c r="L31" s="6">
        <f t="shared" si="4"/>
        <v>2025</v>
      </c>
      <c r="M31" s="6">
        <f t="shared" si="5"/>
        <v>3</v>
      </c>
    </row>
    <row r="32" spans="1:13">
      <c r="A32" s="6" t="s">
        <v>202</v>
      </c>
      <c r="B32" s="14">
        <v>45720</v>
      </c>
      <c r="C32" s="6" t="s">
        <v>17</v>
      </c>
      <c r="D32" s="6">
        <v>37</v>
      </c>
      <c r="E32" s="6" t="s">
        <v>9</v>
      </c>
      <c r="F32" s="6" t="s">
        <v>30</v>
      </c>
      <c r="G32" s="7">
        <v>1800.86</v>
      </c>
      <c r="H32" s="6" t="str">
        <f t="shared" si="0"/>
        <v>Female</v>
      </c>
      <c r="I32" s="6" t="str">
        <f t="shared" si="1"/>
        <v>Mogadishu</v>
      </c>
      <c r="J32" s="6" t="str">
        <f t="shared" si="2"/>
        <v>Business Owner</v>
      </c>
      <c r="K32" s="6" t="str">
        <f t="shared" si="3"/>
        <v>High</v>
      </c>
      <c r="L32" s="6">
        <f t="shared" si="4"/>
        <v>2025</v>
      </c>
      <c r="M32" s="6">
        <f t="shared" si="5"/>
        <v>3</v>
      </c>
    </row>
    <row r="33" spans="1:13">
      <c r="A33" s="6" t="s">
        <v>275</v>
      </c>
      <c r="B33" s="14">
        <v>45721</v>
      </c>
      <c r="C33" s="6" t="s">
        <v>317</v>
      </c>
      <c r="D33" s="6">
        <v>29</v>
      </c>
      <c r="E33" s="6" t="s">
        <v>9</v>
      </c>
      <c r="F33" s="6" t="s">
        <v>44</v>
      </c>
      <c r="G33" s="7">
        <v>1516.2</v>
      </c>
      <c r="H33" s="6" t="str">
        <f t="shared" si="0"/>
        <v>Missing</v>
      </c>
      <c r="I33" s="6" t="str">
        <f t="shared" si="1"/>
        <v>Mogadishu</v>
      </c>
      <c r="J33" s="6" t="str">
        <f t="shared" si="2"/>
        <v>Engineer</v>
      </c>
      <c r="K33" s="6" t="str">
        <f t="shared" si="3"/>
        <v>High</v>
      </c>
      <c r="L33" s="6">
        <f t="shared" si="4"/>
        <v>2025</v>
      </c>
      <c r="M33" s="6">
        <f t="shared" si="5"/>
        <v>3</v>
      </c>
    </row>
    <row r="34" spans="1:13">
      <c r="A34" s="6" t="s">
        <v>118</v>
      </c>
      <c r="B34" s="14">
        <v>45723</v>
      </c>
      <c r="C34" s="6" t="s">
        <v>317</v>
      </c>
      <c r="D34" s="6">
        <v>59</v>
      </c>
      <c r="E34" s="6" t="s">
        <v>15</v>
      </c>
      <c r="F34" s="6" t="s">
        <v>21</v>
      </c>
      <c r="G34" s="7">
        <v>952.9</v>
      </c>
      <c r="H34" s="6" t="str">
        <f t="shared" si="0"/>
        <v>Missing</v>
      </c>
      <c r="I34" s="6" t="str">
        <f t="shared" si="1"/>
        <v>Hargeisa</v>
      </c>
      <c r="J34" s="6" t="str">
        <f t="shared" si="2"/>
        <v>Self-Employed</v>
      </c>
      <c r="K34" s="6" t="str">
        <f t="shared" si="3"/>
        <v>Medium</v>
      </c>
      <c r="L34" s="6">
        <f t="shared" si="4"/>
        <v>2025</v>
      </c>
      <c r="M34" s="6">
        <f t="shared" si="5"/>
        <v>3</v>
      </c>
    </row>
    <row r="35" spans="1:13">
      <c r="B35" s="14">
        <v>45728</v>
      </c>
      <c r="C35" s="6" t="s">
        <v>8</v>
      </c>
      <c r="D35" s="6">
        <v>21</v>
      </c>
      <c r="E35" s="6" t="s">
        <v>39</v>
      </c>
      <c r="F35" s="6" t="s">
        <v>10</v>
      </c>
      <c r="G35" s="7">
        <v>1144.9100000000001</v>
      </c>
      <c r="H35" s="6" t="str">
        <f t="shared" si="0"/>
        <v>Male</v>
      </c>
      <c r="I35" s="6" t="str">
        <f t="shared" si="1"/>
        <v>Kismayo</v>
      </c>
      <c r="J35" s="6" t="str">
        <f t="shared" si="2"/>
        <v>Healthcare</v>
      </c>
      <c r="K35" s="6" t="str">
        <f t="shared" si="3"/>
        <v>Medium</v>
      </c>
      <c r="L35" s="6">
        <f t="shared" si="4"/>
        <v>2025</v>
      </c>
      <c r="M35" s="6">
        <f t="shared" si="5"/>
        <v>3</v>
      </c>
    </row>
    <row r="36" spans="1:13">
      <c r="A36" s="6" t="s">
        <v>70</v>
      </c>
      <c r="B36" s="14">
        <v>45729</v>
      </c>
      <c r="C36" s="6" t="s">
        <v>17</v>
      </c>
      <c r="D36" s="6">
        <v>44</v>
      </c>
      <c r="E36" s="6" t="s">
        <v>12</v>
      </c>
      <c r="F36" s="6" t="s">
        <v>44</v>
      </c>
      <c r="G36" s="7">
        <v>963.66</v>
      </c>
      <c r="H36" s="6" t="str">
        <f t="shared" si="0"/>
        <v>Female</v>
      </c>
      <c r="I36" s="6" t="str">
        <f t="shared" si="1"/>
        <v>Baidoa</v>
      </c>
      <c r="J36" s="6" t="str">
        <f t="shared" si="2"/>
        <v>Engineer</v>
      </c>
      <c r="K36" s="6" t="str">
        <f t="shared" si="3"/>
        <v>Medium</v>
      </c>
      <c r="L36" s="6">
        <f t="shared" si="4"/>
        <v>2025</v>
      </c>
      <c r="M36" s="6">
        <f t="shared" si="5"/>
        <v>3</v>
      </c>
    </row>
    <row r="37" spans="1:13">
      <c r="A37" s="6" t="s">
        <v>45</v>
      </c>
      <c r="B37" s="14">
        <v>45731</v>
      </c>
      <c r="C37" s="6" t="s">
        <v>8</v>
      </c>
      <c r="D37" s="6">
        <v>42</v>
      </c>
      <c r="E37" s="6" t="s">
        <v>9</v>
      </c>
      <c r="F37" s="6" t="s">
        <v>10</v>
      </c>
      <c r="G37" s="7">
        <v>1023.35</v>
      </c>
      <c r="H37" s="6" t="str">
        <f t="shared" si="0"/>
        <v>Male</v>
      </c>
      <c r="I37" s="6" t="str">
        <f t="shared" si="1"/>
        <v>Mogadishu</v>
      </c>
      <c r="J37" s="6" t="str">
        <f t="shared" si="2"/>
        <v>Healthcare</v>
      </c>
      <c r="K37" s="6" t="str">
        <f t="shared" si="3"/>
        <v>Medium</v>
      </c>
      <c r="L37" s="6">
        <f t="shared" si="4"/>
        <v>2025</v>
      </c>
      <c r="M37" s="6">
        <f t="shared" si="5"/>
        <v>3</v>
      </c>
    </row>
    <row r="38" spans="1:13">
      <c r="A38" s="6" t="s">
        <v>184</v>
      </c>
      <c r="B38" s="14">
        <v>45731</v>
      </c>
      <c r="C38" s="6" t="s">
        <v>17</v>
      </c>
      <c r="D38" s="6">
        <v>66</v>
      </c>
      <c r="E38" s="6" t="s">
        <v>15</v>
      </c>
      <c r="F38" s="6" t="s">
        <v>21</v>
      </c>
      <c r="G38" s="7">
        <v>457.6</v>
      </c>
      <c r="H38" s="6" t="str">
        <f t="shared" si="0"/>
        <v>Female</v>
      </c>
      <c r="I38" s="6" t="str">
        <f t="shared" si="1"/>
        <v>Hargeisa</v>
      </c>
      <c r="J38" s="6" t="str">
        <f t="shared" si="2"/>
        <v>Self-Employed</v>
      </c>
      <c r="K38" s="6" t="str">
        <f t="shared" si="3"/>
        <v>Low</v>
      </c>
      <c r="L38" s="6">
        <f t="shared" si="4"/>
        <v>2025</v>
      </c>
      <c r="M38" s="6">
        <f t="shared" si="5"/>
        <v>3</v>
      </c>
    </row>
    <row r="39" spans="1:13">
      <c r="A39" s="6" t="s">
        <v>268</v>
      </c>
      <c r="B39" s="14">
        <v>45732</v>
      </c>
      <c r="C39" s="6" t="s">
        <v>8</v>
      </c>
      <c r="D39" s="6">
        <v>21</v>
      </c>
      <c r="E39" s="6" t="s">
        <v>9</v>
      </c>
      <c r="F39" s="6" t="s">
        <v>318</v>
      </c>
      <c r="G39" s="7">
        <v>1300.93</v>
      </c>
      <c r="H39" s="6" t="str">
        <f t="shared" si="0"/>
        <v>Male</v>
      </c>
      <c r="I39" s="6" t="str">
        <f t="shared" si="1"/>
        <v>Mogadishu</v>
      </c>
      <c r="J39" s="6" t="str">
        <f t="shared" si="2"/>
        <v>Missing</v>
      </c>
      <c r="K39" s="6" t="str">
        <f t="shared" si="3"/>
        <v>Medium</v>
      </c>
      <c r="L39" s="6">
        <f t="shared" si="4"/>
        <v>2025</v>
      </c>
      <c r="M39" s="6">
        <f t="shared" si="5"/>
        <v>3</v>
      </c>
    </row>
    <row r="40" spans="1:13">
      <c r="A40" s="6" t="s">
        <v>212</v>
      </c>
      <c r="B40" s="14">
        <v>45734</v>
      </c>
      <c r="C40" s="6" t="s">
        <v>8</v>
      </c>
      <c r="D40" s="6">
        <v>32</v>
      </c>
      <c r="E40" s="6" t="s">
        <v>12</v>
      </c>
      <c r="F40" s="6" t="s">
        <v>23</v>
      </c>
      <c r="G40" s="7">
        <v>707.01</v>
      </c>
      <c r="H40" s="6" t="str">
        <f t="shared" si="0"/>
        <v>Male</v>
      </c>
      <c r="I40" s="6" t="str">
        <f t="shared" si="1"/>
        <v>Baidoa</v>
      </c>
      <c r="J40" s="6" t="str">
        <f t="shared" si="2"/>
        <v>Civil Servant</v>
      </c>
      <c r="K40" s="6" t="str">
        <f t="shared" si="3"/>
        <v>Low</v>
      </c>
      <c r="L40" s="6">
        <f t="shared" si="4"/>
        <v>2025</v>
      </c>
      <c r="M40" s="6">
        <f t="shared" si="5"/>
        <v>3</v>
      </c>
    </row>
    <row r="41" spans="1:13">
      <c r="A41" s="6" t="s">
        <v>126</v>
      </c>
      <c r="B41" s="14">
        <v>45735</v>
      </c>
      <c r="C41" s="6" t="s">
        <v>17</v>
      </c>
      <c r="D41" s="6">
        <v>61</v>
      </c>
      <c r="E41" s="6" t="s">
        <v>317</v>
      </c>
      <c r="F41" s="6" t="s">
        <v>18</v>
      </c>
      <c r="G41" s="7">
        <v>265.87</v>
      </c>
      <c r="H41" s="6" t="str">
        <f t="shared" si="0"/>
        <v>Female</v>
      </c>
      <c r="I41" s="6" t="str">
        <f t="shared" si="1"/>
        <v>Missing</v>
      </c>
      <c r="J41" s="6" t="str">
        <f t="shared" si="2"/>
        <v>Student</v>
      </c>
      <c r="K41" s="6" t="str">
        <f t="shared" si="3"/>
        <v>Low</v>
      </c>
      <c r="L41" s="6">
        <f t="shared" si="4"/>
        <v>2025</v>
      </c>
      <c r="M41" s="6">
        <f t="shared" si="5"/>
        <v>3</v>
      </c>
    </row>
    <row r="42" spans="1:13">
      <c r="A42" s="6" t="s">
        <v>301</v>
      </c>
      <c r="B42" s="14">
        <v>45741</v>
      </c>
      <c r="C42" s="6" t="s">
        <v>17</v>
      </c>
      <c r="D42" s="6">
        <v>48</v>
      </c>
      <c r="E42" s="6" t="s">
        <v>12</v>
      </c>
      <c r="F42" s="6" t="s">
        <v>23</v>
      </c>
      <c r="G42" s="7">
        <v>523.37</v>
      </c>
      <c r="H42" s="6" t="str">
        <f t="shared" si="0"/>
        <v>Female</v>
      </c>
      <c r="I42" s="6" t="str">
        <f t="shared" si="1"/>
        <v>Baidoa</v>
      </c>
      <c r="J42" s="6" t="str">
        <f t="shared" si="2"/>
        <v>Civil Servant</v>
      </c>
      <c r="K42" s="6" t="str">
        <f t="shared" si="3"/>
        <v>Low</v>
      </c>
      <c r="L42" s="6">
        <f t="shared" si="4"/>
        <v>2025</v>
      </c>
      <c r="M42" s="6">
        <f t="shared" si="5"/>
        <v>3</v>
      </c>
    </row>
    <row r="43" spans="1:13">
      <c r="A43" s="6" t="s">
        <v>84</v>
      </c>
      <c r="B43" s="14">
        <v>45742</v>
      </c>
      <c r="C43" s="6" t="s">
        <v>17</v>
      </c>
      <c r="D43" s="6">
        <v>22</v>
      </c>
      <c r="E43" s="6" t="s">
        <v>15</v>
      </c>
      <c r="F43" s="6" t="s">
        <v>30</v>
      </c>
      <c r="G43" s="7">
        <v>1984.53</v>
      </c>
      <c r="H43" s="6" t="str">
        <f t="shared" si="0"/>
        <v>Female</v>
      </c>
      <c r="I43" s="6" t="str">
        <f t="shared" si="1"/>
        <v>Hargeisa</v>
      </c>
      <c r="J43" s="6" t="str">
        <f t="shared" si="2"/>
        <v>Business Owner</v>
      </c>
      <c r="K43" s="6" t="str">
        <f t="shared" si="3"/>
        <v>High</v>
      </c>
      <c r="L43" s="6">
        <f t="shared" si="4"/>
        <v>2025</v>
      </c>
      <c r="M43" s="6">
        <f t="shared" si="5"/>
        <v>3</v>
      </c>
    </row>
    <row r="44" spans="1:13">
      <c r="A44" s="6" t="s">
        <v>257</v>
      </c>
      <c r="B44" s="14">
        <v>45744</v>
      </c>
      <c r="C44" s="6" t="s">
        <v>8</v>
      </c>
      <c r="D44" s="6">
        <v>20</v>
      </c>
      <c r="E44" s="6" t="s">
        <v>15</v>
      </c>
      <c r="F44" s="6" t="s">
        <v>23</v>
      </c>
      <c r="G44" s="7">
        <v>389.22</v>
      </c>
      <c r="H44" s="6" t="str">
        <f t="shared" si="0"/>
        <v>Male</v>
      </c>
      <c r="I44" s="6" t="str">
        <f t="shared" si="1"/>
        <v>Hargeisa</v>
      </c>
      <c r="J44" s="6" t="str">
        <f t="shared" si="2"/>
        <v>Civil Servant</v>
      </c>
      <c r="K44" s="6" t="str">
        <f t="shared" si="3"/>
        <v>Low</v>
      </c>
      <c r="L44" s="6">
        <f t="shared" si="4"/>
        <v>2025</v>
      </c>
      <c r="M44" s="6">
        <f t="shared" si="5"/>
        <v>3</v>
      </c>
    </row>
    <row r="45" spans="1:13">
      <c r="A45" s="6" t="s">
        <v>76</v>
      </c>
      <c r="B45" s="14">
        <v>45744</v>
      </c>
      <c r="C45" s="6" t="s">
        <v>8</v>
      </c>
      <c r="D45" s="6">
        <v>39</v>
      </c>
      <c r="E45" s="6" t="s">
        <v>9</v>
      </c>
      <c r="F45" s="6" t="s">
        <v>21</v>
      </c>
      <c r="G45" s="7">
        <v>10013</v>
      </c>
      <c r="H45" s="6" t="str">
        <f t="shared" si="0"/>
        <v>Male</v>
      </c>
      <c r="I45" s="6" t="str">
        <f t="shared" si="1"/>
        <v>Mogadishu</v>
      </c>
      <c r="J45" s="6" t="str">
        <f t="shared" si="2"/>
        <v>Self-Employed</v>
      </c>
      <c r="K45" s="6" t="str">
        <f t="shared" si="3"/>
        <v>High</v>
      </c>
      <c r="L45" s="6">
        <f t="shared" si="4"/>
        <v>2025</v>
      </c>
      <c r="M45" s="6">
        <f t="shared" si="5"/>
        <v>3</v>
      </c>
    </row>
    <row r="46" spans="1:13">
      <c r="A46" s="6" t="s">
        <v>306</v>
      </c>
      <c r="B46" s="14">
        <v>45745</v>
      </c>
      <c r="C46" s="6" t="s">
        <v>17</v>
      </c>
      <c r="D46" s="6">
        <v>32</v>
      </c>
      <c r="E46" s="6" t="s">
        <v>9</v>
      </c>
      <c r="F46" s="6" t="s">
        <v>307</v>
      </c>
      <c r="G46" s="7">
        <v>1235.8900000000001</v>
      </c>
      <c r="H46" s="6" t="str">
        <f t="shared" si="0"/>
        <v>Female</v>
      </c>
      <c r="I46" s="6" t="str">
        <f t="shared" si="1"/>
        <v>Mogadishu</v>
      </c>
      <c r="J46" s="6" t="str">
        <f t="shared" si="2"/>
        <v>Self-Employed</v>
      </c>
      <c r="K46" s="6" t="str">
        <f t="shared" si="3"/>
        <v>Medium</v>
      </c>
      <c r="L46" s="6">
        <f t="shared" si="4"/>
        <v>2025</v>
      </c>
      <c r="M46" s="6">
        <f t="shared" si="5"/>
        <v>3</v>
      </c>
    </row>
    <row r="47" spans="1:13">
      <c r="A47" s="6" t="s">
        <v>31</v>
      </c>
      <c r="B47" s="14">
        <v>45747</v>
      </c>
      <c r="C47" s="6" t="s">
        <v>17</v>
      </c>
      <c r="D47" s="6">
        <v>27</v>
      </c>
      <c r="E47" s="6" t="s">
        <v>9</v>
      </c>
      <c r="F47" s="6" t="s">
        <v>318</v>
      </c>
      <c r="G47" s="7">
        <v>863.68</v>
      </c>
      <c r="H47" s="6" t="str">
        <f t="shared" si="0"/>
        <v>Female</v>
      </c>
      <c r="I47" s="6" t="str">
        <f t="shared" si="1"/>
        <v>Mogadishu</v>
      </c>
      <c r="J47" s="6" t="str">
        <f t="shared" si="2"/>
        <v>Missing</v>
      </c>
      <c r="K47" s="6" t="str">
        <f t="shared" si="3"/>
        <v>Medium</v>
      </c>
      <c r="L47" s="6">
        <f t="shared" si="4"/>
        <v>2025</v>
      </c>
      <c r="M47" s="6">
        <f t="shared" si="5"/>
        <v>3</v>
      </c>
    </row>
    <row r="48" spans="1:13">
      <c r="A48" s="6" t="s">
        <v>228</v>
      </c>
      <c r="B48" s="14">
        <v>45749</v>
      </c>
      <c r="C48" s="6" t="s">
        <v>8</v>
      </c>
      <c r="D48" s="6">
        <v>42</v>
      </c>
      <c r="E48" s="6" t="s">
        <v>9</v>
      </c>
      <c r="F48" s="6" t="s">
        <v>30</v>
      </c>
      <c r="G48" s="7">
        <v>1091.0999999999999</v>
      </c>
      <c r="H48" s="6" t="str">
        <f t="shared" si="0"/>
        <v>Male</v>
      </c>
      <c r="I48" s="6" t="str">
        <f t="shared" si="1"/>
        <v>Mogadishu</v>
      </c>
      <c r="J48" s="6" t="str">
        <f t="shared" si="2"/>
        <v>Business Owner</v>
      </c>
      <c r="K48" s="6" t="str">
        <f t="shared" si="3"/>
        <v>Medium</v>
      </c>
      <c r="L48" s="6">
        <f t="shared" si="4"/>
        <v>2025</v>
      </c>
      <c r="M48" s="6">
        <f t="shared" si="5"/>
        <v>4</v>
      </c>
    </row>
    <row r="49" spans="1:13">
      <c r="A49" s="6" t="s">
        <v>310</v>
      </c>
      <c r="B49" s="14">
        <v>45750</v>
      </c>
      <c r="C49" s="6" t="s">
        <v>8</v>
      </c>
      <c r="D49" s="6">
        <v>49</v>
      </c>
      <c r="E49" s="6" t="s">
        <v>20</v>
      </c>
      <c r="F49" s="6" t="s">
        <v>18</v>
      </c>
      <c r="G49" s="7">
        <v>923.87</v>
      </c>
      <c r="H49" s="6" t="str">
        <f t="shared" si="0"/>
        <v>Male</v>
      </c>
      <c r="I49" s="6" t="str">
        <f t="shared" si="1"/>
        <v>Bosaso</v>
      </c>
      <c r="J49" s="6" t="str">
        <f t="shared" si="2"/>
        <v>Student</v>
      </c>
      <c r="K49" s="6" t="str">
        <f t="shared" si="3"/>
        <v>Medium</v>
      </c>
      <c r="L49" s="6">
        <f t="shared" si="4"/>
        <v>2025</v>
      </c>
      <c r="M49" s="6">
        <f t="shared" si="5"/>
        <v>4</v>
      </c>
    </row>
    <row r="50" spans="1:13">
      <c r="A50" s="6" t="s">
        <v>273</v>
      </c>
      <c r="B50" s="14">
        <v>45752</v>
      </c>
      <c r="C50" s="6" t="s">
        <v>17</v>
      </c>
      <c r="D50" s="6">
        <v>39</v>
      </c>
      <c r="E50" s="6" t="s">
        <v>74</v>
      </c>
      <c r="F50" s="6" t="s">
        <v>23</v>
      </c>
      <c r="G50" s="7">
        <v>396.11</v>
      </c>
      <c r="H50" s="6" t="str">
        <f t="shared" si="0"/>
        <v>Female</v>
      </c>
      <c r="I50" s="6" t="str">
        <f t="shared" si="1"/>
        <v>Garowe</v>
      </c>
      <c r="J50" s="6" t="str">
        <f t="shared" si="2"/>
        <v>Civil Servant</v>
      </c>
      <c r="K50" s="6" t="str">
        <f t="shared" si="3"/>
        <v>Low</v>
      </c>
      <c r="L50" s="6">
        <f t="shared" si="4"/>
        <v>2025</v>
      </c>
      <c r="M50" s="6">
        <f t="shared" si="5"/>
        <v>4</v>
      </c>
    </row>
    <row r="51" spans="1:13">
      <c r="A51" s="6" t="s">
        <v>162</v>
      </c>
      <c r="B51" s="14">
        <v>45752</v>
      </c>
      <c r="C51" s="6" t="s">
        <v>8</v>
      </c>
      <c r="D51" s="6">
        <v>44</v>
      </c>
      <c r="E51" s="6" t="s">
        <v>39</v>
      </c>
      <c r="F51" s="6" t="s">
        <v>30</v>
      </c>
      <c r="G51" s="7">
        <v>1852.82</v>
      </c>
      <c r="H51" s="6" t="str">
        <f t="shared" si="0"/>
        <v>Male</v>
      </c>
      <c r="I51" s="6" t="str">
        <f t="shared" si="1"/>
        <v>Kismayo</v>
      </c>
      <c r="J51" s="6" t="str">
        <f t="shared" si="2"/>
        <v>Business Owner</v>
      </c>
      <c r="K51" s="6" t="str">
        <f t="shared" si="3"/>
        <v>High</v>
      </c>
      <c r="L51" s="6">
        <f t="shared" si="4"/>
        <v>2025</v>
      </c>
      <c r="M51" s="6">
        <f t="shared" si="5"/>
        <v>4</v>
      </c>
    </row>
    <row r="52" spans="1:13">
      <c r="A52" s="6" t="s">
        <v>186</v>
      </c>
      <c r="B52" s="14">
        <v>45753</v>
      </c>
      <c r="C52" s="6" t="s">
        <v>17</v>
      </c>
      <c r="D52" s="6">
        <v>48</v>
      </c>
      <c r="E52" s="6" t="s">
        <v>74</v>
      </c>
      <c r="F52" s="6" t="s">
        <v>23</v>
      </c>
      <c r="G52" s="7">
        <v>746.26</v>
      </c>
      <c r="H52" s="6" t="str">
        <f t="shared" si="0"/>
        <v>Female</v>
      </c>
      <c r="I52" s="6" t="str">
        <f t="shared" si="1"/>
        <v>Garowe</v>
      </c>
      <c r="J52" s="6" t="str">
        <f t="shared" si="2"/>
        <v>Civil Servant</v>
      </c>
      <c r="K52" s="6" t="str">
        <f t="shared" si="3"/>
        <v>Low</v>
      </c>
      <c r="L52" s="6">
        <f t="shared" si="4"/>
        <v>2025</v>
      </c>
      <c r="M52" s="6">
        <f t="shared" si="5"/>
        <v>4</v>
      </c>
    </row>
    <row r="53" spans="1:13">
      <c r="A53" s="6" t="s">
        <v>113</v>
      </c>
      <c r="B53" s="14">
        <v>45757</v>
      </c>
      <c r="C53" s="6" t="s">
        <v>17</v>
      </c>
      <c r="D53" s="6">
        <v>33</v>
      </c>
      <c r="E53" s="6" t="s">
        <v>74</v>
      </c>
      <c r="F53" s="6" t="s">
        <v>23</v>
      </c>
      <c r="G53" s="7">
        <v>661.71</v>
      </c>
      <c r="H53" s="6" t="str">
        <f t="shared" si="0"/>
        <v>Female</v>
      </c>
      <c r="I53" s="6" t="str">
        <f t="shared" si="1"/>
        <v>Garowe</v>
      </c>
      <c r="J53" s="6" t="str">
        <f t="shared" si="2"/>
        <v>Civil Servant</v>
      </c>
      <c r="K53" s="6" t="str">
        <f t="shared" si="3"/>
        <v>Low</v>
      </c>
      <c r="L53" s="6">
        <f t="shared" si="4"/>
        <v>2025</v>
      </c>
      <c r="M53" s="6">
        <f t="shared" si="5"/>
        <v>4</v>
      </c>
    </row>
    <row r="54" spans="1:13">
      <c r="A54" s="6" t="s">
        <v>254</v>
      </c>
      <c r="B54" s="14">
        <v>45758</v>
      </c>
      <c r="C54" s="6" t="s">
        <v>317</v>
      </c>
      <c r="D54" s="6">
        <v>40</v>
      </c>
      <c r="E54" s="6" t="s">
        <v>39</v>
      </c>
      <c r="F54" s="6" t="s">
        <v>23</v>
      </c>
      <c r="G54" s="7">
        <v>641.59</v>
      </c>
      <c r="H54" s="6" t="str">
        <f t="shared" si="0"/>
        <v>Missing</v>
      </c>
      <c r="I54" s="6" t="str">
        <f t="shared" si="1"/>
        <v>Kismayo</v>
      </c>
      <c r="J54" s="6" t="str">
        <f t="shared" si="2"/>
        <v>Civil Servant</v>
      </c>
      <c r="K54" s="6" t="str">
        <f t="shared" si="3"/>
        <v>Low</v>
      </c>
      <c r="L54" s="6">
        <f t="shared" si="4"/>
        <v>2025</v>
      </c>
      <c r="M54" s="6">
        <f t="shared" si="5"/>
        <v>4</v>
      </c>
    </row>
    <row r="55" spans="1:13">
      <c r="A55" s="6" t="s">
        <v>153</v>
      </c>
      <c r="B55" s="14">
        <v>45763</v>
      </c>
      <c r="C55" s="6" t="s">
        <v>317</v>
      </c>
      <c r="D55" s="6">
        <v>41</v>
      </c>
      <c r="E55" s="6" t="s">
        <v>20</v>
      </c>
      <c r="F55" s="6" t="s">
        <v>10</v>
      </c>
      <c r="G55" s="7">
        <v>10006</v>
      </c>
      <c r="H55" s="6" t="str">
        <f t="shared" si="0"/>
        <v>Missing</v>
      </c>
      <c r="I55" s="6" t="str">
        <f t="shared" si="1"/>
        <v>Bosaso</v>
      </c>
      <c r="J55" s="6" t="str">
        <f t="shared" si="2"/>
        <v>Healthcare</v>
      </c>
      <c r="K55" s="6" t="str">
        <f t="shared" si="3"/>
        <v>High</v>
      </c>
      <c r="L55" s="6">
        <f t="shared" si="4"/>
        <v>2025</v>
      </c>
      <c r="M55" s="6">
        <f t="shared" si="5"/>
        <v>4</v>
      </c>
    </row>
    <row r="56" spans="1:13">
      <c r="A56" s="6" t="s">
        <v>128</v>
      </c>
      <c r="B56" s="14">
        <v>45763</v>
      </c>
      <c r="C56" s="6" t="s">
        <v>17</v>
      </c>
      <c r="D56" s="6">
        <v>65</v>
      </c>
      <c r="E56" s="6" t="s">
        <v>9</v>
      </c>
      <c r="F56" s="6" t="s">
        <v>13</v>
      </c>
      <c r="G56" s="7">
        <v>799.53</v>
      </c>
      <c r="H56" s="6" t="str">
        <f t="shared" si="0"/>
        <v>Female</v>
      </c>
      <c r="I56" s="6" t="str">
        <f t="shared" si="1"/>
        <v>Mogadishu</v>
      </c>
      <c r="J56" s="6" t="str">
        <f t="shared" si="2"/>
        <v>Teacher</v>
      </c>
      <c r="K56" s="6" t="str">
        <f t="shared" si="3"/>
        <v>Low</v>
      </c>
      <c r="L56" s="6">
        <f t="shared" si="4"/>
        <v>2025</v>
      </c>
      <c r="M56" s="6">
        <f t="shared" si="5"/>
        <v>4</v>
      </c>
    </row>
    <row r="57" spans="1:13">
      <c r="A57" s="6" t="s">
        <v>220</v>
      </c>
      <c r="B57" s="14">
        <v>45765</v>
      </c>
      <c r="C57" s="6" t="s">
        <v>8</v>
      </c>
      <c r="D57" s="6">
        <v>44</v>
      </c>
      <c r="E57" s="6" t="s">
        <v>20</v>
      </c>
      <c r="F57" s="6" t="s">
        <v>21</v>
      </c>
      <c r="G57" s="7">
        <v>923.87</v>
      </c>
      <c r="H57" s="6" t="str">
        <f t="shared" si="0"/>
        <v>Male</v>
      </c>
      <c r="I57" s="6" t="str">
        <f t="shared" si="1"/>
        <v>Bosaso</v>
      </c>
      <c r="J57" s="6" t="str">
        <f t="shared" si="2"/>
        <v>Self-Employed</v>
      </c>
      <c r="K57" s="6" t="str">
        <f t="shared" si="3"/>
        <v>Medium</v>
      </c>
      <c r="L57" s="6">
        <f t="shared" si="4"/>
        <v>2025</v>
      </c>
      <c r="M57" s="6">
        <f t="shared" si="5"/>
        <v>4</v>
      </c>
    </row>
    <row r="58" spans="1:13">
      <c r="A58" s="6" t="s">
        <v>120</v>
      </c>
      <c r="B58" s="14">
        <v>45767</v>
      </c>
      <c r="C58" s="6" t="s">
        <v>8</v>
      </c>
      <c r="D58" s="6">
        <v>37</v>
      </c>
      <c r="E58" s="6" t="s">
        <v>74</v>
      </c>
      <c r="F58" s="6" t="s">
        <v>30</v>
      </c>
      <c r="G58" s="7">
        <v>1470.86</v>
      </c>
      <c r="H58" s="6" t="str">
        <f t="shared" si="0"/>
        <v>Male</v>
      </c>
      <c r="I58" s="6" t="str">
        <f t="shared" si="1"/>
        <v>Garowe</v>
      </c>
      <c r="J58" s="6" t="str">
        <f t="shared" si="2"/>
        <v>Business Owner</v>
      </c>
      <c r="K58" s="6" t="str">
        <f t="shared" si="3"/>
        <v>Medium</v>
      </c>
      <c r="L58" s="6">
        <f t="shared" si="4"/>
        <v>2025</v>
      </c>
      <c r="M58" s="6">
        <f t="shared" si="5"/>
        <v>4</v>
      </c>
    </row>
    <row r="59" spans="1:13">
      <c r="A59" s="6" t="s">
        <v>148</v>
      </c>
      <c r="B59" s="14">
        <v>45768</v>
      </c>
      <c r="C59" s="6" t="s">
        <v>8</v>
      </c>
      <c r="D59" s="6">
        <v>39</v>
      </c>
      <c r="E59" s="6" t="s">
        <v>39</v>
      </c>
      <c r="F59" s="6" t="s">
        <v>18</v>
      </c>
      <c r="G59" s="7">
        <v>120.06</v>
      </c>
      <c r="H59" s="6" t="str">
        <f t="shared" si="0"/>
        <v>Male</v>
      </c>
      <c r="I59" s="6" t="str">
        <f t="shared" si="1"/>
        <v>Kismayo</v>
      </c>
      <c r="J59" s="6" t="str">
        <f t="shared" si="2"/>
        <v>Student</v>
      </c>
      <c r="K59" s="6" t="str">
        <f t="shared" si="3"/>
        <v>Low</v>
      </c>
      <c r="L59" s="6">
        <f t="shared" si="4"/>
        <v>2025</v>
      </c>
      <c r="M59" s="6">
        <f t="shared" si="5"/>
        <v>4</v>
      </c>
    </row>
    <row r="60" spans="1:13">
      <c r="A60" s="6" t="s">
        <v>94</v>
      </c>
      <c r="B60" s="14">
        <v>45771</v>
      </c>
      <c r="C60" s="6" t="s">
        <v>8</v>
      </c>
      <c r="D60" s="6">
        <v>38</v>
      </c>
      <c r="E60" s="6" t="s">
        <v>9</v>
      </c>
      <c r="F60" s="6" t="s">
        <v>13</v>
      </c>
      <c r="G60" s="7">
        <v>680.77</v>
      </c>
      <c r="H60" s="6" t="str">
        <f t="shared" si="0"/>
        <v>Male</v>
      </c>
      <c r="I60" s="6" t="str">
        <f t="shared" si="1"/>
        <v>Mogadishu</v>
      </c>
      <c r="J60" s="6" t="str">
        <f t="shared" si="2"/>
        <v>Teacher</v>
      </c>
      <c r="K60" s="6" t="str">
        <f t="shared" si="3"/>
        <v>Low</v>
      </c>
      <c r="L60" s="6">
        <f t="shared" si="4"/>
        <v>2025</v>
      </c>
      <c r="M60" s="6">
        <f t="shared" si="5"/>
        <v>4</v>
      </c>
    </row>
    <row r="61" spans="1:13">
      <c r="A61" s="6" t="s">
        <v>166</v>
      </c>
      <c r="B61" s="14">
        <v>45771</v>
      </c>
      <c r="C61" s="6" t="s">
        <v>17</v>
      </c>
      <c r="D61" s="6">
        <v>44</v>
      </c>
      <c r="E61" s="6" t="s">
        <v>74</v>
      </c>
      <c r="F61" s="6" t="s">
        <v>13</v>
      </c>
      <c r="G61" s="7">
        <v>758.44</v>
      </c>
      <c r="H61" s="6" t="str">
        <f t="shared" si="0"/>
        <v>Female</v>
      </c>
      <c r="I61" s="6" t="str">
        <f t="shared" si="1"/>
        <v>Garowe</v>
      </c>
      <c r="J61" s="6" t="str">
        <f t="shared" si="2"/>
        <v>Teacher</v>
      </c>
      <c r="K61" s="6" t="str">
        <f t="shared" si="3"/>
        <v>Low</v>
      </c>
      <c r="L61" s="6">
        <f t="shared" si="4"/>
        <v>2025</v>
      </c>
      <c r="M61" s="6">
        <f t="shared" si="5"/>
        <v>4</v>
      </c>
    </row>
    <row r="62" spans="1:13">
      <c r="A62" s="6" t="s">
        <v>245</v>
      </c>
      <c r="B62" s="14">
        <v>45771</v>
      </c>
      <c r="C62" s="6" t="s">
        <v>8</v>
      </c>
      <c r="D62" s="6">
        <v>47</v>
      </c>
      <c r="E62" s="6" t="s">
        <v>39</v>
      </c>
      <c r="F62" s="6" t="s">
        <v>18</v>
      </c>
      <c r="G62" s="7">
        <v>129.81</v>
      </c>
      <c r="H62" s="6" t="str">
        <f t="shared" si="0"/>
        <v>Male</v>
      </c>
      <c r="I62" s="6" t="str">
        <f t="shared" si="1"/>
        <v>Kismayo</v>
      </c>
      <c r="J62" s="6" t="str">
        <f t="shared" si="2"/>
        <v>Student</v>
      </c>
      <c r="K62" s="6" t="str">
        <f t="shared" si="3"/>
        <v>Low</v>
      </c>
      <c r="L62" s="6">
        <f t="shared" si="4"/>
        <v>2025</v>
      </c>
      <c r="M62" s="6">
        <f t="shared" si="5"/>
        <v>4</v>
      </c>
    </row>
    <row r="63" spans="1:13">
      <c r="A63" s="6" t="s">
        <v>82</v>
      </c>
      <c r="B63" s="14">
        <v>45772</v>
      </c>
      <c r="C63" s="6" t="s">
        <v>8</v>
      </c>
      <c r="D63" s="6">
        <v>25</v>
      </c>
      <c r="E63" s="6" t="s">
        <v>9</v>
      </c>
      <c r="F63" s="6" t="s">
        <v>30</v>
      </c>
      <c r="G63" s="7">
        <v>930.93</v>
      </c>
      <c r="H63" s="6" t="str">
        <f t="shared" si="0"/>
        <v>Male</v>
      </c>
      <c r="I63" s="6" t="str">
        <f t="shared" si="1"/>
        <v>Mogadishu</v>
      </c>
      <c r="J63" s="6" t="str">
        <f t="shared" si="2"/>
        <v>Business Owner</v>
      </c>
      <c r="K63" s="6" t="str">
        <f t="shared" si="3"/>
        <v>Medium</v>
      </c>
      <c r="L63" s="6">
        <f t="shared" si="4"/>
        <v>2025</v>
      </c>
      <c r="M63" s="6">
        <f t="shared" si="5"/>
        <v>4</v>
      </c>
    </row>
    <row r="64" spans="1:13">
      <c r="A64" s="6" t="s">
        <v>281</v>
      </c>
      <c r="B64" s="14">
        <v>45772</v>
      </c>
      <c r="C64" s="6" t="s">
        <v>8</v>
      </c>
      <c r="D64" s="6">
        <v>56</v>
      </c>
      <c r="E64" s="6" t="s">
        <v>9</v>
      </c>
      <c r="F64" s="6" t="s">
        <v>21</v>
      </c>
      <c r="G64" s="7">
        <v>1318.45</v>
      </c>
      <c r="H64" s="6" t="str">
        <f t="shared" si="0"/>
        <v>Male</v>
      </c>
      <c r="I64" s="6" t="str">
        <f t="shared" si="1"/>
        <v>Mogadishu</v>
      </c>
      <c r="J64" s="6" t="str">
        <f t="shared" si="2"/>
        <v>Self-Employed</v>
      </c>
      <c r="K64" s="6" t="str">
        <f t="shared" si="3"/>
        <v>Medium</v>
      </c>
      <c r="L64" s="6">
        <f t="shared" si="4"/>
        <v>2025</v>
      </c>
      <c r="M64" s="6">
        <f t="shared" si="5"/>
        <v>4</v>
      </c>
    </row>
    <row r="65" spans="1:13">
      <c r="B65" s="14">
        <v>45773</v>
      </c>
      <c r="C65" s="6" t="s">
        <v>8</v>
      </c>
      <c r="D65" s="6">
        <v>38</v>
      </c>
      <c r="E65" s="6" t="s">
        <v>9</v>
      </c>
      <c r="F65" s="6" t="s">
        <v>13</v>
      </c>
      <c r="G65" s="7">
        <v>920.19</v>
      </c>
      <c r="H65" s="6" t="str">
        <f t="shared" si="0"/>
        <v>Male</v>
      </c>
      <c r="I65" s="6" t="str">
        <f t="shared" si="1"/>
        <v>Mogadishu</v>
      </c>
      <c r="J65" s="6" t="str">
        <f t="shared" si="2"/>
        <v>Teacher</v>
      </c>
      <c r="K65" s="6" t="str">
        <f t="shared" si="3"/>
        <v>Medium</v>
      </c>
      <c r="L65" s="6">
        <f t="shared" si="4"/>
        <v>2025</v>
      </c>
      <c r="M65" s="6">
        <f t="shared" si="5"/>
        <v>4</v>
      </c>
    </row>
    <row r="66" spans="1:13">
      <c r="A66" s="6" t="s">
        <v>43</v>
      </c>
      <c r="B66" s="14">
        <v>45773</v>
      </c>
      <c r="C66" s="6" t="s">
        <v>17</v>
      </c>
      <c r="D66" s="6">
        <v>61</v>
      </c>
      <c r="E66" s="6" t="s">
        <v>9</v>
      </c>
      <c r="F66" s="6" t="s">
        <v>44</v>
      </c>
      <c r="G66" s="7">
        <v>998.38</v>
      </c>
      <c r="H66" s="6" t="str">
        <f t="shared" ref="H66:H129" si="6">PROPER(TRIM(C66))</f>
        <v>Female</v>
      </c>
      <c r="I66" s="6" t="str">
        <f t="shared" ref="I66:I129" si="7">PROPER(TRIM(E66))</f>
        <v>Mogadishu</v>
      </c>
      <c r="J66" s="6" t="str">
        <f t="shared" ref="J66:J129" si="8">PROPER(TRIM(SUBSTITUTE(F66,"CS","Civil Servant")))</f>
        <v>Engineer</v>
      </c>
      <c r="K66" s="6" t="str">
        <f t="shared" ref="K66:K129" si="9">IF(G66&gt;=1500,"High",IF(G66&gt;=800,"Medium","Low"))</f>
        <v>Medium</v>
      </c>
      <c r="L66" s="6">
        <f t="shared" ref="L66:L129" si="10">IF(ISNUMBER(B66),YEAR(B66),"")</f>
        <v>2025</v>
      </c>
      <c r="M66" s="6">
        <f t="shared" ref="M66:M129" si="11">IF(ISNUMBER(B66),MONTH(B66),"")</f>
        <v>4</v>
      </c>
    </row>
    <row r="67" spans="1:13">
      <c r="A67" s="6" t="s">
        <v>302</v>
      </c>
      <c r="B67" s="14">
        <v>45775</v>
      </c>
      <c r="C67" s="6" t="s">
        <v>17</v>
      </c>
      <c r="D67" s="6">
        <v>58</v>
      </c>
      <c r="E67" s="6" t="s">
        <v>39</v>
      </c>
      <c r="F67" s="6" t="s">
        <v>44</v>
      </c>
      <c r="G67" s="7">
        <v>622.54999999999995</v>
      </c>
      <c r="H67" s="6" t="str">
        <f t="shared" si="6"/>
        <v>Female</v>
      </c>
      <c r="I67" s="6" t="str">
        <f t="shared" si="7"/>
        <v>Kismayo</v>
      </c>
      <c r="J67" s="6" t="str">
        <f t="shared" si="8"/>
        <v>Engineer</v>
      </c>
      <c r="K67" s="6" t="str">
        <f t="shared" si="9"/>
        <v>Low</v>
      </c>
      <c r="L67" s="6">
        <f t="shared" si="10"/>
        <v>2025</v>
      </c>
      <c r="M67" s="6">
        <f t="shared" si="11"/>
        <v>4</v>
      </c>
    </row>
    <row r="68" spans="1:13">
      <c r="A68" s="6" t="s">
        <v>253</v>
      </c>
      <c r="B68" s="14">
        <v>45776</v>
      </c>
      <c r="C68" s="6" t="s">
        <v>17</v>
      </c>
      <c r="D68" s="6">
        <v>43</v>
      </c>
      <c r="E68" s="6" t="s">
        <v>39</v>
      </c>
      <c r="F68" s="6" t="s">
        <v>44</v>
      </c>
      <c r="G68" s="7">
        <v>781.63</v>
      </c>
      <c r="H68" s="6" t="str">
        <f t="shared" si="6"/>
        <v>Female</v>
      </c>
      <c r="I68" s="6" t="str">
        <f t="shared" si="7"/>
        <v>Kismayo</v>
      </c>
      <c r="J68" s="6" t="str">
        <f t="shared" si="8"/>
        <v>Engineer</v>
      </c>
      <c r="K68" s="6" t="str">
        <f t="shared" si="9"/>
        <v>Low</v>
      </c>
      <c r="L68" s="6">
        <f t="shared" si="10"/>
        <v>2025</v>
      </c>
      <c r="M68" s="6">
        <f t="shared" si="11"/>
        <v>4</v>
      </c>
    </row>
    <row r="69" spans="1:13">
      <c r="A69" s="6" t="s">
        <v>129</v>
      </c>
      <c r="B69" s="14">
        <v>45777</v>
      </c>
      <c r="C69" s="6" t="s">
        <v>17</v>
      </c>
      <c r="D69" s="6">
        <v>41</v>
      </c>
      <c r="E69" s="6" t="s">
        <v>317</v>
      </c>
      <c r="F69" s="6" t="s">
        <v>10</v>
      </c>
      <c r="G69" s="7">
        <v>1081.02</v>
      </c>
      <c r="H69" s="6" t="str">
        <f t="shared" si="6"/>
        <v>Female</v>
      </c>
      <c r="I69" s="6" t="str">
        <f t="shared" si="7"/>
        <v>Missing</v>
      </c>
      <c r="J69" s="6" t="str">
        <f t="shared" si="8"/>
        <v>Healthcare</v>
      </c>
      <c r="K69" s="6" t="str">
        <f t="shared" si="9"/>
        <v>Medium</v>
      </c>
      <c r="L69" s="6">
        <f t="shared" si="10"/>
        <v>2025</v>
      </c>
      <c r="M69" s="6">
        <f t="shared" si="11"/>
        <v>4</v>
      </c>
    </row>
    <row r="70" spans="1:13">
      <c r="A70" s="6" t="s">
        <v>110</v>
      </c>
      <c r="B70" s="14">
        <v>45778</v>
      </c>
      <c r="C70" s="6" t="s">
        <v>17</v>
      </c>
      <c r="D70" s="6">
        <v>38</v>
      </c>
      <c r="E70" s="6" t="s">
        <v>317</v>
      </c>
      <c r="F70" s="6" t="s">
        <v>13</v>
      </c>
      <c r="G70" s="7">
        <v>752.98</v>
      </c>
      <c r="H70" s="6" t="str">
        <f t="shared" si="6"/>
        <v>Female</v>
      </c>
      <c r="I70" s="6" t="str">
        <f t="shared" si="7"/>
        <v>Missing</v>
      </c>
      <c r="J70" s="6" t="str">
        <f t="shared" si="8"/>
        <v>Teacher</v>
      </c>
      <c r="K70" s="6" t="str">
        <f t="shared" si="9"/>
        <v>Low</v>
      </c>
      <c r="L70" s="6">
        <f t="shared" si="10"/>
        <v>2025</v>
      </c>
      <c r="M70" s="6">
        <f t="shared" si="11"/>
        <v>5</v>
      </c>
    </row>
    <row r="71" spans="1:13">
      <c r="A71" s="6" t="s">
        <v>246</v>
      </c>
      <c r="B71" s="14">
        <v>45778</v>
      </c>
      <c r="C71" s="6" t="s">
        <v>8</v>
      </c>
      <c r="D71" s="6">
        <v>55</v>
      </c>
      <c r="E71" s="6" t="s">
        <v>317</v>
      </c>
      <c r="F71" s="6" t="s">
        <v>44</v>
      </c>
      <c r="G71" s="7">
        <v>1436.28</v>
      </c>
      <c r="H71" s="6" t="str">
        <f t="shared" si="6"/>
        <v>Male</v>
      </c>
      <c r="I71" s="6" t="str">
        <f t="shared" si="7"/>
        <v>Missing</v>
      </c>
      <c r="J71" s="6" t="str">
        <f t="shared" si="8"/>
        <v>Engineer</v>
      </c>
      <c r="K71" s="6" t="str">
        <f t="shared" si="9"/>
        <v>Medium</v>
      </c>
      <c r="L71" s="6">
        <f t="shared" si="10"/>
        <v>2025</v>
      </c>
      <c r="M71" s="6">
        <f t="shared" si="11"/>
        <v>5</v>
      </c>
    </row>
    <row r="72" spans="1:13">
      <c r="A72" s="6" t="s">
        <v>35</v>
      </c>
      <c r="B72" s="14">
        <v>45780</v>
      </c>
      <c r="C72" s="6" t="s">
        <v>17</v>
      </c>
      <c r="D72" s="6">
        <v>37</v>
      </c>
      <c r="E72" s="6" t="s">
        <v>9</v>
      </c>
      <c r="F72" s="6" t="s">
        <v>23</v>
      </c>
      <c r="G72" s="7">
        <v>1041.8399999999999</v>
      </c>
      <c r="H72" s="6" t="str">
        <f t="shared" si="6"/>
        <v>Female</v>
      </c>
      <c r="I72" s="6" t="str">
        <f t="shared" si="7"/>
        <v>Mogadishu</v>
      </c>
      <c r="J72" s="6" t="str">
        <f t="shared" si="8"/>
        <v>Civil Servant</v>
      </c>
      <c r="K72" s="6" t="str">
        <f t="shared" si="9"/>
        <v>Medium</v>
      </c>
      <c r="L72" s="6">
        <f t="shared" si="10"/>
        <v>2025</v>
      </c>
      <c r="M72" s="6">
        <f t="shared" si="11"/>
        <v>5</v>
      </c>
    </row>
    <row r="73" spans="1:13">
      <c r="A73" s="6" t="s">
        <v>203</v>
      </c>
      <c r="B73" s="14">
        <v>45780</v>
      </c>
      <c r="C73" s="6" t="s">
        <v>8</v>
      </c>
      <c r="D73" s="6">
        <v>67</v>
      </c>
      <c r="E73" s="6" t="s">
        <v>9</v>
      </c>
      <c r="F73" s="6" t="s">
        <v>23</v>
      </c>
      <c r="G73" s="7">
        <v>923.87</v>
      </c>
      <c r="H73" s="6" t="str">
        <f t="shared" si="6"/>
        <v>Male</v>
      </c>
      <c r="I73" s="6" t="str">
        <f t="shared" si="7"/>
        <v>Mogadishu</v>
      </c>
      <c r="J73" s="6" t="str">
        <f t="shared" si="8"/>
        <v>Civil Servant</v>
      </c>
      <c r="K73" s="6" t="str">
        <f t="shared" si="9"/>
        <v>Medium</v>
      </c>
      <c r="L73" s="6">
        <f t="shared" si="10"/>
        <v>2025</v>
      </c>
      <c r="M73" s="6">
        <f t="shared" si="11"/>
        <v>5</v>
      </c>
    </row>
    <row r="74" spans="1:13">
      <c r="A74" s="6" t="s">
        <v>28</v>
      </c>
      <c r="B74" s="14">
        <v>45781</v>
      </c>
      <c r="C74" s="6" t="s">
        <v>8</v>
      </c>
      <c r="D74" s="6">
        <v>32</v>
      </c>
      <c r="E74" s="6" t="s">
        <v>9</v>
      </c>
      <c r="F74" s="6" t="s">
        <v>318</v>
      </c>
      <c r="G74" s="7">
        <v>176.95</v>
      </c>
      <c r="H74" s="6" t="str">
        <f t="shared" si="6"/>
        <v>Male</v>
      </c>
      <c r="I74" s="6" t="str">
        <f t="shared" si="7"/>
        <v>Mogadishu</v>
      </c>
      <c r="J74" s="6" t="str">
        <f t="shared" si="8"/>
        <v>Missing</v>
      </c>
      <c r="K74" s="6" t="str">
        <f t="shared" si="9"/>
        <v>Low</v>
      </c>
      <c r="L74" s="6">
        <f t="shared" si="10"/>
        <v>2025</v>
      </c>
      <c r="M74" s="6">
        <f t="shared" si="11"/>
        <v>5</v>
      </c>
    </row>
    <row r="75" spans="1:13">
      <c r="A75" s="6" t="s">
        <v>99</v>
      </c>
      <c r="B75" s="14">
        <v>45791</v>
      </c>
      <c r="C75" s="6" t="s">
        <v>8</v>
      </c>
      <c r="D75" s="6">
        <v>20</v>
      </c>
      <c r="E75" s="6" t="s">
        <v>9</v>
      </c>
      <c r="F75" s="6" t="s">
        <v>21</v>
      </c>
      <c r="G75" s="7">
        <v>895.53</v>
      </c>
      <c r="H75" s="6" t="str">
        <f t="shared" si="6"/>
        <v>Male</v>
      </c>
      <c r="I75" s="6" t="str">
        <f t="shared" si="7"/>
        <v>Mogadishu</v>
      </c>
      <c r="J75" s="6" t="str">
        <f t="shared" si="8"/>
        <v>Self-Employed</v>
      </c>
      <c r="K75" s="6" t="str">
        <f t="shared" si="9"/>
        <v>Medium</v>
      </c>
      <c r="L75" s="6">
        <f t="shared" si="10"/>
        <v>2025</v>
      </c>
      <c r="M75" s="6">
        <f t="shared" si="11"/>
        <v>5</v>
      </c>
    </row>
    <row r="76" spans="1:13">
      <c r="A76" s="6" t="s">
        <v>235</v>
      </c>
      <c r="B76" s="14">
        <v>45792</v>
      </c>
      <c r="C76" s="6" t="s">
        <v>8</v>
      </c>
      <c r="D76" s="6">
        <v>33</v>
      </c>
      <c r="E76" s="6" t="s">
        <v>9</v>
      </c>
      <c r="F76" s="6" t="s">
        <v>318</v>
      </c>
      <c r="G76" s="7">
        <v>519</v>
      </c>
      <c r="H76" s="6" t="str">
        <f t="shared" si="6"/>
        <v>Male</v>
      </c>
      <c r="I76" s="6" t="str">
        <f t="shared" si="7"/>
        <v>Mogadishu</v>
      </c>
      <c r="J76" s="6" t="str">
        <f t="shared" si="8"/>
        <v>Missing</v>
      </c>
      <c r="K76" s="6" t="str">
        <f t="shared" si="9"/>
        <v>Low</v>
      </c>
      <c r="L76" s="6">
        <f t="shared" si="10"/>
        <v>2025</v>
      </c>
      <c r="M76" s="6">
        <f t="shared" si="11"/>
        <v>5</v>
      </c>
    </row>
    <row r="77" spans="1:13">
      <c r="A77" s="6" t="s">
        <v>180</v>
      </c>
      <c r="B77" s="14">
        <v>45795</v>
      </c>
      <c r="C77" s="6" t="s">
        <v>8</v>
      </c>
      <c r="D77" s="6">
        <v>26</v>
      </c>
      <c r="E77" s="6" t="s">
        <v>39</v>
      </c>
      <c r="F77" s="6" t="s">
        <v>18</v>
      </c>
      <c r="G77" s="7">
        <v>267.12</v>
      </c>
      <c r="H77" s="6" t="str">
        <f t="shared" si="6"/>
        <v>Male</v>
      </c>
      <c r="I77" s="6" t="str">
        <f t="shared" si="7"/>
        <v>Kismayo</v>
      </c>
      <c r="J77" s="6" t="str">
        <f t="shared" si="8"/>
        <v>Student</v>
      </c>
      <c r="K77" s="6" t="str">
        <f t="shared" si="9"/>
        <v>Low</v>
      </c>
      <c r="L77" s="6">
        <f t="shared" si="10"/>
        <v>2025</v>
      </c>
      <c r="M77" s="6">
        <f t="shared" si="11"/>
        <v>5</v>
      </c>
    </row>
    <row r="78" spans="1:13">
      <c r="A78" s="6" t="s">
        <v>136</v>
      </c>
      <c r="B78" s="14">
        <v>45801</v>
      </c>
      <c r="C78" s="6" t="s">
        <v>8</v>
      </c>
      <c r="D78" s="6">
        <v>21</v>
      </c>
      <c r="E78" s="6" t="s">
        <v>12</v>
      </c>
      <c r="F78" s="6" t="s">
        <v>44</v>
      </c>
      <c r="G78" s="7">
        <v>890.48</v>
      </c>
      <c r="H78" s="6" t="str">
        <f t="shared" si="6"/>
        <v>Male</v>
      </c>
      <c r="I78" s="6" t="str">
        <f t="shared" si="7"/>
        <v>Baidoa</v>
      </c>
      <c r="J78" s="6" t="str">
        <f t="shared" si="8"/>
        <v>Engineer</v>
      </c>
      <c r="K78" s="6" t="str">
        <f t="shared" si="9"/>
        <v>Medium</v>
      </c>
      <c r="L78" s="6">
        <f t="shared" si="10"/>
        <v>2025</v>
      </c>
      <c r="M78" s="6">
        <f t="shared" si="11"/>
        <v>5</v>
      </c>
    </row>
    <row r="79" spans="1:13">
      <c r="A79" s="6" t="s">
        <v>124</v>
      </c>
      <c r="B79" s="14">
        <v>45802</v>
      </c>
      <c r="C79" s="6" t="s">
        <v>17</v>
      </c>
      <c r="D79" s="6">
        <v>38</v>
      </c>
      <c r="E79" s="6" t="s">
        <v>9</v>
      </c>
      <c r="F79" s="6" t="s">
        <v>44</v>
      </c>
      <c r="G79" s="7">
        <v>836.33</v>
      </c>
      <c r="H79" s="6" t="str">
        <f t="shared" si="6"/>
        <v>Female</v>
      </c>
      <c r="I79" s="6" t="str">
        <f t="shared" si="7"/>
        <v>Mogadishu</v>
      </c>
      <c r="J79" s="6" t="str">
        <f t="shared" si="8"/>
        <v>Engineer</v>
      </c>
      <c r="K79" s="6" t="str">
        <f t="shared" si="9"/>
        <v>Medium</v>
      </c>
      <c r="L79" s="6">
        <f t="shared" si="10"/>
        <v>2025</v>
      </c>
      <c r="M79" s="6">
        <f t="shared" si="11"/>
        <v>5</v>
      </c>
    </row>
    <row r="80" spans="1:13">
      <c r="A80" s="6" t="s">
        <v>200</v>
      </c>
      <c r="B80" s="14">
        <v>45804</v>
      </c>
      <c r="C80" s="6" t="s">
        <v>17</v>
      </c>
      <c r="D80" s="6">
        <v>65</v>
      </c>
      <c r="E80" s="6" t="s">
        <v>9</v>
      </c>
      <c r="F80" s="6" t="s">
        <v>44</v>
      </c>
      <c r="G80" s="7">
        <v>790.75</v>
      </c>
      <c r="H80" s="6" t="str">
        <f t="shared" si="6"/>
        <v>Female</v>
      </c>
      <c r="I80" s="6" t="str">
        <f t="shared" si="7"/>
        <v>Mogadishu</v>
      </c>
      <c r="J80" s="6" t="str">
        <f t="shared" si="8"/>
        <v>Engineer</v>
      </c>
      <c r="K80" s="6" t="str">
        <f t="shared" si="9"/>
        <v>Low</v>
      </c>
      <c r="L80" s="6">
        <f t="shared" si="10"/>
        <v>2025</v>
      </c>
      <c r="M80" s="6">
        <f t="shared" si="11"/>
        <v>5</v>
      </c>
    </row>
    <row r="81" spans="1:13">
      <c r="A81" s="6" t="s">
        <v>206</v>
      </c>
      <c r="B81" s="14">
        <v>45805</v>
      </c>
      <c r="C81" s="6" t="s">
        <v>8</v>
      </c>
      <c r="D81" s="6">
        <v>41</v>
      </c>
      <c r="E81" s="6" t="s">
        <v>9</v>
      </c>
      <c r="F81" s="6" t="s">
        <v>13</v>
      </c>
      <c r="G81" s="7">
        <v>868.55</v>
      </c>
      <c r="H81" s="6" t="str">
        <f t="shared" si="6"/>
        <v>Male</v>
      </c>
      <c r="I81" s="6" t="str">
        <f t="shared" si="7"/>
        <v>Mogadishu</v>
      </c>
      <c r="J81" s="6" t="str">
        <f t="shared" si="8"/>
        <v>Teacher</v>
      </c>
      <c r="K81" s="6" t="str">
        <f t="shared" si="9"/>
        <v>Medium</v>
      </c>
      <c r="L81" s="6">
        <f t="shared" si="10"/>
        <v>2025</v>
      </c>
      <c r="M81" s="6">
        <f t="shared" si="11"/>
        <v>5</v>
      </c>
    </row>
    <row r="82" spans="1:13">
      <c r="A82" s="6" t="s">
        <v>29</v>
      </c>
      <c r="B82" s="14">
        <v>45807</v>
      </c>
      <c r="C82" s="6" t="s">
        <v>17</v>
      </c>
      <c r="D82" s="6">
        <v>48</v>
      </c>
      <c r="E82" s="6" t="s">
        <v>9</v>
      </c>
      <c r="F82" s="6" t="s">
        <v>30</v>
      </c>
      <c r="G82" s="7">
        <v>1075.0899999999999</v>
      </c>
      <c r="H82" s="6" t="str">
        <f t="shared" si="6"/>
        <v>Female</v>
      </c>
      <c r="I82" s="6" t="str">
        <f t="shared" si="7"/>
        <v>Mogadishu</v>
      </c>
      <c r="J82" s="6" t="str">
        <f t="shared" si="8"/>
        <v>Business Owner</v>
      </c>
      <c r="K82" s="6" t="str">
        <f t="shared" si="9"/>
        <v>Medium</v>
      </c>
      <c r="L82" s="6">
        <f t="shared" si="10"/>
        <v>2025</v>
      </c>
      <c r="M82" s="6">
        <f t="shared" si="11"/>
        <v>5</v>
      </c>
    </row>
    <row r="83" spans="1:13">
      <c r="A83" s="6" t="s">
        <v>52</v>
      </c>
      <c r="B83" s="14">
        <v>45809</v>
      </c>
      <c r="C83" s="6" t="s">
        <v>8</v>
      </c>
      <c r="D83" s="6">
        <v>24</v>
      </c>
      <c r="E83" s="6" t="s">
        <v>9</v>
      </c>
      <c r="F83" s="6" t="s">
        <v>44</v>
      </c>
      <c r="G83" s="7">
        <v>706.35</v>
      </c>
      <c r="H83" s="6" t="str">
        <f t="shared" si="6"/>
        <v>Male</v>
      </c>
      <c r="I83" s="6" t="str">
        <f t="shared" si="7"/>
        <v>Mogadishu</v>
      </c>
      <c r="J83" s="6" t="str">
        <f t="shared" si="8"/>
        <v>Engineer</v>
      </c>
      <c r="K83" s="6" t="str">
        <f t="shared" si="9"/>
        <v>Low</v>
      </c>
      <c r="L83" s="6">
        <f t="shared" si="10"/>
        <v>2025</v>
      </c>
      <c r="M83" s="6">
        <f t="shared" si="11"/>
        <v>6</v>
      </c>
    </row>
    <row r="84" spans="1:13">
      <c r="A84" s="6" t="s">
        <v>155</v>
      </c>
      <c r="B84" s="14">
        <v>45812</v>
      </c>
      <c r="C84" s="6" t="s">
        <v>17</v>
      </c>
      <c r="D84" s="6">
        <v>19</v>
      </c>
      <c r="E84" s="6" t="s">
        <v>9</v>
      </c>
      <c r="F84" s="6" t="s">
        <v>23</v>
      </c>
      <c r="G84" s="7">
        <v>923.87</v>
      </c>
      <c r="H84" s="6" t="str">
        <f t="shared" si="6"/>
        <v>Female</v>
      </c>
      <c r="I84" s="6" t="str">
        <f t="shared" si="7"/>
        <v>Mogadishu</v>
      </c>
      <c r="J84" s="6" t="str">
        <f t="shared" si="8"/>
        <v>Civil Servant</v>
      </c>
      <c r="K84" s="6" t="str">
        <f t="shared" si="9"/>
        <v>Medium</v>
      </c>
      <c r="L84" s="6">
        <f t="shared" si="10"/>
        <v>2025</v>
      </c>
      <c r="M84" s="6">
        <f t="shared" si="11"/>
        <v>6</v>
      </c>
    </row>
    <row r="85" spans="1:13">
      <c r="A85" s="6" t="s">
        <v>267</v>
      </c>
      <c r="B85" s="14">
        <v>45816</v>
      </c>
      <c r="C85" s="6" t="s">
        <v>317</v>
      </c>
      <c r="D85" s="6">
        <v>38</v>
      </c>
      <c r="E85" s="6" t="s">
        <v>12</v>
      </c>
      <c r="F85" s="6" t="s">
        <v>13</v>
      </c>
      <c r="G85" s="7">
        <v>453.74</v>
      </c>
      <c r="H85" s="6" t="str">
        <f t="shared" si="6"/>
        <v>Missing</v>
      </c>
      <c r="I85" s="6" t="str">
        <f t="shared" si="7"/>
        <v>Baidoa</v>
      </c>
      <c r="J85" s="6" t="str">
        <f t="shared" si="8"/>
        <v>Teacher</v>
      </c>
      <c r="K85" s="6" t="str">
        <f t="shared" si="9"/>
        <v>Low</v>
      </c>
      <c r="L85" s="6">
        <f t="shared" si="10"/>
        <v>2025</v>
      </c>
      <c r="M85" s="6">
        <f t="shared" si="11"/>
        <v>6</v>
      </c>
    </row>
    <row r="86" spans="1:13">
      <c r="A86" s="6" t="s">
        <v>139</v>
      </c>
      <c r="B86" s="14">
        <v>45820</v>
      </c>
      <c r="C86" s="6" t="s">
        <v>17</v>
      </c>
      <c r="D86" s="6">
        <v>58</v>
      </c>
      <c r="E86" s="6" t="s">
        <v>39</v>
      </c>
      <c r="F86" s="6" t="s">
        <v>30</v>
      </c>
      <c r="G86" s="7">
        <v>1316.09</v>
      </c>
      <c r="H86" s="6" t="str">
        <f t="shared" si="6"/>
        <v>Female</v>
      </c>
      <c r="I86" s="6" t="str">
        <f t="shared" si="7"/>
        <v>Kismayo</v>
      </c>
      <c r="J86" s="6" t="str">
        <f t="shared" si="8"/>
        <v>Business Owner</v>
      </c>
      <c r="K86" s="6" t="str">
        <f t="shared" si="9"/>
        <v>Medium</v>
      </c>
      <c r="L86" s="6">
        <f t="shared" si="10"/>
        <v>2025</v>
      </c>
      <c r="M86" s="6">
        <f t="shared" si="11"/>
        <v>6</v>
      </c>
    </row>
    <row r="87" spans="1:13">
      <c r="A87" s="6" t="s">
        <v>225</v>
      </c>
      <c r="B87" s="14">
        <v>45821</v>
      </c>
      <c r="C87" s="6" t="s">
        <v>226</v>
      </c>
      <c r="D87" s="6">
        <v>48</v>
      </c>
      <c r="E87" s="6" t="s">
        <v>9</v>
      </c>
      <c r="F87" s="6" t="s">
        <v>13</v>
      </c>
      <c r="G87" s="7">
        <v>921.62</v>
      </c>
      <c r="H87" s="6" t="str">
        <f t="shared" si="6"/>
        <v>Female</v>
      </c>
      <c r="I87" s="6" t="str">
        <f t="shared" si="7"/>
        <v>Mogadishu</v>
      </c>
      <c r="J87" s="6" t="str">
        <f t="shared" si="8"/>
        <v>Teacher</v>
      </c>
      <c r="K87" s="6" t="str">
        <f t="shared" si="9"/>
        <v>Medium</v>
      </c>
      <c r="L87" s="6">
        <f t="shared" si="10"/>
        <v>2025</v>
      </c>
      <c r="M87" s="6">
        <f t="shared" si="11"/>
        <v>6</v>
      </c>
    </row>
    <row r="88" spans="1:13">
      <c r="A88" s="6" t="s">
        <v>78</v>
      </c>
      <c r="B88" s="14">
        <v>45822</v>
      </c>
      <c r="C88" s="6" t="s">
        <v>8</v>
      </c>
      <c r="D88" s="6">
        <v>68</v>
      </c>
      <c r="E88" s="6" t="s">
        <v>9</v>
      </c>
      <c r="F88" s="6" t="s">
        <v>13</v>
      </c>
      <c r="G88" s="7">
        <v>870.42</v>
      </c>
      <c r="H88" s="6" t="str">
        <f t="shared" si="6"/>
        <v>Male</v>
      </c>
      <c r="I88" s="6" t="str">
        <f t="shared" si="7"/>
        <v>Mogadishu</v>
      </c>
      <c r="J88" s="6" t="str">
        <f t="shared" si="8"/>
        <v>Teacher</v>
      </c>
      <c r="K88" s="6" t="str">
        <f t="shared" si="9"/>
        <v>Medium</v>
      </c>
      <c r="L88" s="6">
        <f t="shared" si="10"/>
        <v>2025</v>
      </c>
      <c r="M88" s="6">
        <f t="shared" si="11"/>
        <v>6</v>
      </c>
    </row>
    <row r="89" spans="1:13">
      <c r="A89" s="6" t="s">
        <v>65</v>
      </c>
      <c r="B89" s="14">
        <v>45824</v>
      </c>
      <c r="C89" s="6" t="s">
        <v>17</v>
      </c>
      <c r="D89" s="6">
        <v>23</v>
      </c>
      <c r="E89" s="6" t="s">
        <v>9</v>
      </c>
      <c r="F89" s="6" t="s">
        <v>21</v>
      </c>
      <c r="G89" s="7">
        <v>453.51</v>
      </c>
      <c r="H89" s="6" t="str">
        <f t="shared" si="6"/>
        <v>Female</v>
      </c>
      <c r="I89" s="6" t="str">
        <f t="shared" si="7"/>
        <v>Mogadishu</v>
      </c>
      <c r="J89" s="6" t="str">
        <f t="shared" si="8"/>
        <v>Self-Employed</v>
      </c>
      <c r="K89" s="6" t="str">
        <f t="shared" si="9"/>
        <v>Low</v>
      </c>
      <c r="L89" s="6">
        <f t="shared" si="10"/>
        <v>2025</v>
      </c>
      <c r="M89" s="6">
        <f t="shared" si="11"/>
        <v>6</v>
      </c>
    </row>
    <row r="90" spans="1:13">
      <c r="A90" s="6" t="s">
        <v>144</v>
      </c>
      <c r="B90" s="14">
        <v>45827</v>
      </c>
      <c r="C90" s="6" t="s">
        <v>17</v>
      </c>
      <c r="D90" s="6">
        <v>42</v>
      </c>
      <c r="E90" s="6" t="s">
        <v>15</v>
      </c>
      <c r="F90" s="6" t="s">
        <v>10</v>
      </c>
      <c r="G90" s="7">
        <v>1155.3399999999999</v>
      </c>
      <c r="H90" s="6" t="str">
        <f t="shared" si="6"/>
        <v>Female</v>
      </c>
      <c r="I90" s="6" t="str">
        <f t="shared" si="7"/>
        <v>Hargeisa</v>
      </c>
      <c r="J90" s="6" t="str">
        <f t="shared" si="8"/>
        <v>Healthcare</v>
      </c>
      <c r="K90" s="6" t="str">
        <f t="shared" si="9"/>
        <v>Medium</v>
      </c>
      <c r="L90" s="6">
        <f t="shared" si="10"/>
        <v>2025</v>
      </c>
      <c r="M90" s="6">
        <f t="shared" si="11"/>
        <v>6</v>
      </c>
    </row>
    <row r="91" spans="1:13">
      <c r="A91" s="6" t="s">
        <v>96</v>
      </c>
      <c r="B91" s="14">
        <v>45828</v>
      </c>
      <c r="C91" s="6" t="s">
        <v>8</v>
      </c>
      <c r="D91" s="6">
        <v>36</v>
      </c>
      <c r="E91" s="6" t="s">
        <v>9</v>
      </c>
      <c r="F91" s="6" t="s">
        <v>18</v>
      </c>
      <c r="G91" s="7">
        <v>256.8</v>
      </c>
      <c r="H91" s="6" t="str">
        <f t="shared" si="6"/>
        <v>Male</v>
      </c>
      <c r="I91" s="6" t="str">
        <f t="shared" si="7"/>
        <v>Mogadishu</v>
      </c>
      <c r="J91" s="6" t="str">
        <f t="shared" si="8"/>
        <v>Student</v>
      </c>
      <c r="K91" s="6" t="str">
        <f t="shared" si="9"/>
        <v>Low</v>
      </c>
      <c r="L91" s="6">
        <f t="shared" si="10"/>
        <v>2025</v>
      </c>
      <c r="M91" s="6">
        <f t="shared" si="11"/>
        <v>6</v>
      </c>
    </row>
    <row r="92" spans="1:13">
      <c r="A92" s="6" t="s">
        <v>231</v>
      </c>
      <c r="B92" s="14">
        <v>45830</v>
      </c>
      <c r="C92" s="6" t="s">
        <v>17</v>
      </c>
      <c r="D92" s="6">
        <v>67</v>
      </c>
      <c r="E92" s="6" t="s">
        <v>9</v>
      </c>
      <c r="F92" s="6" t="s">
        <v>44</v>
      </c>
      <c r="G92" s="7">
        <v>923.87</v>
      </c>
      <c r="H92" s="6" t="str">
        <f t="shared" si="6"/>
        <v>Female</v>
      </c>
      <c r="I92" s="6" t="str">
        <f t="shared" si="7"/>
        <v>Mogadishu</v>
      </c>
      <c r="J92" s="6" t="str">
        <f t="shared" si="8"/>
        <v>Engineer</v>
      </c>
      <c r="K92" s="6" t="str">
        <f t="shared" si="9"/>
        <v>Medium</v>
      </c>
      <c r="L92" s="6">
        <f t="shared" si="10"/>
        <v>2025</v>
      </c>
      <c r="M92" s="6">
        <f t="shared" si="11"/>
        <v>6</v>
      </c>
    </row>
    <row r="93" spans="1:13">
      <c r="A93" s="6" t="s">
        <v>232</v>
      </c>
      <c r="B93" s="14">
        <v>45832</v>
      </c>
      <c r="C93" s="6" t="s">
        <v>17</v>
      </c>
      <c r="D93" s="6">
        <v>39</v>
      </c>
      <c r="E93" s="6" t="s">
        <v>39</v>
      </c>
      <c r="F93" s="6" t="s">
        <v>318</v>
      </c>
      <c r="G93" s="7">
        <v>838.84</v>
      </c>
      <c r="H93" s="6" t="str">
        <f t="shared" si="6"/>
        <v>Female</v>
      </c>
      <c r="I93" s="6" t="str">
        <f t="shared" si="7"/>
        <v>Kismayo</v>
      </c>
      <c r="J93" s="6" t="str">
        <f t="shared" si="8"/>
        <v>Missing</v>
      </c>
      <c r="K93" s="6" t="str">
        <f t="shared" si="9"/>
        <v>Medium</v>
      </c>
      <c r="L93" s="6">
        <f t="shared" si="10"/>
        <v>2025</v>
      </c>
      <c r="M93" s="6">
        <f t="shared" si="11"/>
        <v>6</v>
      </c>
    </row>
    <row r="94" spans="1:13">
      <c r="A94" s="6" t="s">
        <v>219</v>
      </c>
      <c r="B94" s="14">
        <v>45833</v>
      </c>
      <c r="C94" s="6" t="s">
        <v>8</v>
      </c>
      <c r="D94" s="6">
        <v>28</v>
      </c>
      <c r="E94" s="6" t="s">
        <v>74</v>
      </c>
      <c r="F94" s="6" t="s">
        <v>13</v>
      </c>
      <c r="G94" s="7">
        <v>919.61</v>
      </c>
      <c r="H94" s="6" t="str">
        <f t="shared" si="6"/>
        <v>Male</v>
      </c>
      <c r="I94" s="6" t="str">
        <f t="shared" si="7"/>
        <v>Garowe</v>
      </c>
      <c r="J94" s="6" t="str">
        <f t="shared" si="8"/>
        <v>Teacher</v>
      </c>
      <c r="K94" s="6" t="str">
        <f t="shared" si="9"/>
        <v>Medium</v>
      </c>
      <c r="L94" s="6">
        <f t="shared" si="10"/>
        <v>2025</v>
      </c>
      <c r="M94" s="6">
        <f t="shared" si="11"/>
        <v>6</v>
      </c>
    </row>
    <row r="95" spans="1:13">
      <c r="A95" s="6" t="s">
        <v>264</v>
      </c>
      <c r="B95" s="14">
        <v>45833</v>
      </c>
      <c r="C95" s="6" t="s">
        <v>317</v>
      </c>
      <c r="D95" s="6">
        <v>43</v>
      </c>
      <c r="E95" s="6" t="s">
        <v>9</v>
      </c>
      <c r="F95" s="6" t="s">
        <v>23</v>
      </c>
      <c r="G95" s="7">
        <v>885.26</v>
      </c>
      <c r="H95" s="6" t="str">
        <f t="shared" si="6"/>
        <v>Missing</v>
      </c>
      <c r="I95" s="6" t="str">
        <f t="shared" si="7"/>
        <v>Mogadishu</v>
      </c>
      <c r="J95" s="6" t="str">
        <f t="shared" si="8"/>
        <v>Civil Servant</v>
      </c>
      <c r="K95" s="6" t="str">
        <f t="shared" si="9"/>
        <v>Medium</v>
      </c>
      <c r="L95" s="6">
        <f t="shared" si="10"/>
        <v>2025</v>
      </c>
      <c r="M95" s="6">
        <f t="shared" si="11"/>
        <v>6</v>
      </c>
    </row>
    <row r="96" spans="1:13">
      <c r="A96" s="6" t="s">
        <v>266</v>
      </c>
      <c r="B96" s="14">
        <v>45837</v>
      </c>
      <c r="C96" s="6" t="s">
        <v>8</v>
      </c>
      <c r="D96" s="6">
        <v>54</v>
      </c>
      <c r="E96" s="6" t="s">
        <v>39</v>
      </c>
      <c r="F96" s="6" t="s">
        <v>13</v>
      </c>
      <c r="G96" s="7">
        <v>464.6</v>
      </c>
      <c r="H96" s="6" t="str">
        <f t="shared" si="6"/>
        <v>Male</v>
      </c>
      <c r="I96" s="6" t="str">
        <f t="shared" si="7"/>
        <v>Kismayo</v>
      </c>
      <c r="J96" s="6" t="str">
        <f t="shared" si="8"/>
        <v>Teacher</v>
      </c>
      <c r="K96" s="6" t="str">
        <f t="shared" si="9"/>
        <v>Low</v>
      </c>
      <c r="L96" s="6">
        <f t="shared" si="10"/>
        <v>2025</v>
      </c>
      <c r="M96" s="6">
        <f t="shared" si="11"/>
        <v>6</v>
      </c>
    </row>
    <row r="97" spans="1:13">
      <c r="A97" s="6" t="s">
        <v>176</v>
      </c>
      <c r="B97" s="14">
        <v>45839</v>
      </c>
      <c r="C97" s="6" t="s">
        <v>17</v>
      </c>
      <c r="D97" s="6">
        <v>44</v>
      </c>
      <c r="E97" s="6" t="s">
        <v>15</v>
      </c>
      <c r="F97" s="6" t="s">
        <v>13</v>
      </c>
      <c r="G97" s="7">
        <v>648.57000000000005</v>
      </c>
      <c r="H97" s="6" t="str">
        <f t="shared" si="6"/>
        <v>Female</v>
      </c>
      <c r="I97" s="6" t="str">
        <f t="shared" si="7"/>
        <v>Hargeisa</v>
      </c>
      <c r="J97" s="6" t="str">
        <f t="shared" si="8"/>
        <v>Teacher</v>
      </c>
      <c r="K97" s="6" t="str">
        <f t="shared" si="9"/>
        <v>Low</v>
      </c>
      <c r="L97" s="6">
        <f t="shared" si="10"/>
        <v>2025</v>
      </c>
      <c r="M97" s="6">
        <f t="shared" si="11"/>
        <v>7</v>
      </c>
    </row>
    <row r="98" spans="1:13">
      <c r="A98" s="6" t="s">
        <v>138</v>
      </c>
      <c r="B98" s="14">
        <v>45840</v>
      </c>
      <c r="C98" s="6" t="s">
        <v>17</v>
      </c>
      <c r="D98" s="6">
        <v>44</v>
      </c>
      <c r="E98" s="6" t="s">
        <v>15</v>
      </c>
      <c r="F98" s="6" t="s">
        <v>21</v>
      </c>
      <c r="G98" s="7">
        <v>756.75</v>
      </c>
      <c r="H98" s="6" t="str">
        <f t="shared" si="6"/>
        <v>Female</v>
      </c>
      <c r="I98" s="6" t="str">
        <f t="shared" si="7"/>
        <v>Hargeisa</v>
      </c>
      <c r="J98" s="6" t="str">
        <f t="shared" si="8"/>
        <v>Self-Employed</v>
      </c>
      <c r="K98" s="6" t="str">
        <f t="shared" si="9"/>
        <v>Low</v>
      </c>
      <c r="L98" s="6">
        <f t="shared" si="10"/>
        <v>2025</v>
      </c>
      <c r="M98" s="6">
        <f t="shared" si="11"/>
        <v>7</v>
      </c>
    </row>
    <row r="99" spans="1:13">
      <c r="A99" s="6" t="s">
        <v>205</v>
      </c>
      <c r="B99" s="14">
        <v>45845</v>
      </c>
      <c r="C99" s="6" t="s">
        <v>17</v>
      </c>
      <c r="D99" s="6">
        <v>56</v>
      </c>
      <c r="E99" s="6" t="s">
        <v>39</v>
      </c>
      <c r="F99" s="6" t="s">
        <v>30</v>
      </c>
      <c r="G99" s="7">
        <v>660.22</v>
      </c>
      <c r="H99" s="6" t="str">
        <f t="shared" si="6"/>
        <v>Female</v>
      </c>
      <c r="I99" s="6" t="str">
        <f t="shared" si="7"/>
        <v>Kismayo</v>
      </c>
      <c r="J99" s="6" t="str">
        <f t="shared" si="8"/>
        <v>Business Owner</v>
      </c>
      <c r="K99" s="6" t="str">
        <f t="shared" si="9"/>
        <v>Low</v>
      </c>
      <c r="L99" s="6">
        <f t="shared" si="10"/>
        <v>2025</v>
      </c>
      <c r="M99" s="6">
        <f t="shared" si="11"/>
        <v>7</v>
      </c>
    </row>
    <row r="100" spans="1:13">
      <c r="A100" s="6" t="s">
        <v>131</v>
      </c>
      <c r="B100" s="14">
        <v>45846</v>
      </c>
      <c r="C100" s="6" t="s">
        <v>17</v>
      </c>
      <c r="D100" s="6">
        <v>18</v>
      </c>
      <c r="E100" s="6" t="s">
        <v>12</v>
      </c>
      <c r="F100" s="6" t="s">
        <v>18</v>
      </c>
      <c r="G100" s="7">
        <v>275.93</v>
      </c>
      <c r="H100" s="6" t="str">
        <f t="shared" si="6"/>
        <v>Female</v>
      </c>
      <c r="I100" s="6" t="str">
        <f t="shared" si="7"/>
        <v>Baidoa</v>
      </c>
      <c r="J100" s="6" t="str">
        <f t="shared" si="8"/>
        <v>Student</v>
      </c>
      <c r="K100" s="6" t="str">
        <f t="shared" si="9"/>
        <v>Low</v>
      </c>
      <c r="L100" s="6">
        <f t="shared" si="10"/>
        <v>2025</v>
      </c>
      <c r="M100" s="6">
        <f t="shared" si="11"/>
        <v>7</v>
      </c>
    </row>
    <row r="101" spans="1:13">
      <c r="A101" s="6" t="s">
        <v>63</v>
      </c>
      <c r="B101" s="14">
        <v>45846</v>
      </c>
      <c r="C101" s="6" t="s">
        <v>8</v>
      </c>
      <c r="D101" s="6">
        <v>62</v>
      </c>
      <c r="E101" s="6" t="s">
        <v>15</v>
      </c>
      <c r="F101" s="6" t="s">
        <v>21</v>
      </c>
      <c r="G101" s="7">
        <v>1032.69</v>
      </c>
      <c r="H101" s="6" t="str">
        <f t="shared" si="6"/>
        <v>Male</v>
      </c>
      <c r="I101" s="6" t="str">
        <f t="shared" si="7"/>
        <v>Hargeisa</v>
      </c>
      <c r="J101" s="6" t="str">
        <f t="shared" si="8"/>
        <v>Self-Employed</v>
      </c>
      <c r="K101" s="6" t="str">
        <f t="shared" si="9"/>
        <v>Medium</v>
      </c>
      <c r="L101" s="6">
        <f t="shared" si="10"/>
        <v>2025</v>
      </c>
      <c r="M101" s="6">
        <f t="shared" si="11"/>
        <v>7</v>
      </c>
    </row>
    <row r="102" spans="1:13">
      <c r="A102" s="6" t="s">
        <v>130</v>
      </c>
      <c r="B102" s="14">
        <v>45847</v>
      </c>
      <c r="C102" s="6" t="s">
        <v>17</v>
      </c>
      <c r="D102" s="6">
        <v>42</v>
      </c>
      <c r="E102" s="6" t="s">
        <v>9</v>
      </c>
      <c r="F102" s="6" t="s">
        <v>13</v>
      </c>
      <c r="G102" s="7">
        <v>648.44000000000005</v>
      </c>
      <c r="H102" s="6" t="str">
        <f t="shared" si="6"/>
        <v>Female</v>
      </c>
      <c r="I102" s="6" t="str">
        <f t="shared" si="7"/>
        <v>Mogadishu</v>
      </c>
      <c r="J102" s="6" t="str">
        <f t="shared" si="8"/>
        <v>Teacher</v>
      </c>
      <c r="K102" s="6" t="str">
        <f t="shared" si="9"/>
        <v>Low</v>
      </c>
      <c r="L102" s="6">
        <f t="shared" si="10"/>
        <v>2025</v>
      </c>
      <c r="M102" s="6">
        <f t="shared" si="11"/>
        <v>7</v>
      </c>
    </row>
    <row r="103" spans="1:13">
      <c r="A103" s="6" t="s">
        <v>218</v>
      </c>
      <c r="B103" s="14">
        <v>45848</v>
      </c>
      <c r="C103" s="6" t="s">
        <v>8</v>
      </c>
      <c r="D103" s="6">
        <v>18</v>
      </c>
      <c r="E103" s="6" t="s">
        <v>20</v>
      </c>
      <c r="F103" s="6" t="s">
        <v>18</v>
      </c>
      <c r="G103" s="7">
        <v>108.23</v>
      </c>
      <c r="H103" s="6" t="str">
        <f t="shared" si="6"/>
        <v>Male</v>
      </c>
      <c r="I103" s="6" t="str">
        <f t="shared" si="7"/>
        <v>Bosaso</v>
      </c>
      <c r="J103" s="6" t="str">
        <f t="shared" si="8"/>
        <v>Student</v>
      </c>
      <c r="K103" s="6" t="str">
        <f t="shared" si="9"/>
        <v>Low</v>
      </c>
      <c r="L103" s="6">
        <f t="shared" si="10"/>
        <v>2025</v>
      </c>
      <c r="M103" s="6">
        <f t="shared" si="11"/>
        <v>7</v>
      </c>
    </row>
    <row r="104" spans="1:13">
      <c r="A104" s="6" t="s">
        <v>187</v>
      </c>
      <c r="B104" s="14">
        <v>45850</v>
      </c>
      <c r="C104" s="6" t="s">
        <v>17</v>
      </c>
      <c r="D104" s="6">
        <v>55</v>
      </c>
      <c r="E104" s="6" t="s">
        <v>9</v>
      </c>
      <c r="F104" s="6" t="s">
        <v>30</v>
      </c>
      <c r="G104" s="7">
        <v>1137.1600000000001</v>
      </c>
      <c r="H104" s="6" t="str">
        <f t="shared" si="6"/>
        <v>Female</v>
      </c>
      <c r="I104" s="6" t="str">
        <f t="shared" si="7"/>
        <v>Mogadishu</v>
      </c>
      <c r="J104" s="6" t="str">
        <f t="shared" si="8"/>
        <v>Business Owner</v>
      </c>
      <c r="K104" s="6" t="str">
        <f t="shared" si="9"/>
        <v>Medium</v>
      </c>
      <c r="L104" s="6">
        <f t="shared" si="10"/>
        <v>2025</v>
      </c>
      <c r="M104" s="6">
        <f t="shared" si="11"/>
        <v>7</v>
      </c>
    </row>
    <row r="105" spans="1:13">
      <c r="A105" s="6" t="s">
        <v>191</v>
      </c>
      <c r="B105" s="14">
        <v>45857</v>
      </c>
      <c r="C105" s="6" t="s">
        <v>192</v>
      </c>
      <c r="D105" s="6">
        <v>28</v>
      </c>
      <c r="E105" s="6" t="s">
        <v>12</v>
      </c>
      <c r="F105" s="6" t="s">
        <v>18</v>
      </c>
      <c r="G105" s="7">
        <v>152.91999999999999</v>
      </c>
      <c r="H105" s="6" t="str">
        <f t="shared" si="6"/>
        <v>Male</v>
      </c>
      <c r="I105" s="6" t="str">
        <f t="shared" si="7"/>
        <v>Baidoa</v>
      </c>
      <c r="J105" s="6" t="str">
        <f t="shared" si="8"/>
        <v>Student</v>
      </c>
      <c r="K105" s="6" t="str">
        <f t="shared" si="9"/>
        <v>Low</v>
      </c>
      <c r="L105" s="6">
        <f t="shared" si="10"/>
        <v>2025</v>
      </c>
      <c r="M105" s="6">
        <f t="shared" si="11"/>
        <v>7</v>
      </c>
    </row>
    <row r="106" spans="1:13">
      <c r="A106" s="6" t="s">
        <v>89</v>
      </c>
      <c r="B106" s="14">
        <v>45858</v>
      </c>
      <c r="C106" s="6" t="s">
        <v>17</v>
      </c>
      <c r="D106" s="6">
        <v>64</v>
      </c>
      <c r="E106" s="6" t="s">
        <v>9</v>
      </c>
      <c r="F106" s="6" t="s">
        <v>44</v>
      </c>
      <c r="G106" s="7">
        <v>1421.07</v>
      </c>
      <c r="H106" s="6" t="str">
        <f t="shared" si="6"/>
        <v>Female</v>
      </c>
      <c r="I106" s="6" t="str">
        <f t="shared" si="7"/>
        <v>Mogadishu</v>
      </c>
      <c r="J106" s="6" t="str">
        <f t="shared" si="8"/>
        <v>Engineer</v>
      </c>
      <c r="K106" s="6" t="str">
        <f t="shared" si="9"/>
        <v>Medium</v>
      </c>
      <c r="L106" s="6">
        <f t="shared" si="10"/>
        <v>2025</v>
      </c>
      <c r="M106" s="6">
        <f t="shared" si="11"/>
        <v>7</v>
      </c>
    </row>
    <row r="107" spans="1:13">
      <c r="A107" s="6" t="s">
        <v>24</v>
      </c>
      <c r="B107" s="14">
        <v>45861</v>
      </c>
      <c r="C107" s="6" t="s">
        <v>17</v>
      </c>
      <c r="D107" s="6">
        <v>47</v>
      </c>
      <c r="E107" s="6" t="s">
        <v>9</v>
      </c>
      <c r="F107" s="6" t="s">
        <v>21</v>
      </c>
      <c r="G107" s="7">
        <v>444.76</v>
      </c>
      <c r="H107" s="6" t="str">
        <f t="shared" si="6"/>
        <v>Female</v>
      </c>
      <c r="I107" s="6" t="str">
        <f t="shared" si="7"/>
        <v>Mogadishu</v>
      </c>
      <c r="J107" s="6" t="str">
        <f t="shared" si="8"/>
        <v>Self-Employed</v>
      </c>
      <c r="K107" s="6" t="str">
        <f t="shared" si="9"/>
        <v>Low</v>
      </c>
      <c r="L107" s="6">
        <f t="shared" si="10"/>
        <v>2025</v>
      </c>
      <c r="M107" s="6">
        <f t="shared" si="11"/>
        <v>7</v>
      </c>
    </row>
    <row r="108" spans="1:13">
      <c r="A108" s="6" t="s">
        <v>295</v>
      </c>
      <c r="B108" s="14">
        <v>45862</v>
      </c>
      <c r="C108" s="6" t="s">
        <v>17</v>
      </c>
      <c r="D108" s="6">
        <v>69</v>
      </c>
      <c r="E108" s="6" t="s">
        <v>296</v>
      </c>
      <c r="F108" s="6" t="s">
        <v>318</v>
      </c>
      <c r="G108" s="7">
        <v>691.63</v>
      </c>
      <c r="H108" s="6" t="str">
        <f t="shared" si="6"/>
        <v>Female</v>
      </c>
      <c r="I108" s="6" t="str">
        <f t="shared" si="7"/>
        <v>Mogadishu</v>
      </c>
      <c r="J108" s="6" t="str">
        <f t="shared" si="8"/>
        <v>Missing</v>
      </c>
      <c r="K108" s="6" t="str">
        <f t="shared" si="9"/>
        <v>Low</v>
      </c>
      <c r="L108" s="6">
        <f t="shared" si="10"/>
        <v>2025</v>
      </c>
      <c r="M108" s="6">
        <f t="shared" si="11"/>
        <v>7</v>
      </c>
    </row>
    <row r="109" spans="1:13">
      <c r="A109" s="6" t="s">
        <v>164</v>
      </c>
      <c r="B109" s="14">
        <v>45864</v>
      </c>
      <c r="C109" s="6" t="s">
        <v>17</v>
      </c>
      <c r="D109" s="6">
        <v>60</v>
      </c>
      <c r="E109" s="6" t="s">
        <v>15</v>
      </c>
      <c r="F109" s="6" t="s">
        <v>30</v>
      </c>
      <c r="G109" s="7">
        <v>785.37</v>
      </c>
      <c r="H109" s="6" t="str">
        <f t="shared" si="6"/>
        <v>Female</v>
      </c>
      <c r="I109" s="6" t="str">
        <f t="shared" si="7"/>
        <v>Hargeisa</v>
      </c>
      <c r="J109" s="6" t="str">
        <f t="shared" si="8"/>
        <v>Business Owner</v>
      </c>
      <c r="K109" s="6" t="str">
        <f t="shared" si="9"/>
        <v>Low</v>
      </c>
      <c r="L109" s="6">
        <f t="shared" si="10"/>
        <v>2025</v>
      </c>
      <c r="M109" s="6">
        <f t="shared" si="11"/>
        <v>7</v>
      </c>
    </row>
    <row r="110" spans="1:13">
      <c r="A110" s="6" t="s">
        <v>183</v>
      </c>
      <c r="B110" s="14">
        <v>45868</v>
      </c>
      <c r="C110" s="6" t="s">
        <v>17</v>
      </c>
      <c r="D110" s="6">
        <v>59</v>
      </c>
      <c r="E110" s="6" t="s">
        <v>15</v>
      </c>
      <c r="F110" s="6" t="s">
        <v>13</v>
      </c>
      <c r="G110" s="7">
        <v>856.56</v>
      </c>
      <c r="H110" s="6" t="str">
        <f t="shared" si="6"/>
        <v>Female</v>
      </c>
      <c r="I110" s="6" t="str">
        <f t="shared" si="7"/>
        <v>Hargeisa</v>
      </c>
      <c r="J110" s="6" t="str">
        <f t="shared" si="8"/>
        <v>Teacher</v>
      </c>
      <c r="K110" s="6" t="str">
        <f t="shared" si="9"/>
        <v>Medium</v>
      </c>
      <c r="L110" s="6">
        <f t="shared" si="10"/>
        <v>2025</v>
      </c>
      <c r="M110" s="6">
        <f t="shared" si="11"/>
        <v>7</v>
      </c>
    </row>
    <row r="111" spans="1:13">
      <c r="A111" s="6" t="s">
        <v>188</v>
      </c>
      <c r="B111" s="14">
        <v>45871</v>
      </c>
      <c r="C111" s="6" t="s">
        <v>8</v>
      </c>
      <c r="D111" s="6">
        <v>30</v>
      </c>
      <c r="E111" s="6" t="s">
        <v>9</v>
      </c>
      <c r="F111" s="6" t="s">
        <v>18</v>
      </c>
      <c r="G111" s="7">
        <v>167.65</v>
      </c>
      <c r="H111" s="6" t="str">
        <f t="shared" si="6"/>
        <v>Male</v>
      </c>
      <c r="I111" s="6" t="str">
        <f t="shared" si="7"/>
        <v>Mogadishu</v>
      </c>
      <c r="J111" s="6" t="str">
        <f t="shared" si="8"/>
        <v>Student</v>
      </c>
      <c r="K111" s="6" t="str">
        <f t="shared" si="9"/>
        <v>Low</v>
      </c>
      <c r="L111" s="6">
        <f t="shared" si="10"/>
        <v>2025</v>
      </c>
      <c r="M111" s="6">
        <f t="shared" si="11"/>
        <v>8</v>
      </c>
    </row>
    <row r="112" spans="1:13">
      <c r="A112" s="6" t="s">
        <v>177</v>
      </c>
      <c r="B112" s="14">
        <v>45873</v>
      </c>
      <c r="C112" s="6" t="s">
        <v>8</v>
      </c>
      <c r="D112" s="6">
        <v>52</v>
      </c>
      <c r="E112" s="6" t="s">
        <v>39</v>
      </c>
      <c r="F112" s="6" t="s">
        <v>10</v>
      </c>
      <c r="G112" s="7">
        <v>1064.4100000000001</v>
      </c>
      <c r="H112" s="6" t="str">
        <f t="shared" si="6"/>
        <v>Male</v>
      </c>
      <c r="I112" s="6" t="str">
        <f t="shared" si="7"/>
        <v>Kismayo</v>
      </c>
      <c r="J112" s="6" t="str">
        <f t="shared" si="8"/>
        <v>Healthcare</v>
      </c>
      <c r="K112" s="6" t="str">
        <f t="shared" si="9"/>
        <v>Medium</v>
      </c>
      <c r="L112" s="6">
        <f t="shared" si="10"/>
        <v>2025</v>
      </c>
      <c r="M112" s="6">
        <f t="shared" si="11"/>
        <v>8</v>
      </c>
    </row>
    <row r="113" spans="1:13">
      <c r="A113" s="6" t="s">
        <v>116</v>
      </c>
      <c r="B113" s="14">
        <v>45874</v>
      </c>
      <c r="C113" s="6" t="s">
        <v>8</v>
      </c>
      <c r="D113" s="6">
        <v>45</v>
      </c>
      <c r="E113" s="6" t="s">
        <v>9</v>
      </c>
      <c r="F113" s="6" t="s">
        <v>23</v>
      </c>
      <c r="G113" s="7">
        <v>839.71</v>
      </c>
      <c r="H113" s="6" t="str">
        <f t="shared" si="6"/>
        <v>Male</v>
      </c>
      <c r="I113" s="6" t="str">
        <f t="shared" si="7"/>
        <v>Mogadishu</v>
      </c>
      <c r="J113" s="6" t="str">
        <f t="shared" si="8"/>
        <v>Civil Servant</v>
      </c>
      <c r="K113" s="6" t="str">
        <f t="shared" si="9"/>
        <v>Medium</v>
      </c>
      <c r="L113" s="6">
        <f t="shared" si="10"/>
        <v>2025</v>
      </c>
      <c r="M113" s="6">
        <f t="shared" si="11"/>
        <v>8</v>
      </c>
    </row>
    <row r="114" spans="1:13">
      <c r="A114" s="6" t="s">
        <v>244</v>
      </c>
      <c r="B114" s="14">
        <v>45874</v>
      </c>
      <c r="C114" s="6" t="s">
        <v>8</v>
      </c>
      <c r="D114" s="6">
        <v>52</v>
      </c>
      <c r="E114" s="6" t="s">
        <v>12</v>
      </c>
      <c r="F114" s="6" t="s">
        <v>318</v>
      </c>
      <c r="G114" s="7">
        <v>481.21</v>
      </c>
      <c r="H114" s="6" t="str">
        <f t="shared" si="6"/>
        <v>Male</v>
      </c>
      <c r="I114" s="6" t="str">
        <f t="shared" si="7"/>
        <v>Baidoa</v>
      </c>
      <c r="J114" s="6" t="str">
        <f t="shared" si="8"/>
        <v>Missing</v>
      </c>
      <c r="K114" s="6" t="str">
        <f t="shared" si="9"/>
        <v>Low</v>
      </c>
      <c r="L114" s="6">
        <f t="shared" si="10"/>
        <v>2025</v>
      </c>
      <c r="M114" s="6">
        <f t="shared" si="11"/>
        <v>8</v>
      </c>
    </row>
    <row r="115" spans="1:13">
      <c r="A115" s="6" t="s">
        <v>237</v>
      </c>
      <c r="B115" s="14">
        <v>45875</v>
      </c>
      <c r="C115" s="6" t="s">
        <v>8</v>
      </c>
      <c r="D115" s="6">
        <v>48</v>
      </c>
      <c r="E115" s="6" t="s">
        <v>15</v>
      </c>
      <c r="F115" s="6" t="s">
        <v>195</v>
      </c>
      <c r="G115" s="7">
        <v>923.87</v>
      </c>
      <c r="H115" s="6" t="str">
        <f t="shared" si="6"/>
        <v>Male</v>
      </c>
      <c r="I115" s="6" t="str">
        <f t="shared" si="7"/>
        <v>Hargeisa</v>
      </c>
      <c r="J115" s="6" t="str">
        <f t="shared" si="8"/>
        <v>Civil Servant</v>
      </c>
      <c r="K115" s="6" t="str">
        <f t="shared" si="9"/>
        <v>Medium</v>
      </c>
      <c r="L115" s="6">
        <f t="shared" si="10"/>
        <v>2025</v>
      </c>
      <c r="M115" s="6">
        <f t="shared" si="11"/>
        <v>8</v>
      </c>
    </row>
    <row r="116" spans="1:13">
      <c r="A116" s="6" t="s">
        <v>156</v>
      </c>
      <c r="B116" s="14">
        <v>45875</v>
      </c>
      <c r="C116" s="6" t="s">
        <v>8</v>
      </c>
      <c r="D116" s="6">
        <v>59</v>
      </c>
      <c r="E116" s="6" t="s">
        <v>20</v>
      </c>
      <c r="F116" s="6" t="s">
        <v>13</v>
      </c>
      <c r="G116" s="7">
        <v>923.87</v>
      </c>
      <c r="H116" s="6" t="str">
        <f t="shared" si="6"/>
        <v>Male</v>
      </c>
      <c r="I116" s="6" t="str">
        <f t="shared" si="7"/>
        <v>Bosaso</v>
      </c>
      <c r="J116" s="6" t="str">
        <f t="shared" si="8"/>
        <v>Teacher</v>
      </c>
      <c r="K116" s="6" t="str">
        <f t="shared" si="9"/>
        <v>Medium</v>
      </c>
      <c r="L116" s="6">
        <f t="shared" si="10"/>
        <v>2025</v>
      </c>
      <c r="M116" s="6">
        <f t="shared" si="11"/>
        <v>8</v>
      </c>
    </row>
    <row r="117" spans="1:13">
      <c r="A117" s="6" t="s">
        <v>250</v>
      </c>
      <c r="B117" s="14">
        <v>45876</v>
      </c>
      <c r="C117" s="6" t="s">
        <v>8</v>
      </c>
      <c r="D117" s="6">
        <v>50</v>
      </c>
      <c r="E117" s="6" t="s">
        <v>39</v>
      </c>
      <c r="F117" s="6" t="s">
        <v>13</v>
      </c>
      <c r="G117" s="7">
        <v>818.19</v>
      </c>
      <c r="H117" s="6" t="str">
        <f t="shared" si="6"/>
        <v>Male</v>
      </c>
      <c r="I117" s="6" t="str">
        <f t="shared" si="7"/>
        <v>Kismayo</v>
      </c>
      <c r="J117" s="6" t="str">
        <f t="shared" si="8"/>
        <v>Teacher</v>
      </c>
      <c r="K117" s="6" t="str">
        <f t="shared" si="9"/>
        <v>Medium</v>
      </c>
      <c r="L117" s="6">
        <f t="shared" si="10"/>
        <v>2025</v>
      </c>
      <c r="M117" s="6">
        <f t="shared" si="11"/>
        <v>8</v>
      </c>
    </row>
    <row r="118" spans="1:13">
      <c r="A118" s="6" t="s">
        <v>115</v>
      </c>
      <c r="B118" s="14">
        <v>45877</v>
      </c>
      <c r="C118" s="6" t="s">
        <v>17</v>
      </c>
      <c r="D118" s="6">
        <v>29</v>
      </c>
      <c r="E118" s="6" t="s">
        <v>9</v>
      </c>
      <c r="F118" s="6" t="s">
        <v>18</v>
      </c>
      <c r="G118" s="7">
        <v>923.87</v>
      </c>
      <c r="H118" s="6" t="str">
        <f t="shared" si="6"/>
        <v>Female</v>
      </c>
      <c r="I118" s="6" t="str">
        <f t="shared" si="7"/>
        <v>Mogadishu</v>
      </c>
      <c r="J118" s="6" t="str">
        <f t="shared" si="8"/>
        <v>Student</v>
      </c>
      <c r="K118" s="6" t="str">
        <f t="shared" si="9"/>
        <v>Medium</v>
      </c>
      <c r="L118" s="6">
        <f t="shared" si="10"/>
        <v>2025</v>
      </c>
      <c r="M118" s="6">
        <f t="shared" si="11"/>
        <v>8</v>
      </c>
    </row>
    <row r="119" spans="1:13">
      <c r="B119" s="14">
        <v>45878</v>
      </c>
      <c r="C119" s="6" t="s">
        <v>8</v>
      </c>
      <c r="D119" s="6">
        <v>53</v>
      </c>
      <c r="E119" s="6" t="s">
        <v>9</v>
      </c>
      <c r="F119" s="6" t="s">
        <v>21</v>
      </c>
      <c r="G119" s="7">
        <v>944.96</v>
      </c>
      <c r="H119" s="6" t="str">
        <f t="shared" si="6"/>
        <v>Male</v>
      </c>
      <c r="I119" s="6" t="str">
        <f t="shared" si="7"/>
        <v>Mogadishu</v>
      </c>
      <c r="J119" s="6" t="str">
        <f t="shared" si="8"/>
        <v>Self-Employed</v>
      </c>
      <c r="K119" s="6" t="str">
        <f t="shared" si="9"/>
        <v>Medium</v>
      </c>
      <c r="L119" s="6">
        <f t="shared" si="10"/>
        <v>2025</v>
      </c>
      <c r="M119" s="6">
        <f t="shared" si="11"/>
        <v>8</v>
      </c>
    </row>
    <row r="120" spans="1:13">
      <c r="A120" s="6" t="s">
        <v>181</v>
      </c>
      <c r="B120" s="14">
        <v>45879</v>
      </c>
      <c r="C120" s="6" t="s">
        <v>8</v>
      </c>
      <c r="D120" s="6">
        <v>42</v>
      </c>
      <c r="E120" s="6" t="s">
        <v>15</v>
      </c>
      <c r="F120" s="6" t="s">
        <v>30</v>
      </c>
      <c r="G120" s="7">
        <v>1672.71</v>
      </c>
      <c r="H120" s="6" t="str">
        <f t="shared" si="6"/>
        <v>Male</v>
      </c>
      <c r="I120" s="6" t="str">
        <f t="shared" si="7"/>
        <v>Hargeisa</v>
      </c>
      <c r="J120" s="6" t="str">
        <f t="shared" si="8"/>
        <v>Business Owner</v>
      </c>
      <c r="K120" s="6" t="str">
        <f t="shared" si="9"/>
        <v>High</v>
      </c>
      <c r="L120" s="6">
        <f t="shared" si="10"/>
        <v>2025</v>
      </c>
      <c r="M120" s="6">
        <f t="shared" si="11"/>
        <v>8</v>
      </c>
    </row>
    <row r="121" spans="1:13">
      <c r="A121" s="6" t="s">
        <v>81</v>
      </c>
      <c r="B121" s="14">
        <v>45881</v>
      </c>
      <c r="C121" s="6" t="s">
        <v>8</v>
      </c>
      <c r="D121" s="6">
        <v>25</v>
      </c>
      <c r="E121" s="6" t="s">
        <v>9</v>
      </c>
      <c r="F121" s="6" t="s">
        <v>13</v>
      </c>
      <c r="G121" s="7">
        <v>665.8</v>
      </c>
      <c r="H121" s="6" t="str">
        <f t="shared" si="6"/>
        <v>Male</v>
      </c>
      <c r="I121" s="6" t="str">
        <f t="shared" si="7"/>
        <v>Mogadishu</v>
      </c>
      <c r="J121" s="6" t="str">
        <f t="shared" si="8"/>
        <v>Teacher</v>
      </c>
      <c r="K121" s="6" t="str">
        <f t="shared" si="9"/>
        <v>Low</v>
      </c>
      <c r="L121" s="6">
        <f t="shared" si="10"/>
        <v>2025</v>
      </c>
      <c r="M121" s="6">
        <f t="shared" si="11"/>
        <v>8</v>
      </c>
    </row>
    <row r="122" spans="1:13">
      <c r="A122" s="6" t="s">
        <v>53</v>
      </c>
      <c r="B122" s="14">
        <v>45881</v>
      </c>
      <c r="C122" s="6" t="s">
        <v>8</v>
      </c>
      <c r="D122" s="6">
        <v>36</v>
      </c>
      <c r="E122" s="6" t="s">
        <v>317</v>
      </c>
      <c r="F122" s="6" t="s">
        <v>18</v>
      </c>
      <c r="G122" s="7">
        <v>183.1</v>
      </c>
      <c r="H122" s="6" t="str">
        <f t="shared" si="6"/>
        <v>Male</v>
      </c>
      <c r="I122" s="6" t="str">
        <f t="shared" si="7"/>
        <v>Missing</v>
      </c>
      <c r="J122" s="6" t="str">
        <f t="shared" si="8"/>
        <v>Student</v>
      </c>
      <c r="K122" s="6" t="str">
        <f t="shared" si="9"/>
        <v>Low</v>
      </c>
      <c r="L122" s="6">
        <f t="shared" si="10"/>
        <v>2025</v>
      </c>
      <c r="M122" s="6">
        <f t="shared" si="11"/>
        <v>8</v>
      </c>
    </row>
    <row r="123" spans="1:13">
      <c r="A123" s="6" t="s">
        <v>279</v>
      </c>
      <c r="B123" s="14">
        <v>45883</v>
      </c>
      <c r="C123" s="6" t="s">
        <v>8</v>
      </c>
      <c r="D123" s="6">
        <v>61</v>
      </c>
      <c r="E123" s="6" t="s">
        <v>9</v>
      </c>
      <c r="F123" s="6" t="s">
        <v>21</v>
      </c>
      <c r="G123" s="7">
        <v>961.13</v>
      </c>
      <c r="H123" s="6" t="str">
        <f t="shared" si="6"/>
        <v>Male</v>
      </c>
      <c r="I123" s="6" t="str">
        <f t="shared" si="7"/>
        <v>Mogadishu</v>
      </c>
      <c r="J123" s="6" t="str">
        <f t="shared" si="8"/>
        <v>Self-Employed</v>
      </c>
      <c r="K123" s="6" t="str">
        <f t="shared" si="9"/>
        <v>Medium</v>
      </c>
      <c r="L123" s="6">
        <f t="shared" si="10"/>
        <v>2025</v>
      </c>
      <c r="M123" s="6">
        <f t="shared" si="11"/>
        <v>8</v>
      </c>
    </row>
    <row r="124" spans="1:13">
      <c r="A124" s="6" t="s">
        <v>77</v>
      </c>
      <c r="B124" s="14">
        <v>45884</v>
      </c>
      <c r="C124" s="6" t="s">
        <v>8</v>
      </c>
      <c r="D124" s="6">
        <v>21</v>
      </c>
      <c r="E124" s="6" t="s">
        <v>12</v>
      </c>
      <c r="F124" s="6" t="s">
        <v>44</v>
      </c>
      <c r="G124" s="7">
        <v>1429.26</v>
      </c>
      <c r="H124" s="6" t="str">
        <f t="shared" si="6"/>
        <v>Male</v>
      </c>
      <c r="I124" s="6" t="str">
        <f t="shared" si="7"/>
        <v>Baidoa</v>
      </c>
      <c r="J124" s="6" t="str">
        <f t="shared" si="8"/>
        <v>Engineer</v>
      </c>
      <c r="K124" s="6" t="str">
        <f t="shared" si="9"/>
        <v>Medium</v>
      </c>
      <c r="L124" s="6">
        <f t="shared" si="10"/>
        <v>2025</v>
      </c>
      <c r="M124" s="6">
        <f t="shared" si="11"/>
        <v>8</v>
      </c>
    </row>
    <row r="125" spans="1:13">
      <c r="A125" s="6" t="s">
        <v>280</v>
      </c>
      <c r="B125" s="14">
        <v>45884</v>
      </c>
      <c r="C125" s="6" t="s">
        <v>8</v>
      </c>
      <c r="D125" s="6">
        <v>44</v>
      </c>
      <c r="E125" s="6" t="s">
        <v>9</v>
      </c>
      <c r="F125" s="6" t="s">
        <v>30</v>
      </c>
      <c r="G125" s="7">
        <v>1300.01</v>
      </c>
      <c r="H125" s="6" t="str">
        <f t="shared" si="6"/>
        <v>Male</v>
      </c>
      <c r="I125" s="6" t="str">
        <f t="shared" si="7"/>
        <v>Mogadishu</v>
      </c>
      <c r="J125" s="6" t="str">
        <f t="shared" si="8"/>
        <v>Business Owner</v>
      </c>
      <c r="K125" s="6" t="str">
        <f t="shared" si="9"/>
        <v>Medium</v>
      </c>
      <c r="L125" s="6">
        <f t="shared" si="10"/>
        <v>2025</v>
      </c>
      <c r="M125" s="6">
        <f t="shared" si="11"/>
        <v>8</v>
      </c>
    </row>
    <row r="126" spans="1:13">
      <c r="A126" s="6" t="s">
        <v>51</v>
      </c>
      <c r="B126" s="14">
        <v>45884</v>
      </c>
      <c r="C126" s="6" t="s">
        <v>17</v>
      </c>
      <c r="D126" s="6">
        <v>49</v>
      </c>
      <c r="E126" s="6" t="s">
        <v>39</v>
      </c>
      <c r="F126" s="6" t="s">
        <v>44</v>
      </c>
      <c r="G126" s="7">
        <v>1610.81</v>
      </c>
      <c r="H126" s="6" t="str">
        <f t="shared" si="6"/>
        <v>Female</v>
      </c>
      <c r="I126" s="6" t="str">
        <f t="shared" si="7"/>
        <v>Kismayo</v>
      </c>
      <c r="J126" s="6" t="str">
        <f t="shared" si="8"/>
        <v>Engineer</v>
      </c>
      <c r="K126" s="6" t="str">
        <f t="shared" si="9"/>
        <v>High</v>
      </c>
      <c r="L126" s="6">
        <f t="shared" si="10"/>
        <v>2025</v>
      </c>
      <c r="M126" s="6">
        <f t="shared" si="11"/>
        <v>8</v>
      </c>
    </row>
    <row r="127" spans="1:13">
      <c r="A127" s="6" t="s">
        <v>241</v>
      </c>
      <c r="B127" s="14">
        <v>45884</v>
      </c>
      <c r="C127" s="6" t="s">
        <v>8</v>
      </c>
      <c r="D127" s="6">
        <v>59</v>
      </c>
      <c r="E127" s="6" t="s">
        <v>15</v>
      </c>
      <c r="F127" s="6" t="s">
        <v>13</v>
      </c>
      <c r="G127" s="7">
        <v>508.66</v>
      </c>
      <c r="H127" s="6" t="str">
        <f t="shared" si="6"/>
        <v>Male</v>
      </c>
      <c r="I127" s="6" t="str">
        <f t="shared" si="7"/>
        <v>Hargeisa</v>
      </c>
      <c r="J127" s="6" t="str">
        <f t="shared" si="8"/>
        <v>Teacher</v>
      </c>
      <c r="K127" s="6" t="str">
        <f t="shared" si="9"/>
        <v>Low</v>
      </c>
      <c r="L127" s="6">
        <f t="shared" si="10"/>
        <v>2025</v>
      </c>
      <c r="M127" s="6">
        <f t="shared" si="11"/>
        <v>8</v>
      </c>
    </row>
    <row r="128" spans="1:13">
      <c r="A128" s="6" t="s">
        <v>135</v>
      </c>
      <c r="B128" s="14">
        <v>45886</v>
      </c>
      <c r="C128" s="6" t="s">
        <v>17</v>
      </c>
      <c r="D128" s="6">
        <v>60</v>
      </c>
      <c r="E128" s="6" t="s">
        <v>15</v>
      </c>
      <c r="F128" s="6" t="s">
        <v>21</v>
      </c>
      <c r="G128" s="7">
        <v>712.55</v>
      </c>
      <c r="H128" s="6" t="str">
        <f t="shared" si="6"/>
        <v>Female</v>
      </c>
      <c r="I128" s="6" t="str">
        <f t="shared" si="7"/>
        <v>Hargeisa</v>
      </c>
      <c r="J128" s="6" t="str">
        <f t="shared" si="8"/>
        <v>Self-Employed</v>
      </c>
      <c r="K128" s="6" t="str">
        <f t="shared" si="9"/>
        <v>Low</v>
      </c>
      <c r="L128" s="6">
        <f t="shared" si="10"/>
        <v>2025</v>
      </c>
      <c r="M128" s="6">
        <f t="shared" si="11"/>
        <v>8</v>
      </c>
    </row>
    <row r="129" spans="1:13">
      <c r="A129" s="6" t="s">
        <v>149</v>
      </c>
      <c r="B129" s="14">
        <v>45890</v>
      </c>
      <c r="C129" s="6" t="s">
        <v>8</v>
      </c>
      <c r="D129" s="6">
        <v>60</v>
      </c>
      <c r="E129" s="6" t="s">
        <v>317</v>
      </c>
      <c r="F129" s="6" t="s">
        <v>18</v>
      </c>
      <c r="G129" s="7">
        <v>923.87</v>
      </c>
      <c r="H129" s="6" t="str">
        <f t="shared" si="6"/>
        <v>Male</v>
      </c>
      <c r="I129" s="6" t="str">
        <f t="shared" si="7"/>
        <v>Missing</v>
      </c>
      <c r="J129" s="6" t="str">
        <f t="shared" si="8"/>
        <v>Student</v>
      </c>
      <c r="K129" s="6" t="str">
        <f t="shared" si="9"/>
        <v>Medium</v>
      </c>
      <c r="L129" s="6">
        <f t="shared" si="10"/>
        <v>2025</v>
      </c>
      <c r="M129" s="6">
        <f t="shared" si="11"/>
        <v>8</v>
      </c>
    </row>
    <row r="130" spans="1:13">
      <c r="A130" s="6" t="s">
        <v>269</v>
      </c>
      <c r="B130" s="14">
        <v>45892</v>
      </c>
      <c r="C130" s="6" t="s">
        <v>8</v>
      </c>
      <c r="D130" s="6">
        <v>43</v>
      </c>
      <c r="E130" s="6" t="s">
        <v>39</v>
      </c>
      <c r="F130" s="6" t="s">
        <v>10</v>
      </c>
      <c r="G130" s="7">
        <v>1126.8900000000001</v>
      </c>
      <c r="H130" s="6" t="str">
        <f t="shared" ref="H130:H193" si="12">PROPER(TRIM(C130))</f>
        <v>Male</v>
      </c>
      <c r="I130" s="6" t="str">
        <f t="shared" ref="I130:I193" si="13">PROPER(TRIM(E130))</f>
        <v>Kismayo</v>
      </c>
      <c r="J130" s="6" t="str">
        <f t="shared" ref="J130:J193" si="14">PROPER(TRIM(SUBSTITUTE(F130,"CS","Civil Servant")))</f>
        <v>Healthcare</v>
      </c>
      <c r="K130" s="6" t="str">
        <f t="shared" ref="K130:K193" si="15">IF(G130&gt;=1500,"High",IF(G130&gt;=800,"Medium","Low"))</f>
        <v>Medium</v>
      </c>
      <c r="L130" s="6">
        <f t="shared" ref="L130:L193" si="16">IF(ISNUMBER(B130),YEAR(B130),"")</f>
        <v>2025</v>
      </c>
      <c r="M130" s="6">
        <f t="shared" ref="M130:M193" si="17">IF(ISNUMBER(B130),MONTH(B130),"")</f>
        <v>8</v>
      </c>
    </row>
    <row r="131" spans="1:13">
      <c r="A131" s="6" t="s">
        <v>172</v>
      </c>
      <c r="B131" s="14">
        <v>45892</v>
      </c>
      <c r="C131" s="6" t="s">
        <v>8</v>
      </c>
      <c r="D131" s="6">
        <v>44</v>
      </c>
      <c r="E131" s="6" t="s">
        <v>20</v>
      </c>
      <c r="F131" s="6" t="s">
        <v>30</v>
      </c>
      <c r="G131" s="7">
        <v>895.93</v>
      </c>
      <c r="H131" s="6" t="str">
        <f t="shared" si="12"/>
        <v>Male</v>
      </c>
      <c r="I131" s="6" t="str">
        <f t="shared" si="13"/>
        <v>Bosaso</v>
      </c>
      <c r="J131" s="6" t="str">
        <f t="shared" si="14"/>
        <v>Business Owner</v>
      </c>
      <c r="K131" s="6" t="str">
        <f t="shared" si="15"/>
        <v>Medium</v>
      </c>
      <c r="L131" s="6">
        <f t="shared" si="16"/>
        <v>2025</v>
      </c>
      <c r="M131" s="6">
        <f t="shared" si="17"/>
        <v>8</v>
      </c>
    </row>
    <row r="132" spans="1:13">
      <c r="A132" s="6" t="s">
        <v>240</v>
      </c>
      <c r="B132" s="14">
        <v>45893</v>
      </c>
      <c r="C132" s="6" t="s">
        <v>8</v>
      </c>
      <c r="D132" s="6">
        <v>39</v>
      </c>
      <c r="E132" s="6" t="s">
        <v>15</v>
      </c>
      <c r="F132" s="6" t="s">
        <v>44</v>
      </c>
      <c r="G132" s="7">
        <v>1386</v>
      </c>
      <c r="H132" s="6" t="str">
        <f t="shared" si="12"/>
        <v>Male</v>
      </c>
      <c r="I132" s="6" t="str">
        <f t="shared" si="13"/>
        <v>Hargeisa</v>
      </c>
      <c r="J132" s="6" t="str">
        <f t="shared" si="14"/>
        <v>Engineer</v>
      </c>
      <c r="K132" s="6" t="str">
        <f t="shared" si="15"/>
        <v>Medium</v>
      </c>
      <c r="L132" s="6">
        <f t="shared" si="16"/>
        <v>2025</v>
      </c>
      <c r="M132" s="6">
        <f t="shared" si="17"/>
        <v>8</v>
      </c>
    </row>
    <row r="133" spans="1:13">
      <c r="A133" s="6" t="s">
        <v>243</v>
      </c>
      <c r="B133" s="14">
        <v>45895</v>
      </c>
      <c r="C133" s="6" t="s">
        <v>17</v>
      </c>
      <c r="D133" s="6">
        <v>61</v>
      </c>
      <c r="E133" s="6" t="s">
        <v>9</v>
      </c>
      <c r="F133" s="6" t="s">
        <v>13</v>
      </c>
      <c r="G133" s="7">
        <v>923.87</v>
      </c>
      <c r="H133" s="6" t="str">
        <f t="shared" si="12"/>
        <v>Female</v>
      </c>
      <c r="I133" s="6" t="str">
        <f t="shared" si="13"/>
        <v>Mogadishu</v>
      </c>
      <c r="J133" s="6" t="str">
        <f t="shared" si="14"/>
        <v>Teacher</v>
      </c>
      <c r="K133" s="6" t="str">
        <f t="shared" si="15"/>
        <v>Medium</v>
      </c>
      <c r="L133" s="6">
        <f t="shared" si="16"/>
        <v>2025</v>
      </c>
      <c r="M133" s="6">
        <f t="shared" si="17"/>
        <v>8</v>
      </c>
    </row>
    <row r="134" spans="1:13">
      <c r="A134" s="6" t="s">
        <v>193</v>
      </c>
      <c r="B134" s="14">
        <v>45896</v>
      </c>
      <c r="C134" s="6" t="s">
        <v>8</v>
      </c>
      <c r="D134" s="6">
        <v>26</v>
      </c>
      <c r="E134" s="6" t="s">
        <v>20</v>
      </c>
      <c r="F134" s="6" t="s">
        <v>44</v>
      </c>
      <c r="G134" s="7">
        <v>1481.76</v>
      </c>
      <c r="H134" s="6" t="str">
        <f t="shared" si="12"/>
        <v>Male</v>
      </c>
      <c r="I134" s="6" t="str">
        <f t="shared" si="13"/>
        <v>Bosaso</v>
      </c>
      <c r="J134" s="6" t="str">
        <f t="shared" si="14"/>
        <v>Engineer</v>
      </c>
      <c r="K134" s="6" t="str">
        <f t="shared" si="15"/>
        <v>Medium</v>
      </c>
      <c r="L134" s="6">
        <f t="shared" si="16"/>
        <v>2025</v>
      </c>
      <c r="M134" s="6">
        <f t="shared" si="17"/>
        <v>8</v>
      </c>
    </row>
    <row r="135" spans="1:13">
      <c r="A135" s="6" t="s">
        <v>201</v>
      </c>
      <c r="B135" s="14">
        <v>45899</v>
      </c>
      <c r="C135" s="6" t="s">
        <v>8</v>
      </c>
      <c r="D135" s="6">
        <v>67</v>
      </c>
      <c r="E135" s="6" t="s">
        <v>39</v>
      </c>
      <c r="F135" s="6" t="s">
        <v>13</v>
      </c>
      <c r="G135" s="7">
        <v>828.77</v>
      </c>
      <c r="H135" s="6" t="str">
        <f t="shared" si="12"/>
        <v>Male</v>
      </c>
      <c r="I135" s="6" t="str">
        <f t="shared" si="13"/>
        <v>Kismayo</v>
      </c>
      <c r="J135" s="6" t="str">
        <f t="shared" si="14"/>
        <v>Teacher</v>
      </c>
      <c r="K135" s="6" t="str">
        <f t="shared" si="15"/>
        <v>Medium</v>
      </c>
      <c r="L135" s="6">
        <f t="shared" si="16"/>
        <v>2025</v>
      </c>
      <c r="M135" s="6">
        <f t="shared" si="17"/>
        <v>8</v>
      </c>
    </row>
    <row r="136" spans="1:13">
      <c r="A136" s="6" t="s">
        <v>236</v>
      </c>
      <c r="B136" s="14">
        <v>45900</v>
      </c>
      <c r="C136" s="6" t="s">
        <v>17</v>
      </c>
      <c r="D136" s="6">
        <v>22</v>
      </c>
      <c r="E136" s="6" t="s">
        <v>15</v>
      </c>
      <c r="F136" s="6" t="s">
        <v>318</v>
      </c>
      <c r="G136" s="7">
        <v>721.11</v>
      </c>
      <c r="H136" s="6" t="str">
        <f t="shared" si="12"/>
        <v>Female</v>
      </c>
      <c r="I136" s="6" t="str">
        <f t="shared" si="13"/>
        <v>Hargeisa</v>
      </c>
      <c r="J136" s="6" t="str">
        <f t="shared" si="14"/>
        <v>Missing</v>
      </c>
      <c r="K136" s="6" t="str">
        <f t="shared" si="15"/>
        <v>Low</v>
      </c>
      <c r="L136" s="6">
        <f t="shared" si="16"/>
        <v>2025</v>
      </c>
      <c r="M136" s="6">
        <f t="shared" si="17"/>
        <v>8</v>
      </c>
    </row>
    <row r="137" spans="1:13">
      <c r="A137" s="6" t="s">
        <v>25</v>
      </c>
      <c r="B137" s="14">
        <v>45902</v>
      </c>
      <c r="C137" s="6" t="s">
        <v>17</v>
      </c>
      <c r="D137" s="6">
        <v>46</v>
      </c>
      <c r="E137" s="6" t="s">
        <v>9</v>
      </c>
      <c r="F137" s="6" t="s">
        <v>318</v>
      </c>
      <c r="G137" s="7">
        <v>911.36</v>
      </c>
      <c r="H137" s="6" t="str">
        <f t="shared" si="12"/>
        <v>Female</v>
      </c>
      <c r="I137" s="6" t="str">
        <f t="shared" si="13"/>
        <v>Mogadishu</v>
      </c>
      <c r="J137" s="6" t="str">
        <f t="shared" si="14"/>
        <v>Missing</v>
      </c>
      <c r="K137" s="6" t="str">
        <f t="shared" si="15"/>
        <v>Medium</v>
      </c>
      <c r="L137" s="6">
        <f t="shared" si="16"/>
        <v>2025</v>
      </c>
      <c r="M137" s="6">
        <f t="shared" si="17"/>
        <v>9</v>
      </c>
    </row>
    <row r="138" spans="1:13">
      <c r="B138" s="14">
        <v>45908</v>
      </c>
      <c r="C138" s="6" t="s">
        <v>17</v>
      </c>
      <c r="D138" s="6">
        <v>32</v>
      </c>
      <c r="E138" s="6" t="s">
        <v>74</v>
      </c>
      <c r="F138" s="6" t="s">
        <v>30</v>
      </c>
      <c r="G138" s="7">
        <v>1614.28</v>
      </c>
      <c r="H138" s="6" t="str">
        <f t="shared" si="12"/>
        <v>Female</v>
      </c>
      <c r="I138" s="6" t="str">
        <f t="shared" si="13"/>
        <v>Garowe</v>
      </c>
      <c r="J138" s="6" t="str">
        <f t="shared" si="14"/>
        <v>Business Owner</v>
      </c>
      <c r="K138" s="6" t="str">
        <f t="shared" si="15"/>
        <v>High</v>
      </c>
      <c r="L138" s="6">
        <f t="shared" si="16"/>
        <v>2025</v>
      </c>
      <c r="M138" s="6">
        <f t="shared" si="17"/>
        <v>9</v>
      </c>
    </row>
    <row r="139" spans="1:13">
      <c r="A139" s="6" t="s">
        <v>98</v>
      </c>
      <c r="B139" s="14">
        <v>45913</v>
      </c>
      <c r="C139" s="6" t="s">
        <v>17</v>
      </c>
      <c r="D139" s="6">
        <v>62</v>
      </c>
      <c r="E139" s="6" t="s">
        <v>9</v>
      </c>
      <c r="F139" s="6" t="s">
        <v>21</v>
      </c>
      <c r="G139" s="7">
        <v>1156.93</v>
      </c>
      <c r="H139" s="6" t="str">
        <f t="shared" si="12"/>
        <v>Female</v>
      </c>
      <c r="I139" s="6" t="str">
        <f t="shared" si="13"/>
        <v>Mogadishu</v>
      </c>
      <c r="J139" s="6" t="str">
        <f t="shared" si="14"/>
        <v>Self-Employed</v>
      </c>
      <c r="K139" s="6" t="str">
        <f t="shared" si="15"/>
        <v>Medium</v>
      </c>
      <c r="L139" s="6">
        <f t="shared" si="16"/>
        <v>2025</v>
      </c>
      <c r="M139" s="6">
        <f t="shared" si="17"/>
        <v>9</v>
      </c>
    </row>
    <row r="140" spans="1:13">
      <c r="A140" s="6" t="s">
        <v>262</v>
      </c>
      <c r="B140" s="14">
        <v>45917</v>
      </c>
      <c r="C140" s="6" t="s">
        <v>17</v>
      </c>
      <c r="D140" s="6">
        <v>32</v>
      </c>
      <c r="E140" s="6" t="s">
        <v>12</v>
      </c>
      <c r="F140" s="6" t="s">
        <v>44</v>
      </c>
      <c r="G140" s="7">
        <v>1425.97</v>
      </c>
      <c r="H140" s="6" t="str">
        <f t="shared" si="12"/>
        <v>Female</v>
      </c>
      <c r="I140" s="6" t="str">
        <f t="shared" si="13"/>
        <v>Baidoa</v>
      </c>
      <c r="J140" s="6" t="str">
        <f t="shared" si="14"/>
        <v>Engineer</v>
      </c>
      <c r="K140" s="6" t="str">
        <f t="shared" si="15"/>
        <v>Medium</v>
      </c>
      <c r="L140" s="6">
        <f t="shared" si="16"/>
        <v>2025</v>
      </c>
      <c r="M140" s="6">
        <f t="shared" si="17"/>
        <v>9</v>
      </c>
    </row>
    <row r="141" spans="1:13">
      <c r="A141" s="6" t="s">
        <v>87</v>
      </c>
      <c r="B141" s="14">
        <v>45918</v>
      </c>
      <c r="C141" s="6" t="s">
        <v>17</v>
      </c>
      <c r="D141" s="6">
        <v>40</v>
      </c>
      <c r="E141" s="6" t="s">
        <v>39</v>
      </c>
      <c r="F141" s="6" t="s">
        <v>30</v>
      </c>
      <c r="G141" s="7">
        <v>677.55</v>
      </c>
      <c r="H141" s="6" t="str">
        <f t="shared" si="12"/>
        <v>Female</v>
      </c>
      <c r="I141" s="6" t="str">
        <f t="shared" si="13"/>
        <v>Kismayo</v>
      </c>
      <c r="J141" s="6" t="str">
        <f t="shared" si="14"/>
        <v>Business Owner</v>
      </c>
      <c r="K141" s="6" t="str">
        <f t="shared" si="15"/>
        <v>Low</v>
      </c>
      <c r="L141" s="6">
        <f t="shared" si="16"/>
        <v>2025</v>
      </c>
      <c r="M141" s="6">
        <f t="shared" si="17"/>
        <v>9</v>
      </c>
    </row>
    <row r="142" spans="1:13">
      <c r="A142" s="6" t="s">
        <v>233</v>
      </c>
      <c r="B142" s="14">
        <v>45919</v>
      </c>
      <c r="C142" s="6" t="s">
        <v>17</v>
      </c>
      <c r="D142" s="6">
        <v>19</v>
      </c>
      <c r="E142" s="6" t="s">
        <v>15</v>
      </c>
      <c r="F142" s="6" t="s">
        <v>23</v>
      </c>
      <c r="G142" s="7">
        <v>916.62</v>
      </c>
      <c r="H142" s="6" t="str">
        <f t="shared" si="12"/>
        <v>Female</v>
      </c>
      <c r="I142" s="6" t="str">
        <f t="shared" si="13"/>
        <v>Hargeisa</v>
      </c>
      <c r="J142" s="6" t="str">
        <f t="shared" si="14"/>
        <v>Civil Servant</v>
      </c>
      <c r="K142" s="6" t="str">
        <f t="shared" si="15"/>
        <v>Medium</v>
      </c>
      <c r="L142" s="6">
        <f t="shared" si="16"/>
        <v>2025</v>
      </c>
      <c r="M142" s="6">
        <f t="shared" si="17"/>
        <v>9</v>
      </c>
    </row>
    <row r="143" spans="1:13">
      <c r="A143" s="6" t="s">
        <v>229</v>
      </c>
      <c r="B143" s="14">
        <v>45925</v>
      </c>
      <c r="C143" s="6" t="s">
        <v>17</v>
      </c>
      <c r="D143" s="6">
        <v>58</v>
      </c>
      <c r="E143" s="6" t="s">
        <v>9</v>
      </c>
      <c r="F143" s="6" t="s">
        <v>30</v>
      </c>
      <c r="G143" s="7">
        <v>1013.28</v>
      </c>
      <c r="H143" s="6" t="str">
        <f t="shared" si="12"/>
        <v>Female</v>
      </c>
      <c r="I143" s="6" t="str">
        <f t="shared" si="13"/>
        <v>Mogadishu</v>
      </c>
      <c r="J143" s="6" t="str">
        <f t="shared" si="14"/>
        <v>Business Owner</v>
      </c>
      <c r="K143" s="6" t="str">
        <f t="shared" si="15"/>
        <v>Medium</v>
      </c>
      <c r="L143" s="6">
        <f t="shared" si="16"/>
        <v>2025</v>
      </c>
      <c r="M143" s="6">
        <f t="shared" si="17"/>
        <v>9</v>
      </c>
    </row>
    <row r="144" spans="1:13">
      <c r="A144" s="6" t="s">
        <v>48</v>
      </c>
      <c r="B144" s="14">
        <v>45925</v>
      </c>
      <c r="C144" s="6" t="s">
        <v>17</v>
      </c>
      <c r="D144" s="6">
        <v>66</v>
      </c>
      <c r="E144" s="6" t="s">
        <v>9</v>
      </c>
      <c r="F144" s="6" t="s">
        <v>23</v>
      </c>
      <c r="G144" s="7">
        <v>656.1</v>
      </c>
      <c r="H144" s="6" t="str">
        <f t="shared" si="12"/>
        <v>Female</v>
      </c>
      <c r="I144" s="6" t="str">
        <f t="shared" si="13"/>
        <v>Mogadishu</v>
      </c>
      <c r="J144" s="6" t="str">
        <f t="shared" si="14"/>
        <v>Civil Servant</v>
      </c>
      <c r="K144" s="6" t="str">
        <f t="shared" si="15"/>
        <v>Low</v>
      </c>
      <c r="L144" s="6">
        <f t="shared" si="16"/>
        <v>2025</v>
      </c>
      <c r="M144" s="6">
        <f t="shared" si="17"/>
        <v>9</v>
      </c>
    </row>
    <row r="145" spans="1:13">
      <c r="A145" s="6" t="s">
        <v>109</v>
      </c>
      <c r="B145" s="14">
        <v>45928</v>
      </c>
      <c r="C145" s="6" t="s">
        <v>17</v>
      </c>
      <c r="D145" s="6">
        <v>61</v>
      </c>
      <c r="E145" s="6" t="s">
        <v>15</v>
      </c>
      <c r="F145" s="6" t="s">
        <v>318</v>
      </c>
      <c r="G145" s="7">
        <v>667.7</v>
      </c>
      <c r="H145" s="6" t="str">
        <f t="shared" si="12"/>
        <v>Female</v>
      </c>
      <c r="I145" s="6" t="str">
        <f t="shared" si="13"/>
        <v>Hargeisa</v>
      </c>
      <c r="J145" s="6" t="str">
        <f t="shared" si="14"/>
        <v>Missing</v>
      </c>
      <c r="K145" s="6" t="str">
        <f t="shared" si="15"/>
        <v>Low</v>
      </c>
      <c r="L145" s="6">
        <f t="shared" si="16"/>
        <v>2025</v>
      </c>
      <c r="M145" s="6">
        <f t="shared" si="17"/>
        <v>9</v>
      </c>
    </row>
    <row r="146" spans="1:13">
      <c r="A146" s="6" t="s">
        <v>199</v>
      </c>
      <c r="B146" s="14">
        <v>45930</v>
      </c>
      <c r="C146" s="6" t="s">
        <v>17</v>
      </c>
      <c r="D146" s="6">
        <v>66</v>
      </c>
      <c r="E146" s="6" t="s">
        <v>9</v>
      </c>
      <c r="F146" s="6" t="s">
        <v>30</v>
      </c>
      <c r="G146" s="7">
        <v>969.34</v>
      </c>
      <c r="H146" s="6" t="str">
        <f t="shared" si="12"/>
        <v>Female</v>
      </c>
      <c r="I146" s="6" t="str">
        <f t="shared" si="13"/>
        <v>Mogadishu</v>
      </c>
      <c r="J146" s="6" t="str">
        <f t="shared" si="14"/>
        <v>Business Owner</v>
      </c>
      <c r="K146" s="6" t="str">
        <f t="shared" si="15"/>
        <v>Medium</v>
      </c>
      <c r="L146" s="6">
        <f t="shared" si="16"/>
        <v>2025</v>
      </c>
      <c r="M146" s="6">
        <f t="shared" si="17"/>
        <v>9</v>
      </c>
    </row>
    <row r="147" spans="1:13">
      <c r="A147" s="6" t="s">
        <v>163</v>
      </c>
      <c r="B147" s="14">
        <v>45931</v>
      </c>
      <c r="C147" s="6" t="s">
        <v>8</v>
      </c>
      <c r="D147" s="6">
        <v>68</v>
      </c>
      <c r="E147" s="6" t="s">
        <v>9</v>
      </c>
      <c r="F147" s="6" t="s">
        <v>318</v>
      </c>
      <c r="G147" s="7">
        <v>843.99</v>
      </c>
      <c r="H147" s="6" t="str">
        <f t="shared" si="12"/>
        <v>Male</v>
      </c>
      <c r="I147" s="6" t="str">
        <f t="shared" si="13"/>
        <v>Mogadishu</v>
      </c>
      <c r="J147" s="6" t="str">
        <f t="shared" si="14"/>
        <v>Missing</v>
      </c>
      <c r="K147" s="6" t="str">
        <f t="shared" si="15"/>
        <v>Medium</v>
      </c>
      <c r="L147" s="6">
        <f t="shared" si="16"/>
        <v>2025</v>
      </c>
      <c r="M147" s="6">
        <f t="shared" si="17"/>
        <v>10</v>
      </c>
    </row>
    <row r="148" spans="1:13">
      <c r="A148" s="6" t="s">
        <v>198</v>
      </c>
      <c r="B148" s="14">
        <v>45932</v>
      </c>
      <c r="C148" s="6" t="s">
        <v>17</v>
      </c>
      <c r="D148" s="6">
        <v>33</v>
      </c>
      <c r="E148" s="6" t="s">
        <v>74</v>
      </c>
      <c r="F148" s="6" t="s">
        <v>10</v>
      </c>
      <c r="G148" s="7">
        <v>1332.38</v>
      </c>
      <c r="H148" s="6" t="str">
        <f t="shared" si="12"/>
        <v>Female</v>
      </c>
      <c r="I148" s="6" t="str">
        <f t="shared" si="13"/>
        <v>Garowe</v>
      </c>
      <c r="J148" s="6" t="str">
        <f t="shared" si="14"/>
        <v>Healthcare</v>
      </c>
      <c r="K148" s="6" t="str">
        <f t="shared" si="15"/>
        <v>Medium</v>
      </c>
      <c r="L148" s="6">
        <f t="shared" si="16"/>
        <v>2025</v>
      </c>
      <c r="M148" s="6">
        <f t="shared" si="17"/>
        <v>10</v>
      </c>
    </row>
    <row r="149" spans="1:13">
      <c r="A149" s="6" t="s">
        <v>221</v>
      </c>
      <c r="B149" s="14">
        <v>45932</v>
      </c>
      <c r="C149" s="6" t="s">
        <v>8</v>
      </c>
      <c r="D149" s="6">
        <v>54</v>
      </c>
      <c r="E149" s="6" t="s">
        <v>39</v>
      </c>
      <c r="F149" s="6" t="s">
        <v>23</v>
      </c>
      <c r="G149" s="7">
        <v>1108.6199999999999</v>
      </c>
      <c r="H149" s="6" t="str">
        <f t="shared" si="12"/>
        <v>Male</v>
      </c>
      <c r="I149" s="6" t="str">
        <f t="shared" si="13"/>
        <v>Kismayo</v>
      </c>
      <c r="J149" s="6" t="str">
        <f t="shared" si="14"/>
        <v>Civil Servant</v>
      </c>
      <c r="K149" s="6" t="str">
        <f t="shared" si="15"/>
        <v>Medium</v>
      </c>
      <c r="L149" s="6">
        <f t="shared" si="16"/>
        <v>2025</v>
      </c>
      <c r="M149" s="6">
        <f t="shared" si="17"/>
        <v>10</v>
      </c>
    </row>
    <row r="150" spans="1:13">
      <c r="A150" s="6" t="s">
        <v>300</v>
      </c>
      <c r="B150" s="14">
        <v>45934</v>
      </c>
      <c r="C150" s="6" t="s">
        <v>8</v>
      </c>
      <c r="D150" s="6">
        <v>27</v>
      </c>
      <c r="E150" s="6" t="s">
        <v>20</v>
      </c>
      <c r="F150" s="6" t="s">
        <v>23</v>
      </c>
      <c r="G150" s="7">
        <v>897.29</v>
      </c>
      <c r="H150" s="6" t="str">
        <f t="shared" si="12"/>
        <v>Male</v>
      </c>
      <c r="I150" s="6" t="str">
        <f t="shared" si="13"/>
        <v>Bosaso</v>
      </c>
      <c r="J150" s="6" t="str">
        <f t="shared" si="14"/>
        <v>Civil Servant</v>
      </c>
      <c r="K150" s="6" t="str">
        <f t="shared" si="15"/>
        <v>Medium</v>
      </c>
      <c r="L150" s="6">
        <f t="shared" si="16"/>
        <v>2025</v>
      </c>
      <c r="M150" s="6">
        <f t="shared" si="17"/>
        <v>10</v>
      </c>
    </row>
    <row r="151" spans="1:13">
      <c r="A151" s="6" t="s">
        <v>36</v>
      </c>
      <c r="B151" s="14">
        <v>45937</v>
      </c>
      <c r="C151" s="6" t="s">
        <v>17</v>
      </c>
      <c r="D151" s="6">
        <v>44</v>
      </c>
      <c r="E151" s="6" t="s">
        <v>20</v>
      </c>
      <c r="F151" s="6" t="s">
        <v>18</v>
      </c>
      <c r="G151" s="7">
        <v>265.52</v>
      </c>
      <c r="H151" s="6" t="str">
        <f t="shared" si="12"/>
        <v>Female</v>
      </c>
      <c r="I151" s="6" t="str">
        <f t="shared" si="13"/>
        <v>Bosaso</v>
      </c>
      <c r="J151" s="6" t="str">
        <f t="shared" si="14"/>
        <v>Student</v>
      </c>
      <c r="K151" s="6" t="str">
        <f t="shared" si="15"/>
        <v>Low</v>
      </c>
      <c r="L151" s="6">
        <f t="shared" si="16"/>
        <v>2025</v>
      </c>
      <c r="M151" s="6">
        <f t="shared" si="17"/>
        <v>10</v>
      </c>
    </row>
    <row r="152" spans="1:13">
      <c r="A152" s="6" t="s">
        <v>159</v>
      </c>
      <c r="B152" s="14">
        <v>45938</v>
      </c>
      <c r="C152" s="6" t="s">
        <v>8</v>
      </c>
      <c r="D152" s="6">
        <v>52</v>
      </c>
      <c r="E152" s="6" t="s">
        <v>39</v>
      </c>
      <c r="F152" s="6" t="s">
        <v>18</v>
      </c>
      <c r="G152" s="7">
        <v>316.74</v>
      </c>
      <c r="H152" s="6" t="str">
        <f t="shared" si="12"/>
        <v>Male</v>
      </c>
      <c r="I152" s="6" t="str">
        <f t="shared" si="13"/>
        <v>Kismayo</v>
      </c>
      <c r="J152" s="6" t="str">
        <f t="shared" si="14"/>
        <v>Student</v>
      </c>
      <c r="K152" s="6" t="str">
        <f t="shared" si="15"/>
        <v>Low</v>
      </c>
      <c r="L152" s="6">
        <f t="shared" si="16"/>
        <v>2025</v>
      </c>
      <c r="M152" s="6">
        <f t="shared" si="17"/>
        <v>10</v>
      </c>
    </row>
    <row r="153" spans="1:13">
      <c r="A153" s="6" t="s">
        <v>286</v>
      </c>
      <c r="B153" s="14">
        <v>45941</v>
      </c>
      <c r="C153" s="6" t="s">
        <v>8</v>
      </c>
      <c r="D153" s="6">
        <v>20</v>
      </c>
      <c r="E153" s="6" t="s">
        <v>15</v>
      </c>
      <c r="F153" s="6" t="s">
        <v>21</v>
      </c>
      <c r="G153" s="7">
        <v>438.08</v>
      </c>
      <c r="H153" s="6" t="str">
        <f t="shared" si="12"/>
        <v>Male</v>
      </c>
      <c r="I153" s="6" t="str">
        <f t="shared" si="13"/>
        <v>Hargeisa</v>
      </c>
      <c r="J153" s="6" t="str">
        <f t="shared" si="14"/>
        <v>Self-Employed</v>
      </c>
      <c r="K153" s="6" t="str">
        <f t="shared" si="15"/>
        <v>Low</v>
      </c>
      <c r="L153" s="6">
        <f t="shared" si="16"/>
        <v>2025</v>
      </c>
      <c r="M153" s="6">
        <f t="shared" si="17"/>
        <v>10</v>
      </c>
    </row>
    <row r="154" spans="1:13">
      <c r="A154" s="6" t="s">
        <v>91</v>
      </c>
      <c r="B154" s="14">
        <v>45942</v>
      </c>
      <c r="C154" s="6" t="s">
        <v>317</v>
      </c>
      <c r="D154" s="6">
        <v>24</v>
      </c>
      <c r="E154" s="6" t="s">
        <v>20</v>
      </c>
      <c r="F154" s="6" t="s">
        <v>44</v>
      </c>
      <c r="G154" s="7">
        <v>1155.95</v>
      </c>
      <c r="H154" s="6" t="str">
        <f t="shared" si="12"/>
        <v>Missing</v>
      </c>
      <c r="I154" s="6" t="str">
        <f t="shared" si="13"/>
        <v>Bosaso</v>
      </c>
      <c r="J154" s="6" t="str">
        <f t="shared" si="14"/>
        <v>Engineer</v>
      </c>
      <c r="K154" s="6" t="str">
        <f t="shared" si="15"/>
        <v>Medium</v>
      </c>
      <c r="L154" s="6">
        <f t="shared" si="16"/>
        <v>2025</v>
      </c>
      <c r="M154" s="6">
        <f t="shared" si="17"/>
        <v>10</v>
      </c>
    </row>
    <row r="155" spans="1:13">
      <c r="A155" s="6" t="s">
        <v>133</v>
      </c>
      <c r="B155" s="14">
        <v>45943</v>
      </c>
      <c r="C155" s="6" t="s">
        <v>8</v>
      </c>
      <c r="D155" s="6">
        <v>123</v>
      </c>
      <c r="E155" s="6" t="s">
        <v>9</v>
      </c>
      <c r="F155" s="6" t="s">
        <v>44</v>
      </c>
      <c r="G155" s="7">
        <v>796.52</v>
      </c>
      <c r="H155" s="6" t="str">
        <f t="shared" si="12"/>
        <v>Male</v>
      </c>
      <c r="I155" s="6" t="str">
        <f t="shared" si="13"/>
        <v>Mogadishu</v>
      </c>
      <c r="J155" s="6" t="str">
        <f t="shared" si="14"/>
        <v>Engineer</v>
      </c>
      <c r="K155" s="6" t="str">
        <f t="shared" si="15"/>
        <v>Low</v>
      </c>
      <c r="L155" s="6">
        <f t="shared" si="16"/>
        <v>2025</v>
      </c>
      <c r="M155" s="6">
        <f t="shared" si="17"/>
        <v>10</v>
      </c>
    </row>
    <row r="156" spans="1:13">
      <c r="B156" s="14">
        <v>45945</v>
      </c>
      <c r="C156" s="6" t="s">
        <v>17</v>
      </c>
      <c r="D156" s="6">
        <v>41</v>
      </c>
      <c r="E156" s="6" t="s">
        <v>20</v>
      </c>
      <c r="F156" s="6" t="s">
        <v>10</v>
      </c>
      <c r="G156" s="7">
        <v>1200.17</v>
      </c>
      <c r="H156" s="6" t="str">
        <f t="shared" si="12"/>
        <v>Female</v>
      </c>
      <c r="I156" s="6" t="str">
        <f t="shared" si="13"/>
        <v>Bosaso</v>
      </c>
      <c r="J156" s="6" t="str">
        <f t="shared" si="14"/>
        <v>Healthcare</v>
      </c>
      <c r="K156" s="6" t="str">
        <f t="shared" si="15"/>
        <v>Medium</v>
      </c>
      <c r="L156" s="6">
        <f t="shared" si="16"/>
        <v>2025</v>
      </c>
      <c r="M156" s="6">
        <f t="shared" si="17"/>
        <v>10</v>
      </c>
    </row>
    <row r="157" spans="1:13">
      <c r="A157" s="6" t="s">
        <v>122</v>
      </c>
      <c r="B157" s="14">
        <v>45950</v>
      </c>
      <c r="C157" s="6" t="s">
        <v>317</v>
      </c>
      <c r="D157" s="6">
        <v>21</v>
      </c>
      <c r="E157" s="6" t="s">
        <v>9</v>
      </c>
      <c r="F157" s="6" t="s">
        <v>30</v>
      </c>
      <c r="G157" s="7">
        <v>1996.92</v>
      </c>
      <c r="H157" s="6" t="str">
        <f t="shared" si="12"/>
        <v>Missing</v>
      </c>
      <c r="I157" s="6" t="str">
        <f t="shared" si="13"/>
        <v>Mogadishu</v>
      </c>
      <c r="J157" s="6" t="str">
        <f t="shared" si="14"/>
        <v>Business Owner</v>
      </c>
      <c r="K157" s="6" t="str">
        <f t="shared" si="15"/>
        <v>High</v>
      </c>
      <c r="L157" s="6">
        <f t="shared" si="16"/>
        <v>2025</v>
      </c>
      <c r="M157" s="6">
        <f t="shared" si="17"/>
        <v>10</v>
      </c>
    </row>
    <row r="158" spans="1:13">
      <c r="A158" s="6" t="s">
        <v>119</v>
      </c>
      <c r="B158" s="14">
        <v>45951</v>
      </c>
      <c r="C158" s="6" t="s">
        <v>17</v>
      </c>
      <c r="D158" s="6">
        <v>26</v>
      </c>
      <c r="E158" s="6" t="s">
        <v>9</v>
      </c>
      <c r="F158" s="6" t="s">
        <v>13</v>
      </c>
      <c r="G158" s="7">
        <v>896.23</v>
      </c>
      <c r="H158" s="6" t="str">
        <f t="shared" si="12"/>
        <v>Female</v>
      </c>
      <c r="I158" s="6" t="str">
        <f t="shared" si="13"/>
        <v>Mogadishu</v>
      </c>
      <c r="J158" s="6" t="str">
        <f t="shared" si="14"/>
        <v>Teacher</v>
      </c>
      <c r="K158" s="6" t="str">
        <f t="shared" si="15"/>
        <v>Medium</v>
      </c>
      <c r="L158" s="6">
        <f t="shared" si="16"/>
        <v>2025</v>
      </c>
      <c r="M158" s="6">
        <f t="shared" si="17"/>
        <v>10</v>
      </c>
    </row>
    <row r="159" spans="1:13">
      <c r="A159" s="6" t="s">
        <v>16</v>
      </c>
      <c r="B159" s="14">
        <v>45954</v>
      </c>
      <c r="C159" s="6" t="s">
        <v>17</v>
      </c>
      <c r="D159" s="6">
        <v>20</v>
      </c>
      <c r="E159" s="6" t="s">
        <v>9</v>
      </c>
      <c r="F159" s="6" t="s">
        <v>18</v>
      </c>
      <c r="G159" s="7">
        <v>295.45</v>
      </c>
      <c r="H159" s="6" t="str">
        <f t="shared" si="12"/>
        <v>Female</v>
      </c>
      <c r="I159" s="6" t="str">
        <f t="shared" si="13"/>
        <v>Mogadishu</v>
      </c>
      <c r="J159" s="6" t="str">
        <f t="shared" si="14"/>
        <v>Student</v>
      </c>
      <c r="K159" s="6" t="str">
        <f t="shared" si="15"/>
        <v>Low</v>
      </c>
      <c r="L159" s="6">
        <f t="shared" si="16"/>
        <v>2025</v>
      </c>
      <c r="M159" s="6">
        <f t="shared" si="17"/>
        <v>10</v>
      </c>
    </row>
    <row r="160" spans="1:13">
      <c r="A160" s="6" t="s">
        <v>304</v>
      </c>
      <c r="B160" s="14">
        <v>45956</v>
      </c>
      <c r="C160" s="6" t="s">
        <v>8</v>
      </c>
      <c r="D160" s="6">
        <v>34</v>
      </c>
      <c r="E160" s="6" t="s">
        <v>20</v>
      </c>
      <c r="F160" s="6" t="s">
        <v>23</v>
      </c>
      <c r="G160" s="7">
        <v>862.99</v>
      </c>
      <c r="H160" s="6" t="str">
        <f t="shared" si="12"/>
        <v>Male</v>
      </c>
      <c r="I160" s="6" t="str">
        <f t="shared" si="13"/>
        <v>Bosaso</v>
      </c>
      <c r="J160" s="6" t="str">
        <f t="shared" si="14"/>
        <v>Civil Servant</v>
      </c>
      <c r="K160" s="6" t="str">
        <f t="shared" si="15"/>
        <v>Medium</v>
      </c>
      <c r="L160" s="6">
        <f t="shared" si="16"/>
        <v>2025</v>
      </c>
      <c r="M160" s="6">
        <f t="shared" si="17"/>
        <v>10</v>
      </c>
    </row>
    <row r="161" spans="1:13">
      <c r="B161" s="14">
        <v>45957</v>
      </c>
      <c r="C161" s="6" t="s">
        <v>8</v>
      </c>
      <c r="D161" s="6">
        <v>68</v>
      </c>
      <c r="E161" s="6" t="s">
        <v>15</v>
      </c>
      <c r="F161" s="6" t="s">
        <v>10</v>
      </c>
      <c r="G161" s="7">
        <v>947.64</v>
      </c>
      <c r="H161" s="6" t="str">
        <f t="shared" si="12"/>
        <v>Male</v>
      </c>
      <c r="I161" s="6" t="str">
        <f t="shared" si="13"/>
        <v>Hargeisa</v>
      </c>
      <c r="J161" s="6" t="str">
        <f t="shared" si="14"/>
        <v>Healthcare</v>
      </c>
      <c r="K161" s="6" t="str">
        <f t="shared" si="15"/>
        <v>Medium</v>
      </c>
      <c r="L161" s="6">
        <f t="shared" si="16"/>
        <v>2025</v>
      </c>
      <c r="M161" s="6">
        <f t="shared" si="17"/>
        <v>10</v>
      </c>
    </row>
    <row r="162" spans="1:13">
      <c r="A162" s="6" t="s">
        <v>60</v>
      </c>
      <c r="B162" s="14">
        <v>45958</v>
      </c>
      <c r="C162" s="6" t="s">
        <v>8</v>
      </c>
      <c r="D162" s="6">
        <v>63</v>
      </c>
      <c r="E162" s="6" t="s">
        <v>20</v>
      </c>
      <c r="F162" s="6" t="s">
        <v>18</v>
      </c>
      <c r="G162" s="7">
        <v>265.83999999999997</v>
      </c>
      <c r="H162" s="6" t="str">
        <f t="shared" si="12"/>
        <v>Male</v>
      </c>
      <c r="I162" s="6" t="str">
        <f t="shared" si="13"/>
        <v>Bosaso</v>
      </c>
      <c r="J162" s="6" t="str">
        <f t="shared" si="14"/>
        <v>Student</v>
      </c>
      <c r="K162" s="6" t="str">
        <f t="shared" si="15"/>
        <v>Low</v>
      </c>
      <c r="L162" s="6">
        <f t="shared" si="16"/>
        <v>2025</v>
      </c>
      <c r="M162" s="6">
        <f t="shared" si="17"/>
        <v>10</v>
      </c>
    </row>
    <row r="163" spans="1:13">
      <c r="A163" s="6" t="s">
        <v>230</v>
      </c>
      <c r="B163" s="14">
        <v>45960</v>
      </c>
      <c r="C163" s="6" t="s">
        <v>17</v>
      </c>
      <c r="D163" s="6">
        <v>30</v>
      </c>
      <c r="E163" s="6" t="s">
        <v>15</v>
      </c>
      <c r="F163" s="6" t="s">
        <v>21</v>
      </c>
      <c r="G163" s="7">
        <v>728.45</v>
      </c>
      <c r="H163" s="6" t="str">
        <f t="shared" si="12"/>
        <v>Female</v>
      </c>
      <c r="I163" s="6" t="str">
        <f t="shared" si="13"/>
        <v>Hargeisa</v>
      </c>
      <c r="J163" s="6" t="str">
        <f t="shared" si="14"/>
        <v>Self-Employed</v>
      </c>
      <c r="K163" s="6" t="str">
        <f t="shared" si="15"/>
        <v>Low</v>
      </c>
      <c r="L163" s="6">
        <f t="shared" si="16"/>
        <v>2025</v>
      </c>
      <c r="M163" s="6">
        <f t="shared" si="17"/>
        <v>10</v>
      </c>
    </row>
    <row r="164" spans="1:13">
      <c r="A164" s="6" t="s">
        <v>265</v>
      </c>
      <c r="B164" s="14">
        <v>45963</v>
      </c>
      <c r="C164" s="6" t="s">
        <v>17</v>
      </c>
      <c r="D164" s="6">
        <v>40</v>
      </c>
      <c r="E164" s="6" t="s">
        <v>20</v>
      </c>
      <c r="F164" s="6" t="s">
        <v>21</v>
      </c>
      <c r="G164" s="7">
        <v>463.46</v>
      </c>
      <c r="H164" s="6" t="str">
        <f t="shared" si="12"/>
        <v>Female</v>
      </c>
      <c r="I164" s="6" t="str">
        <f t="shared" si="13"/>
        <v>Bosaso</v>
      </c>
      <c r="J164" s="6" t="str">
        <f t="shared" si="14"/>
        <v>Self-Employed</v>
      </c>
      <c r="K164" s="6" t="str">
        <f t="shared" si="15"/>
        <v>Low</v>
      </c>
      <c r="L164" s="6">
        <f t="shared" si="16"/>
        <v>2025</v>
      </c>
      <c r="M164" s="6">
        <f t="shared" si="17"/>
        <v>11</v>
      </c>
    </row>
    <row r="165" spans="1:13">
      <c r="A165" s="6" t="s">
        <v>95</v>
      </c>
      <c r="B165" s="14">
        <v>45966</v>
      </c>
      <c r="C165" s="6" t="s">
        <v>17</v>
      </c>
      <c r="D165" s="6">
        <v>20</v>
      </c>
      <c r="E165" s="6" t="s">
        <v>20</v>
      </c>
      <c r="F165" s="6" t="s">
        <v>21</v>
      </c>
      <c r="G165" s="7">
        <v>1234.8800000000001</v>
      </c>
      <c r="H165" s="6" t="str">
        <f t="shared" si="12"/>
        <v>Female</v>
      </c>
      <c r="I165" s="6" t="str">
        <f t="shared" si="13"/>
        <v>Bosaso</v>
      </c>
      <c r="J165" s="6" t="str">
        <f t="shared" si="14"/>
        <v>Self-Employed</v>
      </c>
      <c r="K165" s="6" t="str">
        <f t="shared" si="15"/>
        <v>Medium</v>
      </c>
      <c r="L165" s="6">
        <f t="shared" si="16"/>
        <v>2025</v>
      </c>
      <c r="M165" s="6">
        <f t="shared" si="17"/>
        <v>11</v>
      </c>
    </row>
    <row r="166" spans="1:13">
      <c r="A166" s="6" t="s">
        <v>112</v>
      </c>
      <c r="B166" s="14">
        <v>45968</v>
      </c>
      <c r="C166" s="6" t="s">
        <v>17</v>
      </c>
      <c r="D166" s="6">
        <v>32</v>
      </c>
      <c r="E166" s="6" t="s">
        <v>9</v>
      </c>
      <c r="F166" s="6" t="s">
        <v>21</v>
      </c>
      <c r="G166" s="7">
        <v>790.7</v>
      </c>
      <c r="H166" s="6" t="str">
        <f t="shared" si="12"/>
        <v>Female</v>
      </c>
      <c r="I166" s="6" t="str">
        <f t="shared" si="13"/>
        <v>Mogadishu</v>
      </c>
      <c r="J166" s="6" t="str">
        <f t="shared" si="14"/>
        <v>Self-Employed</v>
      </c>
      <c r="K166" s="6" t="str">
        <f t="shared" si="15"/>
        <v>Low</v>
      </c>
      <c r="L166" s="6">
        <f t="shared" si="16"/>
        <v>2025</v>
      </c>
      <c r="M166" s="6">
        <f t="shared" si="17"/>
        <v>11</v>
      </c>
    </row>
    <row r="167" spans="1:13">
      <c r="A167" s="6" t="s">
        <v>26</v>
      </c>
      <c r="B167" s="14">
        <v>45970</v>
      </c>
      <c r="C167" s="6" t="s">
        <v>17</v>
      </c>
      <c r="D167" s="6">
        <v>70</v>
      </c>
      <c r="E167" s="6" t="s">
        <v>20</v>
      </c>
      <c r="F167" s="6" t="s">
        <v>13</v>
      </c>
      <c r="G167" s="7">
        <v>415.78</v>
      </c>
      <c r="H167" s="6" t="str">
        <f t="shared" si="12"/>
        <v>Female</v>
      </c>
      <c r="I167" s="6" t="str">
        <f t="shared" si="13"/>
        <v>Bosaso</v>
      </c>
      <c r="J167" s="6" t="str">
        <f t="shared" si="14"/>
        <v>Teacher</v>
      </c>
      <c r="K167" s="6" t="str">
        <f t="shared" si="15"/>
        <v>Low</v>
      </c>
      <c r="L167" s="6">
        <f t="shared" si="16"/>
        <v>2025</v>
      </c>
      <c r="M167" s="6">
        <f t="shared" si="17"/>
        <v>11</v>
      </c>
    </row>
    <row r="168" spans="1:13">
      <c r="A168" s="6" t="s">
        <v>299</v>
      </c>
      <c r="B168" s="14">
        <v>45973</v>
      </c>
      <c r="C168" s="6" t="s">
        <v>8</v>
      </c>
      <c r="D168" s="6">
        <v>20</v>
      </c>
      <c r="E168" s="6" t="s">
        <v>39</v>
      </c>
      <c r="F168" s="6" t="s">
        <v>23</v>
      </c>
      <c r="G168" s="7">
        <v>872.34</v>
      </c>
      <c r="H168" s="6" t="str">
        <f t="shared" si="12"/>
        <v>Male</v>
      </c>
      <c r="I168" s="6" t="str">
        <f t="shared" si="13"/>
        <v>Kismayo</v>
      </c>
      <c r="J168" s="6" t="str">
        <f t="shared" si="14"/>
        <v>Civil Servant</v>
      </c>
      <c r="K168" s="6" t="str">
        <f t="shared" si="15"/>
        <v>Medium</v>
      </c>
      <c r="L168" s="6">
        <f t="shared" si="16"/>
        <v>2025</v>
      </c>
      <c r="M168" s="6">
        <f t="shared" si="17"/>
        <v>11</v>
      </c>
    </row>
    <row r="169" spans="1:13">
      <c r="A169" s="6" t="s">
        <v>66</v>
      </c>
      <c r="B169" s="14">
        <v>45975</v>
      </c>
      <c r="C169" s="6" t="s">
        <v>317</v>
      </c>
      <c r="D169" s="6">
        <v>70</v>
      </c>
      <c r="E169" s="6" t="s">
        <v>9</v>
      </c>
      <c r="F169" s="6" t="s">
        <v>23</v>
      </c>
      <c r="G169" s="7">
        <v>395.84</v>
      </c>
      <c r="H169" s="6" t="str">
        <f t="shared" si="12"/>
        <v>Missing</v>
      </c>
      <c r="I169" s="6" t="str">
        <f t="shared" si="13"/>
        <v>Mogadishu</v>
      </c>
      <c r="J169" s="6" t="str">
        <f t="shared" si="14"/>
        <v>Civil Servant</v>
      </c>
      <c r="K169" s="6" t="str">
        <f t="shared" si="15"/>
        <v>Low</v>
      </c>
      <c r="L169" s="6">
        <f t="shared" si="16"/>
        <v>2025</v>
      </c>
      <c r="M169" s="6">
        <f t="shared" si="17"/>
        <v>11</v>
      </c>
    </row>
    <row r="170" spans="1:13">
      <c r="A170" s="6" t="s">
        <v>71</v>
      </c>
      <c r="B170" s="14">
        <v>45976</v>
      </c>
      <c r="C170" s="6" t="s">
        <v>8</v>
      </c>
      <c r="D170" s="6">
        <v>53</v>
      </c>
      <c r="E170" s="6" t="s">
        <v>9</v>
      </c>
      <c r="F170" s="6" t="s">
        <v>18</v>
      </c>
      <c r="G170" s="7">
        <v>247.93</v>
      </c>
      <c r="H170" s="6" t="str">
        <f t="shared" si="12"/>
        <v>Male</v>
      </c>
      <c r="I170" s="6" t="str">
        <f t="shared" si="13"/>
        <v>Mogadishu</v>
      </c>
      <c r="J170" s="6" t="str">
        <f t="shared" si="14"/>
        <v>Student</v>
      </c>
      <c r="K170" s="6" t="str">
        <f t="shared" si="15"/>
        <v>Low</v>
      </c>
      <c r="L170" s="6">
        <f t="shared" si="16"/>
        <v>2025</v>
      </c>
      <c r="M170" s="6">
        <f t="shared" si="17"/>
        <v>11</v>
      </c>
    </row>
    <row r="171" spans="1:13">
      <c r="A171" s="6" t="s">
        <v>80</v>
      </c>
      <c r="B171" s="14">
        <v>45978</v>
      </c>
      <c r="C171" s="6" t="s">
        <v>317</v>
      </c>
      <c r="D171" s="6">
        <v>26</v>
      </c>
      <c r="E171" s="6" t="s">
        <v>12</v>
      </c>
      <c r="F171" s="6" t="s">
        <v>44</v>
      </c>
      <c r="G171" s="7">
        <v>1045.8599999999999</v>
      </c>
      <c r="H171" s="6" t="str">
        <f t="shared" si="12"/>
        <v>Missing</v>
      </c>
      <c r="I171" s="6" t="str">
        <f t="shared" si="13"/>
        <v>Baidoa</v>
      </c>
      <c r="J171" s="6" t="str">
        <f t="shared" si="14"/>
        <v>Engineer</v>
      </c>
      <c r="K171" s="6" t="str">
        <f t="shared" si="15"/>
        <v>Medium</v>
      </c>
      <c r="L171" s="6">
        <f t="shared" si="16"/>
        <v>2025</v>
      </c>
      <c r="M171" s="6">
        <f t="shared" si="17"/>
        <v>11</v>
      </c>
    </row>
    <row r="172" spans="1:13">
      <c r="B172" s="14">
        <v>45982</v>
      </c>
      <c r="C172" s="6" t="s">
        <v>8</v>
      </c>
      <c r="D172" s="6">
        <v>30</v>
      </c>
      <c r="E172" s="6" t="s">
        <v>12</v>
      </c>
      <c r="F172" s="6" t="s">
        <v>10</v>
      </c>
      <c r="G172" s="7">
        <v>1396.84</v>
      </c>
      <c r="H172" s="6" t="str">
        <f t="shared" si="12"/>
        <v>Male</v>
      </c>
      <c r="I172" s="6" t="str">
        <f t="shared" si="13"/>
        <v>Baidoa</v>
      </c>
      <c r="J172" s="6" t="str">
        <f t="shared" si="14"/>
        <v>Healthcare</v>
      </c>
      <c r="K172" s="6" t="str">
        <f t="shared" si="15"/>
        <v>Medium</v>
      </c>
      <c r="L172" s="6">
        <f t="shared" si="16"/>
        <v>2025</v>
      </c>
      <c r="M172" s="6">
        <f t="shared" si="17"/>
        <v>11</v>
      </c>
    </row>
    <row r="173" spans="1:13">
      <c r="A173" s="6" t="s">
        <v>167</v>
      </c>
      <c r="B173" s="14">
        <v>45982</v>
      </c>
      <c r="C173" s="6" t="s">
        <v>8</v>
      </c>
      <c r="D173" s="6">
        <v>35</v>
      </c>
      <c r="E173" s="6" t="s">
        <v>9</v>
      </c>
      <c r="F173" s="6" t="s">
        <v>30</v>
      </c>
      <c r="G173" s="7">
        <v>1086.6400000000001</v>
      </c>
      <c r="H173" s="6" t="str">
        <f t="shared" si="12"/>
        <v>Male</v>
      </c>
      <c r="I173" s="6" t="str">
        <f t="shared" si="13"/>
        <v>Mogadishu</v>
      </c>
      <c r="J173" s="6" t="str">
        <f t="shared" si="14"/>
        <v>Business Owner</v>
      </c>
      <c r="K173" s="6" t="str">
        <f t="shared" si="15"/>
        <v>Medium</v>
      </c>
      <c r="L173" s="6">
        <f t="shared" si="16"/>
        <v>2025</v>
      </c>
      <c r="M173" s="6">
        <f t="shared" si="17"/>
        <v>11</v>
      </c>
    </row>
    <row r="174" spans="1:13">
      <c r="A174" s="6" t="s">
        <v>145</v>
      </c>
      <c r="B174" s="14">
        <v>45983</v>
      </c>
      <c r="C174" s="6" t="s">
        <v>17</v>
      </c>
      <c r="D174" s="6">
        <v>50</v>
      </c>
      <c r="E174" s="6" t="s">
        <v>9</v>
      </c>
      <c r="F174" s="6" t="s">
        <v>30</v>
      </c>
      <c r="G174" s="7">
        <v>923.87</v>
      </c>
      <c r="H174" s="6" t="str">
        <f t="shared" si="12"/>
        <v>Female</v>
      </c>
      <c r="I174" s="6" t="str">
        <f t="shared" si="13"/>
        <v>Mogadishu</v>
      </c>
      <c r="J174" s="6" t="str">
        <f t="shared" si="14"/>
        <v>Business Owner</v>
      </c>
      <c r="K174" s="6" t="str">
        <f t="shared" si="15"/>
        <v>Medium</v>
      </c>
      <c r="L174" s="6">
        <f t="shared" si="16"/>
        <v>2025</v>
      </c>
      <c r="M174" s="6">
        <f t="shared" si="17"/>
        <v>11</v>
      </c>
    </row>
    <row r="175" spans="1:13">
      <c r="A175" s="6" t="s">
        <v>215</v>
      </c>
      <c r="B175" s="14">
        <v>45984</v>
      </c>
      <c r="C175" s="6" t="s">
        <v>17</v>
      </c>
      <c r="D175" s="6">
        <v>39</v>
      </c>
      <c r="E175" s="6" t="s">
        <v>39</v>
      </c>
      <c r="F175" s="6" t="s">
        <v>44</v>
      </c>
      <c r="G175" s="7">
        <v>797.52</v>
      </c>
      <c r="H175" s="6" t="str">
        <f t="shared" si="12"/>
        <v>Female</v>
      </c>
      <c r="I175" s="6" t="str">
        <f t="shared" si="13"/>
        <v>Kismayo</v>
      </c>
      <c r="J175" s="6" t="str">
        <f t="shared" si="14"/>
        <v>Engineer</v>
      </c>
      <c r="K175" s="6" t="str">
        <f t="shared" si="15"/>
        <v>Low</v>
      </c>
      <c r="L175" s="6">
        <f t="shared" si="16"/>
        <v>2025</v>
      </c>
      <c r="M175" s="6">
        <f t="shared" si="17"/>
        <v>11</v>
      </c>
    </row>
    <row r="176" spans="1:13">
      <c r="A176" s="6" t="s">
        <v>92</v>
      </c>
      <c r="B176" s="14">
        <v>45991</v>
      </c>
      <c r="C176" s="6" t="s">
        <v>8</v>
      </c>
      <c r="D176" s="6">
        <v>41</v>
      </c>
      <c r="E176" s="6" t="s">
        <v>9</v>
      </c>
      <c r="F176" s="6" t="s">
        <v>13</v>
      </c>
      <c r="G176" s="7">
        <v>374.63</v>
      </c>
      <c r="H176" s="6" t="str">
        <f t="shared" si="12"/>
        <v>Male</v>
      </c>
      <c r="I176" s="6" t="str">
        <f t="shared" si="13"/>
        <v>Mogadishu</v>
      </c>
      <c r="J176" s="6" t="str">
        <f t="shared" si="14"/>
        <v>Teacher</v>
      </c>
      <c r="K176" s="6" t="str">
        <f t="shared" si="15"/>
        <v>Low</v>
      </c>
      <c r="L176" s="6">
        <f t="shared" si="16"/>
        <v>2025</v>
      </c>
      <c r="M176" s="6">
        <f t="shared" si="17"/>
        <v>11</v>
      </c>
    </row>
    <row r="177" spans="1:13">
      <c r="A177" s="6" t="s">
        <v>101</v>
      </c>
      <c r="B177" s="14">
        <v>45998</v>
      </c>
      <c r="C177" s="6" t="s">
        <v>17</v>
      </c>
      <c r="D177" s="6">
        <v>32</v>
      </c>
      <c r="E177" s="6" t="s">
        <v>9</v>
      </c>
      <c r="F177" s="6" t="s">
        <v>30</v>
      </c>
      <c r="G177" s="7">
        <v>1651.76</v>
      </c>
      <c r="H177" s="6" t="str">
        <f t="shared" si="12"/>
        <v>Female</v>
      </c>
      <c r="I177" s="6" t="str">
        <f t="shared" si="13"/>
        <v>Mogadishu</v>
      </c>
      <c r="J177" s="6" t="str">
        <f t="shared" si="14"/>
        <v>Business Owner</v>
      </c>
      <c r="K177" s="6" t="str">
        <f t="shared" si="15"/>
        <v>High</v>
      </c>
      <c r="L177" s="6">
        <f t="shared" si="16"/>
        <v>2025</v>
      </c>
      <c r="M177" s="6">
        <f t="shared" si="17"/>
        <v>12</v>
      </c>
    </row>
    <row r="178" spans="1:13">
      <c r="A178" s="6" t="s">
        <v>209</v>
      </c>
      <c r="B178" s="14">
        <v>45998</v>
      </c>
      <c r="C178" s="6" t="s">
        <v>17</v>
      </c>
      <c r="D178" s="6">
        <v>37</v>
      </c>
      <c r="E178" s="6" t="s">
        <v>74</v>
      </c>
      <c r="F178" s="6" t="s">
        <v>13</v>
      </c>
      <c r="G178" s="7">
        <v>853.86</v>
      </c>
      <c r="H178" s="6" t="str">
        <f t="shared" si="12"/>
        <v>Female</v>
      </c>
      <c r="I178" s="6" t="str">
        <f t="shared" si="13"/>
        <v>Garowe</v>
      </c>
      <c r="J178" s="6" t="str">
        <f t="shared" si="14"/>
        <v>Teacher</v>
      </c>
      <c r="K178" s="6" t="str">
        <f t="shared" si="15"/>
        <v>Medium</v>
      </c>
      <c r="L178" s="6">
        <f t="shared" si="16"/>
        <v>2025</v>
      </c>
      <c r="M178" s="6">
        <f t="shared" si="17"/>
        <v>12</v>
      </c>
    </row>
    <row r="179" spans="1:13">
      <c r="A179" s="6" t="s">
        <v>38</v>
      </c>
      <c r="B179" s="14">
        <v>45998</v>
      </c>
      <c r="C179" s="6" t="s">
        <v>17</v>
      </c>
      <c r="D179" s="6">
        <v>40</v>
      </c>
      <c r="E179" s="6" t="s">
        <v>39</v>
      </c>
      <c r="F179" s="6" t="s">
        <v>30</v>
      </c>
      <c r="G179" s="7">
        <v>1210.32</v>
      </c>
      <c r="H179" s="6" t="str">
        <f t="shared" si="12"/>
        <v>Female</v>
      </c>
      <c r="I179" s="6" t="str">
        <f t="shared" si="13"/>
        <v>Kismayo</v>
      </c>
      <c r="J179" s="6" t="str">
        <f t="shared" si="14"/>
        <v>Business Owner</v>
      </c>
      <c r="K179" s="6" t="str">
        <f t="shared" si="15"/>
        <v>Medium</v>
      </c>
      <c r="L179" s="6">
        <f t="shared" si="16"/>
        <v>2025</v>
      </c>
      <c r="M179" s="6">
        <f t="shared" si="17"/>
        <v>12</v>
      </c>
    </row>
    <row r="180" spans="1:13">
      <c r="A180" s="6" t="s">
        <v>168</v>
      </c>
      <c r="B180" s="14">
        <v>46000</v>
      </c>
      <c r="C180" s="6" t="s">
        <v>17</v>
      </c>
      <c r="D180" s="6">
        <v>43</v>
      </c>
      <c r="E180" s="6" t="s">
        <v>9</v>
      </c>
      <c r="F180" s="6" t="s">
        <v>44</v>
      </c>
      <c r="G180" s="7">
        <v>624.91999999999996</v>
      </c>
      <c r="H180" s="6" t="str">
        <f t="shared" si="12"/>
        <v>Female</v>
      </c>
      <c r="I180" s="6" t="str">
        <f t="shared" si="13"/>
        <v>Mogadishu</v>
      </c>
      <c r="J180" s="6" t="str">
        <f t="shared" si="14"/>
        <v>Engineer</v>
      </c>
      <c r="K180" s="6" t="str">
        <f t="shared" si="15"/>
        <v>Low</v>
      </c>
      <c r="L180" s="6">
        <f t="shared" si="16"/>
        <v>2025</v>
      </c>
      <c r="M180" s="6">
        <f t="shared" si="17"/>
        <v>12</v>
      </c>
    </row>
    <row r="181" spans="1:13">
      <c r="A181" s="6" t="s">
        <v>100</v>
      </c>
      <c r="B181" s="14">
        <v>46001</v>
      </c>
      <c r="C181" s="6" t="s">
        <v>8</v>
      </c>
      <c r="D181" s="6">
        <v>55</v>
      </c>
      <c r="E181" s="6" t="s">
        <v>39</v>
      </c>
      <c r="F181" s="6" t="s">
        <v>44</v>
      </c>
      <c r="G181" s="7">
        <v>1229.76</v>
      </c>
      <c r="H181" s="6" t="str">
        <f t="shared" si="12"/>
        <v>Male</v>
      </c>
      <c r="I181" s="6" t="str">
        <f t="shared" si="13"/>
        <v>Kismayo</v>
      </c>
      <c r="J181" s="6" t="str">
        <f t="shared" si="14"/>
        <v>Engineer</v>
      </c>
      <c r="K181" s="6" t="str">
        <f t="shared" si="15"/>
        <v>Medium</v>
      </c>
      <c r="L181" s="6">
        <f t="shared" si="16"/>
        <v>2025</v>
      </c>
      <c r="M181" s="6">
        <f t="shared" si="17"/>
        <v>12</v>
      </c>
    </row>
    <row r="182" spans="1:13">
      <c r="A182" s="6" t="s">
        <v>19</v>
      </c>
      <c r="B182" s="14">
        <v>46006</v>
      </c>
      <c r="C182" s="6" t="s">
        <v>8</v>
      </c>
      <c r="D182" s="6">
        <v>31</v>
      </c>
      <c r="E182" s="6" t="s">
        <v>20</v>
      </c>
      <c r="F182" s="6" t="s">
        <v>21</v>
      </c>
      <c r="G182" s="7">
        <v>481.99</v>
      </c>
      <c r="H182" s="6" t="str">
        <f t="shared" si="12"/>
        <v>Male</v>
      </c>
      <c r="I182" s="6" t="str">
        <f t="shared" si="13"/>
        <v>Bosaso</v>
      </c>
      <c r="J182" s="6" t="str">
        <f t="shared" si="14"/>
        <v>Self-Employed</v>
      </c>
      <c r="K182" s="6" t="str">
        <f t="shared" si="15"/>
        <v>Low</v>
      </c>
      <c r="L182" s="6">
        <f t="shared" si="16"/>
        <v>2025</v>
      </c>
      <c r="M182" s="6">
        <f t="shared" si="17"/>
        <v>12</v>
      </c>
    </row>
    <row r="183" spans="1:13">
      <c r="A183" s="6" t="s">
        <v>274</v>
      </c>
      <c r="B183" s="14">
        <v>46008</v>
      </c>
      <c r="C183" s="6" t="s">
        <v>317</v>
      </c>
      <c r="D183" s="6">
        <v>64</v>
      </c>
      <c r="E183" s="6" t="s">
        <v>20</v>
      </c>
      <c r="F183" s="6" t="s">
        <v>21</v>
      </c>
      <c r="G183" s="7">
        <v>638.53</v>
      </c>
      <c r="H183" s="6" t="str">
        <f t="shared" si="12"/>
        <v>Missing</v>
      </c>
      <c r="I183" s="6" t="str">
        <f t="shared" si="13"/>
        <v>Bosaso</v>
      </c>
      <c r="J183" s="6" t="str">
        <f t="shared" si="14"/>
        <v>Self-Employed</v>
      </c>
      <c r="K183" s="6" t="str">
        <f t="shared" si="15"/>
        <v>Low</v>
      </c>
      <c r="L183" s="6">
        <f t="shared" si="16"/>
        <v>2025</v>
      </c>
      <c r="M183" s="6">
        <f t="shared" si="17"/>
        <v>12</v>
      </c>
    </row>
    <row r="184" spans="1:13">
      <c r="A184" s="6" t="s">
        <v>224</v>
      </c>
      <c r="B184" s="14">
        <v>46014</v>
      </c>
      <c r="C184" s="6" t="s">
        <v>8</v>
      </c>
      <c r="D184" s="6">
        <v>46</v>
      </c>
      <c r="E184" s="6" t="s">
        <v>317</v>
      </c>
      <c r="F184" s="6" t="s">
        <v>30</v>
      </c>
      <c r="G184" s="7">
        <v>1509.47</v>
      </c>
      <c r="H184" s="6" t="str">
        <f t="shared" si="12"/>
        <v>Male</v>
      </c>
      <c r="I184" s="6" t="str">
        <f t="shared" si="13"/>
        <v>Missing</v>
      </c>
      <c r="J184" s="6" t="str">
        <f t="shared" si="14"/>
        <v>Business Owner</v>
      </c>
      <c r="K184" s="6" t="str">
        <f t="shared" si="15"/>
        <v>High</v>
      </c>
      <c r="L184" s="6">
        <f t="shared" si="16"/>
        <v>2025</v>
      </c>
      <c r="M184" s="6">
        <f t="shared" si="17"/>
        <v>12</v>
      </c>
    </row>
    <row r="185" spans="1:13">
      <c r="A185" s="6" t="s">
        <v>211</v>
      </c>
      <c r="B185" s="14">
        <v>46014</v>
      </c>
      <c r="C185" s="6" t="s">
        <v>8</v>
      </c>
      <c r="D185" s="6">
        <v>55</v>
      </c>
      <c r="E185" s="6" t="s">
        <v>15</v>
      </c>
      <c r="F185" s="6" t="s">
        <v>10</v>
      </c>
      <c r="G185" s="7">
        <v>775.19</v>
      </c>
      <c r="H185" s="6" t="str">
        <f t="shared" si="12"/>
        <v>Male</v>
      </c>
      <c r="I185" s="6" t="str">
        <f t="shared" si="13"/>
        <v>Hargeisa</v>
      </c>
      <c r="J185" s="6" t="str">
        <f t="shared" si="14"/>
        <v>Healthcare</v>
      </c>
      <c r="K185" s="6" t="str">
        <f t="shared" si="15"/>
        <v>Low</v>
      </c>
      <c r="L185" s="6">
        <f t="shared" si="16"/>
        <v>2025</v>
      </c>
      <c r="M185" s="6">
        <f t="shared" si="17"/>
        <v>12</v>
      </c>
    </row>
    <row r="186" spans="1:13">
      <c r="A186" s="6" t="s">
        <v>214</v>
      </c>
      <c r="B186" s="14">
        <v>46014</v>
      </c>
      <c r="C186" s="6" t="s">
        <v>17</v>
      </c>
      <c r="D186" s="6">
        <v>60</v>
      </c>
      <c r="E186" s="6" t="s">
        <v>12</v>
      </c>
      <c r="F186" s="6" t="s">
        <v>44</v>
      </c>
      <c r="G186" s="7">
        <v>599.34</v>
      </c>
      <c r="H186" s="6" t="str">
        <f t="shared" si="12"/>
        <v>Female</v>
      </c>
      <c r="I186" s="6" t="str">
        <f t="shared" si="13"/>
        <v>Baidoa</v>
      </c>
      <c r="J186" s="6" t="str">
        <f t="shared" si="14"/>
        <v>Engineer</v>
      </c>
      <c r="K186" s="6" t="str">
        <f t="shared" si="15"/>
        <v>Low</v>
      </c>
      <c r="L186" s="6">
        <f t="shared" si="16"/>
        <v>2025</v>
      </c>
      <c r="M186" s="6">
        <f t="shared" si="17"/>
        <v>12</v>
      </c>
    </row>
    <row r="187" spans="1:13">
      <c r="A187" s="6" t="s">
        <v>185</v>
      </c>
      <c r="B187" s="14">
        <v>46017</v>
      </c>
      <c r="C187" s="6" t="s">
        <v>8</v>
      </c>
      <c r="D187" s="6">
        <v>60</v>
      </c>
      <c r="E187" s="6" t="s">
        <v>9</v>
      </c>
      <c r="F187" s="6" t="s">
        <v>18</v>
      </c>
      <c r="G187" s="7">
        <v>175.19</v>
      </c>
      <c r="H187" s="6" t="str">
        <f t="shared" si="12"/>
        <v>Male</v>
      </c>
      <c r="I187" s="6" t="str">
        <f t="shared" si="13"/>
        <v>Mogadishu</v>
      </c>
      <c r="J187" s="6" t="str">
        <f t="shared" si="14"/>
        <v>Student</v>
      </c>
      <c r="K187" s="6" t="str">
        <f t="shared" si="15"/>
        <v>Low</v>
      </c>
      <c r="L187" s="6">
        <f t="shared" si="16"/>
        <v>2025</v>
      </c>
      <c r="M187" s="6">
        <f t="shared" si="17"/>
        <v>12</v>
      </c>
    </row>
    <row r="188" spans="1:13">
      <c r="A188" s="6" t="s">
        <v>208</v>
      </c>
      <c r="B188" s="14">
        <v>46019</v>
      </c>
      <c r="C188" s="6" t="s">
        <v>17</v>
      </c>
      <c r="D188" s="6">
        <v>38</v>
      </c>
      <c r="E188" s="6" t="s">
        <v>9</v>
      </c>
      <c r="F188" s="6" t="s">
        <v>21</v>
      </c>
      <c r="G188" s="7">
        <v>748.35</v>
      </c>
      <c r="H188" s="6" t="str">
        <f t="shared" si="12"/>
        <v>Female</v>
      </c>
      <c r="I188" s="6" t="str">
        <f t="shared" si="13"/>
        <v>Mogadishu</v>
      </c>
      <c r="J188" s="6" t="str">
        <f t="shared" si="14"/>
        <v>Self-Employed</v>
      </c>
      <c r="K188" s="6" t="str">
        <f t="shared" si="15"/>
        <v>Low</v>
      </c>
      <c r="L188" s="6">
        <f t="shared" si="16"/>
        <v>2025</v>
      </c>
      <c r="M188" s="6">
        <f t="shared" si="17"/>
        <v>12</v>
      </c>
    </row>
    <row r="189" spans="1:13">
      <c r="A189" s="6" t="s">
        <v>165</v>
      </c>
      <c r="B189" s="14">
        <v>46020</v>
      </c>
      <c r="C189" s="6" t="s">
        <v>17</v>
      </c>
      <c r="D189" s="6">
        <v>70</v>
      </c>
      <c r="E189" s="6" t="s">
        <v>20</v>
      </c>
      <c r="F189" s="6" t="s">
        <v>30</v>
      </c>
      <c r="G189" s="7">
        <v>924.95</v>
      </c>
      <c r="H189" s="6" t="str">
        <f t="shared" si="12"/>
        <v>Female</v>
      </c>
      <c r="I189" s="6" t="str">
        <f t="shared" si="13"/>
        <v>Bosaso</v>
      </c>
      <c r="J189" s="6" t="str">
        <f t="shared" si="14"/>
        <v>Business Owner</v>
      </c>
      <c r="K189" s="6" t="str">
        <f t="shared" si="15"/>
        <v>Medium</v>
      </c>
      <c r="L189" s="6">
        <f t="shared" si="16"/>
        <v>2025</v>
      </c>
      <c r="M189" s="6">
        <f t="shared" si="17"/>
        <v>12</v>
      </c>
    </row>
    <row r="190" spans="1:13">
      <c r="A190" s="6" t="s">
        <v>204</v>
      </c>
      <c r="B190" s="14">
        <v>46021</v>
      </c>
      <c r="C190" s="6" t="s">
        <v>8</v>
      </c>
      <c r="D190" s="6">
        <v>44</v>
      </c>
      <c r="E190" s="6" t="s">
        <v>74</v>
      </c>
      <c r="F190" s="6" t="s">
        <v>10</v>
      </c>
      <c r="G190" s="7">
        <v>853.76</v>
      </c>
      <c r="H190" s="6" t="str">
        <f t="shared" si="12"/>
        <v>Male</v>
      </c>
      <c r="I190" s="6" t="str">
        <f t="shared" si="13"/>
        <v>Garowe</v>
      </c>
      <c r="J190" s="6" t="str">
        <f t="shared" si="14"/>
        <v>Healthcare</v>
      </c>
      <c r="K190" s="6" t="str">
        <f t="shared" si="15"/>
        <v>Medium</v>
      </c>
      <c r="L190" s="6">
        <f t="shared" si="16"/>
        <v>2025</v>
      </c>
      <c r="M190" s="6">
        <f t="shared" si="17"/>
        <v>12</v>
      </c>
    </row>
    <row r="191" spans="1:13">
      <c r="A191" s="6" t="s">
        <v>291</v>
      </c>
      <c r="B191" s="14">
        <v>46022</v>
      </c>
      <c r="C191" s="6" t="s">
        <v>317</v>
      </c>
      <c r="D191" s="6">
        <v>33</v>
      </c>
      <c r="E191" s="6" t="s">
        <v>9</v>
      </c>
      <c r="F191" s="6" t="s">
        <v>13</v>
      </c>
      <c r="G191" s="7">
        <v>790.38</v>
      </c>
      <c r="H191" s="6" t="str">
        <f t="shared" si="12"/>
        <v>Missing</v>
      </c>
      <c r="I191" s="6" t="str">
        <f t="shared" si="13"/>
        <v>Mogadishu</v>
      </c>
      <c r="J191" s="6" t="str">
        <f t="shared" si="14"/>
        <v>Teacher</v>
      </c>
      <c r="K191" s="6" t="str">
        <f t="shared" si="15"/>
        <v>Low</v>
      </c>
      <c r="L191" s="6">
        <f t="shared" si="16"/>
        <v>2025</v>
      </c>
      <c r="M191" s="6">
        <f t="shared" si="17"/>
        <v>12</v>
      </c>
    </row>
    <row r="192" spans="1:13">
      <c r="A192" s="6" t="s">
        <v>309</v>
      </c>
      <c r="B192" s="14">
        <v>46022</v>
      </c>
      <c r="C192" s="6" t="s">
        <v>17</v>
      </c>
      <c r="D192" s="6">
        <v>41</v>
      </c>
      <c r="E192" s="6" t="s">
        <v>12</v>
      </c>
      <c r="F192" s="6" t="s">
        <v>21</v>
      </c>
      <c r="G192" s="7">
        <v>455.83</v>
      </c>
      <c r="H192" s="6" t="str">
        <f t="shared" si="12"/>
        <v>Female</v>
      </c>
      <c r="I192" s="6" t="str">
        <f t="shared" si="13"/>
        <v>Baidoa</v>
      </c>
      <c r="J192" s="6" t="str">
        <f t="shared" si="14"/>
        <v>Self-Employed</v>
      </c>
      <c r="K192" s="6" t="str">
        <f t="shared" si="15"/>
        <v>Low</v>
      </c>
      <c r="L192" s="6">
        <f t="shared" si="16"/>
        <v>2025</v>
      </c>
      <c r="M192" s="6">
        <f t="shared" si="17"/>
        <v>12</v>
      </c>
    </row>
    <row r="193" spans="1:13">
      <c r="A193" s="6" t="s">
        <v>157</v>
      </c>
      <c r="B193" s="14">
        <v>46026</v>
      </c>
      <c r="C193" s="6" t="s">
        <v>17</v>
      </c>
      <c r="D193" s="6">
        <v>65</v>
      </c>
      <c r="E193" s="6" t="s">
        <v>317</v>
      </c>
      <c r="F193" s="6" t="s">
        <v>21</v>
      </c>
      <c r="G193" s="7">
        <v>810.64</v>
      </c>
      <c r="H193" s="6" t="str">
        <f t="shared" si="12"/>
        <v>Female</v>
      </c>
      <c r="I193" s="6" t="str">
        <f t="shared" si="13"/>
        <v>Missing</v>
      </c>
      <c r="J193" s="6" t="str">
        <f t="shared" si="14"/>
        <v>Self-Employed</v>
      </c>
      <c r="K193" s="6" t="str">
        <f t="shared" si="15"/>
        <v>Medium</v>
      </c>
      <c r="L193" s="6">
        <f t="shared" si="16"/>
        <v>2026</v>
      </c>
      <c r="M193" s="6">
        <f t="shared" si="17"/>
        <v>1</v>
      </c>
    </row>
    <row r="194" spans="1:13">
      <c r="A194" s="6" t="s">
        <v>62</v>
      </c>
      <c r="B194" s="14">
        <v>46031</v>
      </c>
      <c r="C194" s="6" t="s">
        <v>17</v>
      </c>
      <c r="D194" s="6">
        <v>57</v>
      </c>
      <c r="E194" s="6" t="s">
        <v>12</v>
      </c>
      <c r="F194" s="6" t="s">
        <v>18</v>
      </c>
      <c r="G194" s="7">
        <v>128.41999999999999</v>
      </c>
      <c r="H194" s="6" t="str">
        <f t="shared" ref="H194:H257" si="18">PROPER(TRIM(C194))</f>
        <v>Female</v>
      </c>
      <c r="I194" s="6" t="str">
        <f t="shared" ref="I194:I257" si="19">PROPER(TRIM(E194))</f>
        <v>Baidoa</v>
      </c>
      <c r="J194" s="6" t="str">
        <f t="shared" ref="J194:J257" si="20">PROPER(TRIM(SUBSTITUTE(F194,"CS","Civil Servant")))</f>
        <v>Student</v>
      </c>
      <c r="K194" s="6" t="str">
        <f t="shared" ref="K194:K257" si="21">IF(G194&gt;=1500,"High",IF(G194&gt;=800,"Medium","Low"))</f>
        <v>Low</v>
      </c>
      <c r="L194" s="6">
        <f t="shared" ref="L194:L257" si="22">IF(ISNUMBER(B194),YEAR(B194),"")</f>
        <v>2026</v>
      </c>
      <c r="M194" s="6">
        <f t="shared" ref="M194:M257" si="23">IF(ISNUMBER(B194),MONTH(B194),"")</f>
        <v>1</v>
      </c>
    </row>
    <row r="195" spans="1:13">
      <c r="A195" s="6" t="s">
        <v>154</v>
      </c>
      <c r="B195" s="14">
        <v>46033</v>
      </c>
      <c r="C195" s="6" t="s">
        <v>17</v>
      </c>
      <c r="D195" s="6">
        <v>70</v>
      </c>
      <c r="E195" s="6" t="s">
        <v>20</v>
      </c>
      <c r="F195" s="6" t="s">
        <v>30</v>
      </c>
      <c r="G195" s="7">
        <v>1956.52</v>
      </c>
      <c r="H195" s="6" t="str">
        <f t="shared" si="18"/>
        <v>Female</v>
      </c>
      <c r="I195" s="6" t="str">
        <f t="shared" si="19"/>
        <v>Bosaso</v>
      </c>
      <c r="J195" s="6" t="str">
        <f t="shared" si="20"/>
        <v>Business Owner</v>
      </c>
      <c r="K195" s="6" t="str">
        <f t="shared" si="21"/>
        <v>High</v>
      </c>
      <c r="L195" s="6">
        <f t="shared" si="22"/>
        <v>2026</v>
      </c>
      <c r="M195" s="6">
        <f t="shared" si="23"/>
        <v>1</v>
      </c>
    </row>
    <row r="196" spans="1:13">
      <c r="A196" s="6" t="s">
        <v>146</v>
      </c>
      <c r="B196" s="14">
        <v>46037</v>
      </c>
      <c r="C196" s="6" t="s">
        <v>17</v>
      </c>
      <c r="D196" s="6">
        <v>21</v>
      </c>
      <c r="E196" s="6" t="s">
        <v>12</v>
      </c>
      <c r="F196" s="6" t="s">
        <v>10</v>
      </c>
      <c r="G196" s="7">
        <v>845.86</v>
      </c>
      <c r="H196" s="6" t="str">
        <f t="shared" si="18"/>
        <v>Female</v>
      </c>
      <c r="I196" s="6" t="str">
        <f t="shared" si="19"/>
        <v>Baidoa</v>
      </c>
      <c r="J196" s="6" t="str">
        <f t="shared" si="20"/>
        <v>Healthcare</v>
      </c>
      <c r="K196" s="6" t="str">
        <f t="shared" si="21"/>
        <v>Medium</v>
      </c>
      <c r="L196" s="6">
        <f t="shared" si="22"/>
        <v>2026</v>
      </c>
      <c r="M196" s="6">
        <f t="shared" si="23"/>
        <v>1</v>
      </c>
    </row>
    <row r="197" spans="1:13">
      <c r="A197" s="6" t="s">
        <v>248</v>
      </c>
      <c r="B197" s="14">
        <v>46037</v>
      </c>
      <c r="C197" s="6" t="s">
        <v>8</v>
      </c>
      <c r="D197" s="6">
        <v>63</v>
      </c>
      <c r="E197" s="6" t="s">
        <v>74</v>
      </c>
      <c r="F197" s="6" t="s">
        <v>249</v>
      </c>
      <c r="G197" s="7">
        <v>306.45999999999998</v>
      </c>
      <c r="H197" s="6" t="str">
        <f t="shared" si="18"/>
        <v>Male</v>
      </c>
      <c r="I197" s="6" t="str">
        <f t="shared" si="19"/>
        <v>Garowe</v>
      </c>
      <c r="J197" s="6" t="str">
        <f t="shared" si="20"/>
        <v>Teacher</v>
      </c>
      <c r="K197" s="6" t="str">
        <f t="shared" si="21"/>
        <v>Low</v>
      </c>
      <c r="L197" s="6">
        <f t="shared" si="22"/>
        <v>2026</v>
      </c>
      <c r="M197" s="6">
        <f t="shared" si="23"/>
        <v>1</v>
      </c>
    </row>
    <row r="198" spans="1:13">
      <c r="B198" s="14">
        <v>46038</v>
      </c>
      <c r="C198" s="6" t="s">
        <v>17</v>
      </c>
      <c r="D198" s="6">
        <v>44</v>
      </c>
      <c r="E198" s="6" t="s">
        <v>9</v>
      </c>
      <c r="F198" s="6" t="s">
        <v>21</v>
      </c>
      <c r="G198" s="7">
        <v>923.87</v>
      </c>
      <c r="H198" s="6" t="str">
        <f t="shared" si="18"/>
        <v>Female</v>
      </c>
      <c r="I198" s="6" t="str">
        <f t="shared" si="19"/>
        <v>Mogadishu</v>
      </c>
      <c r="J198" s="6" t="str">
        <f t="shared" si="20"/>
        <v>Self-Employed</v>
      </c>
      <c r="K198" s="6" t="str">
        <f t="shared" si="21"/>
        <v>Medium</v>
      </c>
      <c r="L198" s="6">
        <f t="shared" si="22"/>
        <v>2026</v>
      </c>
      <c r="M198" s="6">
        <f t="shared" si="23"/>
        <v>1</v>
      </c>
    </row>
    <row r="199" spans="1:13">
      <c r="A199" s="6" t="s">
        <v>277</v>
      </c>
      <c r="B199" s="14">
        <v>46039</v>
      </c>
      <c r="C199" s="6" t="s">
        <v>17</v>
      </c>
      <c r="D199" s="6">
        <v>37</v>
      </c>
      <c r="E199" s="6" t="s">
        <v>20</v>
      </c>
      <c r="F199" s="6" t="s">
        <v>18</v>
      </c>
      <c r="G199" s="7">
        <v>923.87</v>
      </c>
      <c r="H199" s="6" t="str">
        <f t="shared" si="18"/>
        <v>Female</v>
      </c>
      <c r="I199" s="6" t="str">
        <f t="shared" si="19"/>
        <v>Bosaso</v>
      </c>
      <c r="J199" s="6" t="str">
        <f t="shared" si="20"/>
        <v>Student</v>
      </c>
      <c r="K199" s="6" t="str">
        <f t="shared" si="21"/>
        <v>Medium</v>
      </c>
      <c r="L199" s="6">
        <f t="shared" si="22"/>
        <v>2026</v>
      </c>
      <c r="M199" s="6">
        <f t="shared" si="23"/>
        <v>1</v>
      </c>
    </row>
    <row r="200" spans="1:13">
      <c r="A200" s="6" t="s">
        <v>174</v>
      </c>
      <c r="B200" s="14">
        <v>46041</v>
      </c>
      <c r="C200" s="6" t="s">
        <v>17</v>
      </c>
      <c r="D200" s="6">
        <v>28</v>
      </c>
      <c r="E200" s="6" t="s">
        <v>317</v>
      </c>
      <c r="F200" s="6" t="s">
        <v>21</v>
      </c>
      <c r="G200" s="7">
        <v>785.95</v>
      </c>
      <c r="H200" s="6" t="str">
        <f t="shared" si="18"/>
        <v>Female</v>
      </c>
      <c r="I200" s="6" t="str">
        <f t="shared" si="19"/>
        <v>Missing</v>
      </c>
      <c r="J200" s="6" t="str">
        <f t="shared" si="20"/>
        <v>Self-Employed</v>
      </c>
      <c r="K200" s="6" t="str">
        <f t="shared" si="21"/>
        <v>Low</v>
      </c>
      <c r="L200" s="6">
        <f t="shared" si="22"/>
        <v>2026</v>
      </c>
      <c r="M200" s="6">
        <f t="shared" si="23"/>
        <v>1</v>
      </c>
    </row>
    <row r="201" spans="1:13">
      <c r="A201" s="6" t="s">
        <v>288</v>
      </c>
      <c r="B201" s="14">
        <v>46041</v>
      </c>
      <c r="C201" s="6" t="s">
        <v>17</v>
      </c>
      <c r="D201" s="6">
        <v>36</v>
      </c>
      <c r="E201" s="6" t="s">
        <v>317</v>
      </c>
      <c r="F201" s="6" t="s">
        <v>13</v>
      </c>
      <c r="G201" s="7">
        <v>922.87</v>
      </c>
      <c r="H201" s="6" t="str">
        <f t="shared" si="18"/>
        <v>Female</v>
      </c>
      <c r="I201" s="6" t="str">
        <f t="shared" si="19"/>
        <v>Missing</v>
      </c>
      <c r="J201" s="6" t="str">
        <f t="shared" si="20"/>
        <v>Teacher</v>
      </c>
      <c r="K201" s="6" t="str">
        <f t="shared" si="21"/>
        <v>Medium</v>
      </c>
      <c r="L201" s="6">
        <f t="shared" si="22"/>
        <v>2026</v>
      </c>
      <c r="M201" s="6">
        <f t="shared" si="23"/>
        <v>1</v>
      </c>
    </row>
    <row r="202" spans="1:13">
      <c r="A202" s="6" t="s">
        <v>88</v>
      </c>
      <c r="B202" s="14">
        <v>46048</v>
      </c>
      <c r="C202" s="6" t="s">
        <v>17</v>
      </c>
      <c r="D202" s="6">
        <v>47</v>
      </c>
      <c r="E202" s="6" t="s">
        <v>317</v>
      </c>
      <c r="F202" s="6" t="s">
        <v>21</v>
      </c>
      <c r="G202" s="7">
        <v>728.06</v>
      </c>
      <c r="H202" s="6" t="str">
        <f t="shared" si="18"/>
        <v>Female</v>
      </c>
      <c r="I202" s="6" t="str">
        <f t="shared" si="19"/>
        <v>Missing</v>
      </c>
      <c r="J202" s="6" t="str">
        <f t="shared" si="20"/>
        <v>Self-Employed</v>
      </c>
      <c r="K202" s="6" t="str">
        <f t="shared" si="21"/>
        <v>Low</v>
      </c>
      <c r="L202" s="6">
        <f t="shared" si="22"/>
        <v>2026</v>
      </c>
      <c r="M202" s="6">
        <f t="shared" si="23"/>
        <v>1</v>
      </c>
    </row>
    <row r="203" spans="1:13">
      <c r="A203" s="6" t="s">
        <v>141</v>
      </c>
      <c r="B203" s="14">
        <v>46052</v>
      </c>
      <c r="C203" s="6" t="s">
        <v>17</v>
      </c>
      <c r="D203" s="6">
        <v>49</v>
      </c>
      <c r="E203" s="6" t="s">
        <v>9</v>
      </c>
      <c r="F203" s="6" t="s">
        <v>21</v>
      </c>
      <c r="G203" s="7">
        <v>527.12</v>
      </c>
      <c r="H203" s="6" t="str">
        <f t="shared" si="18"/>
        <v>Female</v>
      </c>
      <c r="I203" s="6" t="str">
        <f t="shared" si="19"/>
        <v>Mogadishu</v>
      </c>
      <c r="J203" s="6" t="str">
        <f t="shared" si="20"/>
        <v>Self-Employed</v>
      </c>
      <c r="K203" s="6" t="str">
        <f t="shared" si="21"/>
        <v>Low</v>
      </c>
      <c r="L203" s="6">
        <f t="shared" si="22"/>
        <v>2026</v>
      </c>
      <c r="M203" s="6">
        <f t="shared" si="23"/>
        <v>1</v>
      </c>
    </row>
    <row r="204" spans="1:13">
      <c r="A204" s="6" t="s">
        <v>56</v>
      </c>
      <c r="B204" s="14">
        <v>46054</v>
      </c>
      <c r="C204" s="6" t="s">
        <v>8</v>
      </c>
      <c r="D204" s="6">
        <v>55</v>
      </c>
      <c r="E204" s="6" t="s">
        <v>39</v>
      </c>
      <c r="F204" s="6" t="s">
        <v>44</v>
      </c>
      <c r="G204" s="7">
        <v>923.87</v>
      </c>
      <c r="H204" s="6" t="str">
        <f t="shared" si="18"/>
        <v>Male</v>
      </c>
      <c r="I204" s="6" t="str">
        <f t="shared" si="19"/>
        <v>Kismayo</v>
      </c>
      <c r="J204" s="6" t="str">
        <f t="shared" si="20"/>
        <v>Engineer</v>
      </c>
      <c r="K204" s="6" t="str">
        <f t="shared" si="21"/>
        <v>Medium</v>
      </c>
      <c r="L204" s="6">
        <f t="shared" si="22"/>
        <v>2026</v>
      </c>
      <c r="M204" s="6">
        <f t="shared" si="23"/>
        <v>2</v>
      </c>
    </row>
    <row r="205" spans="1:13">
      <c r="A205" s="6" t="s">
        <v>272</v>
      </c>
      <c r="B205" s="14">
        <v>46057</v>
      </c>
      <c r="C205" s="6" t="s">
        <v>8</v>
      </c>
      <c r="D205" s="6">
        <v>47</v>
      </c>
      <c r="E205" s="6" t="s">
        <v>9</v>
      </c>
      <c r="F205" s="6" t="s">
        <v>44</v>
      </c>
      <c r="G205" s="7">
        <v>923.87</v>
      </c>
      <c r="H205" s="6" t="str">
        <f t="shared" si="18"/>
        <v>Male</v>
      </c>
      <c r="I205" s="6" t="str">
        <f t="shared" si="19"/>
        <v>Mogadishu</v>
      </c>
      <c r="J205" s="6" t="str">
        <f t="shared" si="20"/>
        <v>Engineer</v>
      </c>
      <c r="K205" s="6" t="str">
        <f t="shared" si="21"/>
        <v>Medium</v>
      </c>
      <c r="L205" s="6">
        <f t="shared" si="22"/>
        <v>2026</v>
      </c>
      <c r="M205" s="6">
        <f t="shared" si="23"/>
        <v>2</v>
      </c>
    </row>
    <row r="206" spans="1:13">
      <c r="A206" s="6" t="s">
        <v>178</v>
      </c>
      <c r="B206" s="14">
        <v>46059</v>
      </c>
      <c r="C206" s="6" t="s">
        <v>8</v>
      </c>
      <c r="D206" s="6">
        <v>36</v>
      </c>
      <c r="E206" s="6" t="s">
        <v>15</v>
      </c>
      <c r="F206" s="6" t="s">
        <v>10</v>
      </c>
      <c r="G206" s="7">
        <v>508.34</v>
      </c>
      <c r="H206" s="6" t="str">
        <f t="shared" si="18"/>
        <v>Male</v>
      </c>
      <c r="I206" s="6" t="str">
        <f t="shared" si="19"/>
        <v>Hargeisa</v>
      </c>
      <c r="J206" s="6" t="str">
        <f t="shared" si="20"/>
        <v>Healthcare</v>
      </c>
      <c r="K206" s="6" t="str">
        <f t="shared" si="21"/>
        <v>Low</v>
      </c>
      <c r="L206" s="6">
        <f t="shared" si="22"/>
        <v>2026</v>
      </c>
      <c r="M206" s="6">
        <f t="shared" si="23"/>
        <v>2</v>
      </c>
    </row>
    <row r="207" spans="1:13">
      <c r="A207" s="6" t="s">
        <v>22</v>
      </c>
      <c r="B207" s="14">
        <v>46059</v>
      </c>
      <c r="C207" s="6" t="s">
        <v>17</v>
      </c>
      <c r="D207" s="6">
        <v>65</v>
      </c>
      <c r="E207" s="6" t="s">
        <v>15</v>
      </c>
      <c r="F207" s="6" t="s">
        <v>23</v>
      </c>
      <c r="G207" s="7">
        <v>1067.9000000000001</v>
      </c>
      <c r="H207" s="6" t="str">
        <f t="shared" si="18"/>
        <v>Female</v>
      </c>
      <c r="I207" s="6" t="str">
        <f t="shared" si="19"/>
        <v>Hargeisa</v>
      </c>
      <c r="J207" s="6" t="str">
        <f t="shared" si="20"/>
        <v>Civil Servant</v>
      </c>
      <c r="K207" s="6" t="str">
        <f t="shared" si="21"/>
        <v>Medium</v>
      </c>
      <c r="L207" s="6">
        <f t="shared" si="22"/>
        <v>2026</v>
      </c>
      <c r="M207" s="6">
        <f t="shared" si="23"/>
        <v>2</v>
      </c>
    </row>
    <row r="208" spans="1:13">
      <c r="B208" s="14">
        <v>46060</v>
      </c>
      <c r="C208" s="6" t="s">
        <v>8</v>
      </c>
      <c r="D208" s="6">
        <v>23</v>
      </c>
      <c r="E208" s="6" t="s">
        <v>39</v>
      </c>
      <c r="F208" s="6" t="s">
        <v>23</v>
      </c>
      <c r="G208" s="7">
        <v>528.86</v>
      </c>
      <c r="H208" s="6" t="str">
        <f t="shared" si="18"/>
        <v>Male</v>
      </c>
      <c r="I208" s="6" t="str">
        <f t="shared" si="19"/>
        <v>Kismayo</v>
      </c>
      <c r="J208" s="6" t="str">
        <f t="shared" si="20"/>
        <v>Civil Servant</v>
      </c>
      <c r="K208" s="6" t="str">
        <f t="shared" si="21"/>
        <v>Low</v>
      </c>
      <c r="L208" s="6">
        <f t="shared" si="22"/>
        <v>2026</v>
      </c>
      <c r="M208" s="6">
        <f t="shared" si="23"/>
        <v>2</v>
      </c>
    </row>
    <row r="209" spans="1:13">
      <c r="A209" s="6" t="s">
        <v>222</v>
      </c>
      <c r="B209" s="14">
        <v>46060</v>
      </c>
      <c r="C209" s="6" t="s">
        <v>317</v>
      </c>
      <c r="D209" s="6">
        <v>33</v>
      </c>
      <c r="E209" s="6" t="s">
        <v>9</v>
      </c>
      <c r="F209" s="6" t="s">
        <v>23</v>
      </c>
      <c r="G209" s="7">
        <v>930.02</v>
      </c>
      <c r="H209" s="6" t="str">
        <f t="shared" si="18"/>
        <v>Missing</v>
      </c>
      <c r="I209" s="6" t="str">
        <f t="shared" si="19"/>
        <v>Mogadishu</v>
      </c>
      <c r="J209" s="6" t="str">
        <f t="shared" si="20"/>
        <v>Civil Servant</v>
      </c>
      <c r="K209" s="6" t="str">
        <f t="shared" si="21"/>
        <v>Medium</v>
      </c>
      <c r="L209" s="6">
        <f t="shared" si="22"/>
        <v>2026</v>
      </c>
      <c r="M209" s="6">
        <f t="shared" si="23"/>
        <v>2</v>
      </c>
    </row>
    <row r="210" spans="1:13">
      <c r="A210" s="6" t="s">
        <v>67</v>
      </c>
      <c r="B210" s="14">
        <v>46061</v>
      </c>
      <c r="C210" s="6" t="s">
        <v>17</v>
      </c>
      <c r="D210" s="6">
        <v>46</v>
      </c>
      <c r="E210" s="6" t="s">
        <v>9</v>
      </c>
      <c r="F210" s="6" t="s">
        <v>18</v>
      </c>
      <c r="G210" s="7">
        <v>253.15</v>
      </c>
      <c r="H210" s="6" t="str">
        <f t="shared" si="18"/>
        <v>Female</v>
      </c>
      <c r="I210" s="6" t="str">
        <f t="shared" si="19"/>
        <v>Mogadishu</v>
      </c>
      <c r="J210" s="6" t="str">
        <f t="shared" si="20"/>
        <v>Student</v>
      </c>
      <c r="K210" s="6" t="str">
        <f t="shared" si="21"/>
        <v>Low</v>
      </c>
      <c r="L210" s="6">
        <f t="shared" si="22"/>
        <v>2026</v>
      </c>
      <c r="M210" s="6">
        <f t="shared" si="23"/>
        <v>2</v>
      </c>
    </row>
    <row r="211" spans="1:13">
      <c r="A211" s="6" t="s">
        <v>158</v>
      </c>
      <c r="B211" s="14">
        <v>46064</v>
      </c>
      <c r="C211" s="6" t="s">
        <v>17</v>
      </c>
      <c r="D211" s="6">
        <v>30</v>
      </c>
      <c r="E211" s="6" t="s">
        <v>317</v>
      </c>
      <c r="F211" s="6" t="s">
        <v>13</v>
      </c>
      <c r="G211" s="7">
        <v>855.02</v>
      </c>
      <c r="H211" s="6" t="str">
        <f t="shared" si="18"/>
        <v>Female</v>
      </c>
      <c r="I211" s="6" t="str">
        <f t="shared" si="19"/>
        <v>Missing</v>
      </c>
      <c r="J211" s="6" t="str">
        <f t="shared" si="20"/>
        <v>Teacher</v>
      </c>
      <c r="K211" s="6" t="str">
        <f t="shared" si="21"/>
        <v>Medium</v>
      </c>
      <c r="L211" s="6">
        <f t="shared" si="22"/>
        <v>2026</v>
      </c>
      <c r="M211" s="6">
        <f t="shared" si="23"/>
        <v>2</v>
      </c>
    </row>
    <row r="212" spans="1:13">
      <c r="A212" s="6" t="s">
        <v>132</v>
      </c>
      <c r="B212" s="14">
        <v>46065</v>
      </c>
      <c r="C212" s="6" t="s">
        <v>17</v>
      </c>
      <c r="D212" s="6">
        <v>22</v>
      </c>
      <c r="E212" s="6" t="s">
        <v>9</v>
      </c>
      <c r="F212" s="6" t="s">
        <v>21</v>
      </c>
      <c r="G212" s="7">
        <v>1281</v>
      </c>
      <c r="H212" s="6" t="str">
        <f t="shared" si="18"/>
        <v>Female</v>
      </c>
      <c r="I212" s="6" t="str">
        <f t="shared" si="19"/>
        <v>Mogadishu</v>
      </c>
      <c r="J212" s="6" t="str">
        <f t="shared" si="20"/>
        <v>Self-Employed</v>
      </c>
      <c r="K212" s="6" t="str">
        <f t="shared" si="21"/>
        <v>Medium</v>
      </c>
      <c r="L212" s="6">
        <f t="shared" si="22"/>
        <v>2026</v>
      </c>
      <c r="M212" s="6">
        <f t="shared" si="23"/>
        <v>2</v>
      </c>
    </row>
    <row r="213" spans="1:13">
      <c r="A213" s="6" t="s">
        <v>64</v>
      </c>
      <c r="B213" s="14">
        <v>46067</v>
      </c>
      <c r="C213" s="6" t="s">
        <v>17</v>
      </c>
      <c r="D213" s="6">
        <v>22</v>
      </c>
      <c r="E213" s="6" t="s">
        <v>15</v>
      </c>
      <c r="F213" s="6" t="s">
        <v>23</v>
      </c>
      <c r="G213" s="7">
        <v>1164.05</v>
      </c>
      <c r="H213" s="6" t="str">
        <f t="shared" si="18"/>
        <v>Female</v>
      </c>
      <c r="I213" s="6" t="str">
        <f t="shared" si="19"/>
        <v>Hargeisa</v>
      </c>
      <c r="J213" s="6" t="str">
        <f t="shared" si="20"/>
        <v>Civil Servant</v>
      </c>
      <c r="K213" s="6" t="str">
        <f t="shared" si="21"/>
        <v>Medium</v>
      </c>
      <c r="L213" s="6">
        <f t="shared" si="22"/>
        <v>2026</v>
      </c>
      <c r="M213" s="6">
        <f t="shared" si="23"/>
        <v>2</v>
      </c>
    </row>
    <row r="214" spans="1:13">
      <c r="A214" s="6" t="s">
        <v>319</v>
      </c>
      <c r="B214" s="14">
        <v>46068</v>
      </c>
      <c r="C214" s="6" t="s">
        <v>17</v>
      </c>
      <c r="D214" s="6">
        <v>58</v>
      </c>
      <c r="E214" s="6" t="s">
        <v>20</v>
      </c>
      <c r="F214" s="6" t="s">
        <v>44</v>
      </c>
      <c r="G214" s="7">
        <v>1170.92</v>
      </c>
      <c r="H214" s="6" t="str">
        <f t="shared" si="18"/>
        <v>Female</v>
      </c>
      <c r="I214" s="6" t="str">
        <f t="shared" si="19"/>
        <v>Bosaso</v>
      </c>
      <c r="J214" s="6" t="str">
        <f t="shared" si="20"/>
        <v>Engineer</v>
      </c>
      <c r="K214" s="6" t="str">
        <f t="shared" si="21"/>
        <v>Medium</v>
      </c>
      <c r="L214" s="6">
        <f t="shared" si="22"/>
        <v>2026</v>
      </c>
      <c r="M214" s="6">
        <f t="shared" si="23"/>
        <v>2</v>
      </c>
    </row>
    <row r="215" spans="1:13">
      <c r="A215" s="6" t="s">
        <v>125</v>
      </c>
      <c r="B215" s="14">
        <v>46070</v>
      </c>
      <c r="C215" s="6" t="s">
        <v>17</v>
      </c>
      <c r="D215" s="6">
        <v>55</v>
      </c>
      <c r="E215" s="6" t="s">
        <v>15</v>
      </c>
      <c r="F215" s="6" t="s">
        <v>23</v>
      </c>
      <c r="G215" s="7">
        <v>1021.22</v>
      </c>
      <c r="H215" s="6" t="str">
        <f t="shared" si="18"/>
        <v>Female</v>
      </c>
      <c r="I215" s="6" t="str">
        <f t="shared" si="19"/>
        <v>Hargeisa</v>
      </c>
      <c r="J215" s="6" t="str">
        <f t="shared" si="20"/>
        <v>Civil Servant</v>
      </c>
      <c r="K215" s="6" t="str">
        <f t="shared" si="21"/>
        <v>Medium</v>
      </c>
      <c r="L215" s="6">
        <f t="shared" si="22"/>
        <v>2026</v>
      </c>
      <c r="M215" s="6">
        <f t="shared" si="23"/>
        <v>2</v>
      </c>
    </row>
    <row r="216" spans="1:13">
      <c r="A216" s="6" t="s">
        <v>210</v>
      </c>
      <c r="B216" s="14">
        <v>46073</v>
      </c>
      <c r="C216" s="6" t="s">
        <v>8</v>
      </c>
      <c r="D216" s="6">
        <v>30</v>
      </c>
      <c r="E216" s="6" t="s">
        <v>20</v>
      </c>
      <c r="F216" s="6" t="s">
        <v>10</v>
      </c>
      <c r="G216" s="7">
        <v>1315.27</v>
      </c>
      <c r="H216" s="6" t="str">
        <f t="shared" si="18"/>
        <v>Male</v>
      </c>
      <c r="I216" s="6" t="str">
        <f t="shared" si="19"/>
        <v>Bosaso</v>
      </c>
      <c r="J216" s="6" t="str">
        <f t="shared" si="20"/>
        <v>Healthcare</v>
      </c>
      <c r="K216" s="6" t="str">
        <f t="shared" si="21"/>
        <v>Medium</v>
      </c>
      <c r="L216" s="6">
        <f t="shared" si="22"/>
        <v>2026</v>
      </c>
      <c r="M216" s="6">
        <f t="shared" si="23"/>
        <v>2</v>
      </c>
    </row>
    <row r="217" spans="1:13">
      <c r="A217" s="6" t="s">
        <v>292</v>
      </c>
      <c r="B217" s="14">
        <v>46077</v>
      </c>
      <c r="C217" s="6" t="s">
        <v>8</v>
      </c>
      <c r="D217" s="6">
        <v>50</v>
      </c>
      <c r="E217" s="6" t="s">
        <v>74</v>
      </c>
      <c r="F217" s="6" t="s">
        <v>44</v>
      </c>
      <c r="G217" s="7">
        <v>644.80999999999995</v>
      </c>
      <c r="H217" s="6" t="str">
        <f t="shared" si="18"/>
        <v>Male</v>
      </c>
      <c r="I217" s="6" t="str">
        <f t="shared" si="19"/>
        <v>Garowe</v>
      </c>
      <c r="J217" s="6" t="str">
        <f t="shared" si="20"/>
        <v>Engineer</v>
      </c>
      <c r="K217" s="6" t="str">
        <f t="shared" si="21"/>
        <v>Low</v>
      </c>
      <c r="L217" s="6">
        <f t="shared" si="22"/>
        <v>2026</v>
      </c>
      <c r="M217" s="6">
        <f t="shared" si="23"/>
        <v>2</v>
      </c>
    </row>
    <row r="218" spans="1:13">
      <c r="A218" s="6" t="s">
        <v>290</v>
      </c>
      <c r="B218" s="14">
        <v>46080</v>
      </c>
      <c r="C218" s="6" t="s">
        <v>17</v>
      </c>
      <c r="D218" s="6">
        <v>60</v>
      </c>
      <c r="E218" s="6" t="s">
        <v>20</v>
      </c>
      <c r="F218" s="6" t="s">
        <v>10</v>
      </c>
      <c r="G218" s="7">
        <v>854.23</v>
      </c>
      <c r="H218" s="6" t="str">
        <f t="shared" si="18"/>
        <v>Female</v>
      </c>
      <c r="I218" s="6" t="str">
        <f t="shared" si="19"/>
        <v>Bosaso</v>
      </c>
      <c r="J218" s="6" t="str">
        <f t="shared" si="20"/>
        <v>Healthcare</v>
      </c>
      <c r="K218" s="6" t="str">
        <f t="shared" si="21"/>
        <v>Medium</v>
      </c>
      <c r="L218" s="6">
        <f t="shared" si="22"/>
        <v>2026</v>
      </c>
      <c r="M218" s="6">
        <f t="shared" si="23"/>
        <v>2</v>
      </c>
    </row>
    <row r="219" spans="1:13">
      <c r="A219" s="6" t="s">
        <v>170</v>
      </c>
      <c r="B219" s="14">
        <v>46081</v>
      </c>
      <c r="C219" s="6" t="s">
        <v>17</v>
      </c>
      <c r="D219" s="6">
        <v>62</v>
      </c>
      <c r="E219" s="6" t="s">
        <v>9</v>
      </c>
      <c r="F219" s="6" t="s">
        <v>44</v>
      </c>
      <c r="G219" s="7">
        <v>1371.98</v>
      </c>
      <c r="H219" s="6" t="str">
        <f t="shared" si="18"/>
        <v>Female</v>
      </c>
      <c r="I219" s="6" t="str">
        <f t="shared" si="19"/>
        <v>Mogadishu</v>
      </c>
      <c r="J219" s="6" t="str">
        <f t="shared" si="20"/>
        <v>Engineer</v>
      </c>
      <c r="K219" s="6" t="str">
        <f t="shared" si="21"/>
        <v>Medium</v>
      </c>
      <c r="L219" s="6">
        <f t="shared" si="22"/>
        <v>2026</v>
      </c>
      <c r="M219" s="6">
        <f t="shared" si="23"/>
        <v>2</v>
      </c>
    </row>
    <row r="220" spans="1:13">
      <c r="A220" s="6" t="s">
        <v>47</v>
      </c>
      <c r="B220" s="14">
        <v>46082</v>
      </c>
      <c r="C220" s="6" t="s">
        <v>17</v>
      </c>
      <c r="D220" s="6">
        <v>32</v>
      </c>
      <c r="E220" s="6" t="s">
        <v>39</v>
      </c>
      <c r="F220" s="6" t="s">
        <v>23</v>
      </c>
      <c r="G220" s="7">
        <v>558.07000000000005</v>
      </c>
      <c r="H220" s="6" t="str">
        <f t="shared" si="18"/>
        <v>Female</v>
      </c>
      <c r="I220" s="6" t="str">
        <f t="shared" si="19"/>
        <v>Kismayo</v>
      </c>
      <c r="J220" s="6" t="str">
        <f t="shared" si="20"/>
        <v>Civil Servant</v>
      </c>
      <c r="K220" s="6" t="str">
        <f t="shared" si="21"/>
        <v>Low</v>
      </c>
      <c r="L220" s="6">
        <f t="shared" si="22"/>
        <v>2026</v>
      </c>
      <c r="M220" s="6">
        <f t="shared" si="23"/>
        <v>3</v>
      </c>
    </row>
    <row r="221" spans="1:13">
      <c r="A221" s="6" t="s">
        <v>294</v>
      </c>
      <c r="B221" s="14">
        <v>46089</v>
      </c>
      <c r="C221" s="6" t="s">
        <v>17</v>
      </c>
      <c r="D221" s="6">
        <v>43</v>
      </c>
      <c r="E221" s="6" t="s">
        <v>9</v>
      </c>
      <c r="F221" s="6" t="s">
        <v>10</v>
      </c>
      <c r="G221" s="7">
        <v>1069.08</v>
      </c>
      <c r="H221" s="6" t="str">
        <f t="shared" si="18"/>
        <v>Female</v>
      </c>
      <c r="I221" s="6" t="str">
        <f t="shared" si="19"/>
        <v>Mogadishu</v>
      </c>
      <c r="J221" s="6" t="str">
        <f t="shared" si="20"/>
        <v>Healthcare</v>
      </c>
      <c r="K221" s="6" t="str">
        <f t="shared" si="21"/>
        <v>Medium</v>
      </c>
      <c r="L221" s="6">
        <f t="shared" si="22"/>
        <v>2026</v>
      </c>
      <c r="M221" s="6">
        <f t="shared" si="23"/>
        <v>3</v>
      </c>
    </row>
    <row r="222" spans="1:13">
      <c r="A222" s="6" t="s">
        <v>242</v>
      </c>
      <c r="B222" s="14">
        <v>46090</v>
      </c>
      <c r="C222" s="6" t="s">
        <v>17</v>
      </c>
      <c r="D222" s="6">
        <v>43</v>
      </c>
      <c r="E222" s="6" t="s">
        <v>9</v>
      </c>
      <c r="F222" s="6" t="s">
        <v>13</v>
      </c>
      <c r="G222" s="7">
        <v>778.23</v>
      </c>
      <c r="H222" s="6" t="str">
        <f t="shared" si="18"/>
        <v>Female</v>
      </c>
      <c r="I222" s="6" t="str">
        <f t="shared" si="19"/>
        <v>Mogadishu</v>
      </c>
      <c r="J222" s="6" t="str">
        <f t="shared" si="20"/>
        <v>Teacher</v>
      </c>
      <c r="K222" s="6" t="str">
        <f t="shared" si="21"/>
        <v>Low</v>
      </c>
      <c r="L222" s="6">
        <f t="shared" si="22"/>
        <v>2026</v>
      </c>
      <c r="M222" s="6">
        <f t="shared" si="23"/>
        <v>3</v>
      </c>
    </row>
    <row r="223" spans="1:13">
      <c r="A223" s="6" t="s">
        <v>93</v>
      </c>
      <c r="B223" s="14">
        <v>46093</v>
      </c>
      <c r="C223" s="6" t="s">
        <v>17</v>
      </c>
      <c r="D223" s="6">
        <v>52</v>
      </c>
      <c r="E223" s="6" t="s">
        <v>9</v>
      </c>
      <c r="F223" s="6" t="s">
        <v>318</v>
      </c>
      <c r="G223" s="7">
        <v>216.93</v>
      </c>
      <c r="H223" s="6" t="str">
        <f t="shared" si="18"/>
        <v>Female</v>
      </c>
      <c r="I223" s="6" t="str">
        <f t="shared" si="19"/>
        <v>Mogadishu</v>
      </c>
      <c r="J223" s="6" t="str">
        <f t="shared" si="20"/>
        <v>Missing</v>
      </c>
      <c r="K223" s="6" t="str">
        <f t="shared" si="21"/>
        <v>Low</v>
      </c>
      <c r="L223" s="6">
        <f t="shared" si="22"/>
        <v>2026</v>
      </c>
      <c r="M223" s="6">
        <f t="shared" si="23"/>
        <v>3</v>
      </c>
    </row>
    <row r="224" spans="1:13">
      <c r="A224" s="6" t="s">
        <v>182</v>
      </c>
      <c r="B224" s="14">
        <v>46094</v>
      </c>
      <c r="C224" s="6" t="s">
        <v>17</v>
      </c>
      <c r="D224" s="6">
        <v>29</v>
      </c>
      <c r="E224" s="6" t="s">
        <v>20</v>
      </c>
      <c r="F224" s="6" t="s">
        <v>13</v>
      </c>
      <c r="G224" s="7">
        <v>794.1</v>
      </c>
      <c r="H224" s="6" t="str">
        <f t="shared" si="18"/>
        <v>Female</v>
      </c>
      <c r="I224" s="6" t="str">
        <f t="shared" si="19"/>
        <v>Bosaso</v>
      </c>
      <c r="J224" s="6" t="str">
        <f t="shared" si="20"/>
        <v>Teacher</v>
      </c>
      <c r="K224" s="6" t="str">
        <f t="shared" si="21"/>
        <v>Low</v>
      </c>
      <c r="L224" s="6">
        <f t="shared" si="22"/>
        <v>2026</v>
      </c>
      <c r="M224" s="6">
        <f t="shared" si="23"/>
        <v>3</v>
      </c>
    </row>
    <row r="225" spans="1:13">
      <c r="A225" s="6" t="s">
        <v>121</v>
      </c>
      <c r="B225" s="14">
        <v>46094</v>
      </c>
      <c r="C225" s="6" t="s">
        <v>8</v>
      </c>
      <c r="D225" s="6">
        <v>43</v>
      </c>
      <c r="E225" s="6" t="s">
        <v>9</v>
      </c>
      <c r="F225" s="6" t="s">
        <v>30</v>
      </c>
      <c r="G225" s="7">
        <v>1377.65</v>
      </c>
      <c r="H225" s="6" t="str">
        <f t="shared" si="18"/>
        <v>Male</v>
      </c>
      <c r="I225" s="6" t="str">
        <f t="shared" si="19"/>
        <v>Mogadishu</v>
      </c>
      <c r="J225" s="6" t="str">
        <f t="shared" si="20"/>
        <v>Business Owner</v>
      </c>
      <c r="K225" s="6" t="str">
        <f t="shared" si="21"/>
        <v>Medium</v>
      </c>
      <c r="L225" s="6">
        <f t="shared" si="22"/>
        <v>2026</v>
      </c>
      <c r="M225" s="6">
        <f t="shared" si="23"/>
        <v>3</v>
      </c>
    </row>
    <row r="226" spans="1:13">
      <c r="A226" s="6" t="s">
        <v>58</v>
      </c>
      <c r="B226" s="14">
        <v>46094</v>
      </c>
      <c r="C226" s="6" t="s">
        <v>17</v>
      </c>
      <c r="D226" s="6">
        <v>44</v>
      </c>
      <c r="E226" s="6" t="s">
        <v>9</v>
      </c>
      <c r="F226" s="6" t="s">
        <v>21</v>
      </c>
      <c r="G226" s="7">
        <v>1321.69</v>
      </c>
      <c r="H226" s="6" t="str">
        <f t="shared" si="18"/>
        <v>Female</v>
      </c>
      <c r="I226" s="6" t="str">
        <f t="shared" si="19"/>
        <v>Mogadishu</v>
      </c>
      <c r="J226" s="6" t="str">
        <f t="shared" si="20"/>
        <v>Self-Employed</v>
      </c>
      <c r="K226" s="6" t="str">
        <f t="shared" si="21"/>
        <v>Medium</v>
      </c>
      <c r="L226" s="6">
        <f t="shared" si="22"/>
        <v>2026</v>
      </c>
      <c r="M226" s="6">
        <f t="shared" si="23"/>
        <v>3</v>
      </c>
    </row>
    <row r="227" spans="1:13">
      <c r="A227" s="6" t="s">
        <v>69</v>
      </c>
      <c r="B227" s="14">
        <v>46099</v>
      </c>
      <c r="C227" s="6" t="s">
        <v>8</v>
      </c>
      <c r="D227" s="6">
        <v>45</v>
      </c>
      <c r="E227" s="6" t="s">
        <v>12</v>
      </c>
      <c r="F227" s="6" t="s">
        <v>18</v>
      </c>
      <c r="G227" s="7">
        <v>200.87</v>
      </c>
      <c r="H227" s="6" t="str">
        <f t="shared" si="18"/>
        <v>Male</v>
      </c>
      <c r="I227" s="6" t="str">
        <f t="shared" si="19"/>
        <v>Baidoa</v>
      </c>
      <c r="J227" s="6" t="str">
        <f t="shared" si="20"/>
        <v>Student</v>
      </c>
      <c r="K227" s="6" t="str">
        <f t="shared" si="21"/>
        <v>Low</v>
      </c>
      <c r="L227" s="6">
        <f t="shared" si="22"/>
        <v>2026</v>
      </c>
      <c r="M227" s="6">
        <f t="shared" si="23"/>
        <v>3</v>
      </c>
    </row>
    <row r="228" spans="1:13">
      <c r="A228" s="6" t="s">
        <v>72</v>
      </c>
      <c r="B228" s="14">
        <v>46103</v>
      </c>
      <c r="C228" s="6" t="s">
        <v>8</v>
      </c>
      <c r="D228" s="6">
        <v>64</v>
      </c>
      <c r="E228" s="6" t="s">
        <v>20</v>
      </c>
      <c r="F228" s="6" t="s">
        <v>30</v>
      </c>
      <c r="G228" s="7">
        <v>727.81</v>
      </c>
      <c r="H228" s="6" t="str">
        <f t="shared" si="18"/>
        <v>Male</v>
      </c>
      <c r="I228" s="6" t="str">
        <f t="shared" si="19"/>
        <v>Bosaso</v>
      </c>
      <c r="J228" s="6" t="str">
        <f t="shared" si="20"/>
        <v>Business Owner</v>
      </c>
      <c r="K228" s="6" t="str">
        <f t="shared" si="21"/>
        <v>Low</v>
      </c>
      <c r="L228" s="6">
        <f t="shared" si="22"/>
        <v>2026</v>
      </c>
      <c r="M228" s="6">
        <f t="shared" si="23"/>
        <v>3</v>
      </c>
    </row>
    <row r="229" spans="1:13">
      <c r="A229" s="6" t="s">
        <v>61</v>
      </c>
      <c r="B229" s="14">
        <v>46109</v>
      </c>
      <c r="C229" s="6" t="s">
        <v>17</v>
      </c>
      <c r="D229" s="6">
        <v>40</v>
      </c>
      <c r="E229" s="6" t="s">
        <v>15</v>
      </c>
      <c r="F229" s="6" t="s">
        <v>10</v>
      </c>
      <c r="G229" s="7">
        <v>644.95000000000005</v>
      </c>
      <c r="H229" s="6" t="str">
        <f t="shared" si="18"/>
        <v>Female</v>
      </c>
      <c r="I229" s="6" t="str">
        <f t="shared" si="19"/>
        <v>Hargeisa</v>
      </c>
      <c r="J229" s="6" t="str">
        <f t="shared" si="20"/>
        <v>Healthcare</v>
      </c>
      <c r="K229" s="6" t="str">
        <f t="shared" si="21"/>
        <v>Low</v>
      </c>
      <c r="L229" s="6">
        <f t="shared" si="22"/>
        <v>2026</v>
      </c>
      <c r="M229" s="6">
        <f t="shared" si="23"/>
        <v>3</v>
      </c>
    </row>
    <row r="230" spans="1:13">
      <c r="A230" s="6" t="s">
        <v>105</v>
      </c>
      <c r="B230" s="14">
        <v>46109</v>
      </c>
      <c r="C230" s="6" t="s">
        <v>17</v>
      </c>
      <c r="D230" s="6">
        <v>63</v>
      </c>
      <c r="E230" s="6" t="s">
        <v>20</v>
      </c>
      <c r="F230" s="6" t="s">
        <v>30</v>
      </c>
      <c r="G230" s="7">
        <v>1127.6500000000001</v>
      </c>
      <c r="H230" s="6" t="str">
        <f t="shared" si="18"/>
        <v>Female</v>
      </c>
      <c r="I230" s="6" t="str">
        <f t="shared" si="19"/>
        <v>Bosaso</v>
      </c>
      <c r="J230" s="6" t="str">
        <f t="shared" si="20"/>
        <v>Business Owner</v>
      </c>
      <c r="K230" s="6" t="str">
        <f t="shared" si="21"/>
        <v>Medium</v>
      </c>
      <c r="L230" s="6">
        <f t="shared" si="22"/>
        <v>2026</v>
      </c>
      <c r="M230" s="6">
        <f t="shared" si="23"/>
        <v>3</v>
      </c>
    </row>
    <row r="231" spans="1:13">
      <c r="A231" s="6" t="s">
        <v>247</v>
      </c>
      <c r="B231" s="14">
        <v>46116</v>
      </c>
      <c r="C231" s="6" t="s">
        <v>17</v>
      </c>
      <c r="D231" s="6">
        <v>40</v>
      </c>
      <c r="E231" s="6" t="s">
        <v>317</v>
      </c>
      <c r="F231" s="6" t="s">
        <v>21</v>
      </c>
      <c r="G231" s="7">
        <v>727.06</v>
      </c>
      <c r="H231" s="6" t="str">
        <f t="shared" si="18"/>
        <v>Female</v>
      </c>
      <c r="I231" s="6" t="str">
        <f t="shared" si="19"/>
        <v>Missing</v>
      </c>
      <c r="J231" s="6" t="str">
        <f t="shared" si="20"/>
        <v>Self-Employed</v>
      </c>
      <c r="K231" s="6" t="str">
        <f t="shared" si="21"/>
        <v>Low</v>
      </c>
      <c r="L231" s="6">
        <f t="shared" si="22"/>
        <v>2026</v>
      </c>
      <c r="M231" s="6">
        <f t="shared" si="23"/>
        <v>4</v>
      </c>
    </row>
    <row r="232" spans="1:13">
      <c r="A232" s="6" t="s">
        <v>123</v>
      </c>
      <c r="B232" s="14">
        <v>46124</v>
      </c>
      <c r="C232" s="6" t="s">
        <v>8</v>
      </c>
      <c r="D232" s="6">
        <v>24</v>
      </c>
      <c r="E232" s="6" t="s">
        <v>9</v>
      </c>
      <c r="F232" s="6" t="s">
        <v>44</v>
      </c>
      <c r="G232" s="7">
        <v>1411.64</v>
      </c>
      <c r="H232" s="6" t="str">
        <f t="shared" si="18"/>
        <v>Male</v>
      </c>
      <c r="I232" s="6" t="str">
        <f t="shared" si="19"/>
        <v>Mogadishu</v>
      </c>
      <c r="J232" s="6" t="str">
        <f t="shared" si="20"/>
        <v>Engineer</v>
      </c>
      <c r="K232" s="6" t="str">
        <f t="shared" si="21"/>
        <v>Medium</v>
      </c>
      <c r="L232" s="6">
        <f t="shared" si="22"/>
        <v>2026</v>
      </c>
      <c r="M232" s="6">
        <f t="shared" si="23"/>
        <v>4</v>
      </c>
    </row>
    <row r="233" spans="1:13">
      <c r="A233" s="6" t="s">
        <v>259</v>
      </c>
      <c r="B233" s="14">
        <v>46127</v>
      </c>
      <c r="C233" s="6" t="s">
        <v>8</v>
      </c>
      <c r="D233" s="6">
        <v>70</v>
      </c>
      <c r="E233" s="6" t="s">
        <v>39</v>
      </c>
      <c r="F233" s="6" t="s">
        <v>30</v>
      </c>
      <c r="G233" s="7">
        <v>891.18</v>
      </c>
      <c r="H233" s="6" t="str">
        <f t="shared" si="18"/>
        <v>Male</v>
      </c>
      <c r="I233" s="6" t="str">
        <f t="shared" si="19"/>
        <v>Kismayo</v>
      </c>
      <c r="J233" s="6" t="str">
        <f t="shared" si="20"/>
        <v>Business Owner</v>
      </c>
      <c r="K233" s="6" t="str">
        <f t="shared" si="21"/>
        <v>Medium</v>
      </c>
      <c r="L233" s="6">
        <f t="shared" si="22"/>
        <v>2026</v>
      </c>
      <c r="M233" s="6">
        <f t="shared" si="23"/>
        <v>4</v>
      </c>
    </row>
    <row r="234" spans="1:13">
      <c r="A234" s="6" t="s">
        <v>303</v>
      </c>
      <c r="B234" s="14">
        <v>46129</v>
      </c>
      <c r="C234" s="6" t="s">
        <v>17</v>
      </c>
      <c r="D234" s="6">
        <v>18</v>
      </c>
      <c r="E234" s="6" t="s">
        <v>9</v>
      </c>
      <c r="F234" s="6" t="s">
        <v>23</v>
      </c>
      <c r="G234" s="7">
        <v>1155.56</v>
      </c>
      <c r="H234" s="6" t="str">
        <f t="shared" si="18"/>
        <v>Female</v>
      </c>
      <c r="I234" s="6" t="str">
        <f t="shared" si="19"/>
        <v>Mogadishu</v>
      </c>
      <c r="J234" s="6" t="str">
        <f t="shared" si="20"/>
        <v>Civil Servant</v>
      </c>
      <c r="K234" s="6" t="str">
        <f t="shared" si="21"/>
        <v>Medium</v>
      </c>
      <c r="L234" s="6">
        <f t="shared" si="22"/>
        <v>2026</v>
      </c>
      <c r="M234" s="6">
        <f t="shared" si="23"/>
        <v>4</v>
      </c>
    </row>
    <row r="235" spans="1:13">
      <c r="A235" s="6" t="s">
        <v>85</v>
      </c>
      <c r="B235" s="14">
        <v>46133</v>
      </c>
      <c r="C235" s="6" t="s">
        <v>17</v>
      </c>
      <c r="D235" s="6">
        <v>46</v>
      </c>
      <c r="E235" s="6" t="s">
        <v>15</v>
      </c>
      <c r="F235" s="6" t="s">
        <v>18</v>
      </c>
      <c r="G235" s="7">
        <v>116.1</v>
      </c>
      <c r="H235" s="6" t="str">
        <f t="shared" si="18"/>
        <v>Female</v>
      </c>
      <c r="I235" s="6" t="str">
        <f t="shared" si="19"/>
        <v>Hargeisa</v>
      </c>
      <c r="J235" s="6" t="str">
        <f t="shared" si="20"/>
        <v>Student</v>
      </c>
      <c r="K235" s="6" t="str">
        <f t="shared" si="21"/>
        <v>Low</v>
      </c>
      <c r="L235" s="6">
        <f t="shared" si="22"/>
        <v>2026</v>
      </c>
      <c r="M235" s="6">
        <f t="shared" si="23"/>
        <v>4</v>
      </c>
    </row>
    <row r="236" spans="1:13">
      <c r="A236" s="6" t="s">
        <v>308</v>
      </c>
      <c r="B236" s="14">
        <v>46136</v>
      </c>
      <c r="C236" s="6" t="s">
        <v>17</v>
      </c>
      <c r="D236" s="6">
        <v>57</v>
      </c>
      <c r="E236" s="6" t="s">
        <v>39</v>
      </c>
      <c r="F236" s="6" t="s">
        <v>30</v>
      </c>
      <c r="G236" s="7">
        <v>749.33</v>
      </c>
      <c r="H236" s="6" t="str">
        <f t="shared" si="18"/>
        <v>Female</v>
      </c>
      <c r="I236" s="6" t="str">
        <f t="shared" si="19"/>
        <v>Kismayo</v>
      </c>
      <c r="J236" s="6" t="str">
        <f t="shared" si="20"/>
        <v>Business Owner</v>
      </c>
      <c r="K236" s="6" t="str">
        <f t="shared" si="21"/>
        <v>Low</v>
      </c>
      <c r="L236" s="6">
        <f t="shared" si="22"/>
        <v>2026</v>
      </c>
      <c r="M236" s="6">
        <f t="shared" si="23"/>
        <v>4</v>
      </c>
    </row>
    <row r="237" spans="1:13">
      <c r="A237" s="6" t="s">
        <v>42</v>
      </c>
      <c r="B237" s="14">
        <v>46137</v>
      </c>
      <c r="C237" s="6" t="s">
        <v>17</v>
      </c>
      <c r="D237" s="6">
        <v>28</v>
      </c>
      <c r="E237" s="6" t="s">
        <v>39</v>
      </c>
      <c r="F237" s="6" t="s">
        <v>13</v>
      </c>
      <c r="G237" s="7">
        <v>732.86</v>
      </c>
      <c r="H237" s="6" t="str">
        <f t="shared" si="18"/>
        <v>Female</v>
      </c>
      <c r="I237" s="6" t="str">
        <f t="shared" si="19"/>
        <v>Kismayo</v>
      </c>
      <c r="J237" s="6" t="str">
        <f t="shared" si="20"/>
        <v>Teacher</v>
      </c>
      <c r="K237" s="6" t="str">
        <f t="shared" si="21"/>
        <v>Low</v>
      </c>
      <c r="L237" s="6">
        <f t="shared" si="22"/>
        <v>2026</v>
      </c>
      <c r="M237" s="6">
        <f t="shared" si="23"/>
        <v>4</v>
      </c>
    </row>
    <row r="238" spans="1:13">
      <c r="A238" s="6" t="s">
        <v>297</v>
      </c>
      <c r="B238" s="14">
        <v>46137</v>
      </c>
      <c r="C238" s="6" t="s">
        <v>8</v>
      </c>
      <c r="D238" s="6">
        <v>44</v>
      </c>
      <c r="E238" s="6" t="s">
        <v>15</v>
      </c>
      <c r="F238" s="6" t="s">
        <v>10</v>
      </c>
      <c r="G238" s="7">
        <v>1263.1099999999999</v>
      </c>
      <c r="H238" s="6" t="str">
        <f t="shared" si="18"/>
        <v>Male</v>
      </c>
      <c r="I238" s="6" t="str">
        <f t="shared" si="19"/>
        <v>Hargeisa</v>
      </c>
      <c r="J238" s="6" t="str">
        <f t="shared" si="20"/>
        <v>Healthcare</v>
      </c>
      <c r="K238" s="6" t="str">
        <f t="shared" si="21"/>
        <v>Medium</v>
      </c>
      <c r="L238" s="6">
        <f t="shared" si="22"/>
        <v>2026</v>
      </c>
      <c r="M238" s="6">
        <f t="shared" si="23"/>
        <v>4</v>
      </c>
    </row>
    <row r="239" spans="1:13">
      <c r="A239" s="6" t="s">
        <v>197</v>
      </c>
      <c r="B239" s="14">
        <v>46146</v>
      </c>
      <c r="C239" s="6" t="s">
        <v>17</v>
      </c>
      <c r="D239" s="6">
        <v>18</v>
      </c>
      <c r="E239" s="6" t="s">
        <v>9</v>
      </c>
      <c r="F239" s="6" t="s">
        <v>30</v>
      </c>
      <c r="G239" s="7">
        <v>721.99</v>
      </c>
      <c r="H239" s="6" t="str">
        <f t="shared" si="18"/>
        <v>Female</v>
      </c>
      <c r="I239" s="6" t="str">
        <f t="shared" si="19"/>
        <v>Mogadishu</v>
      </c>
      <c r="J239" s="6" t="str">
        <f t="shared" si="20"/>
        <v>Business Owner</v>
      </c>
      <c r="K239" s="6" t="str">
        <f t="shared" si="21"/>
        <v>Low</v>
      </c>
      <c r="L239" s="6">
        <f t="shared" si="22"/>
        <v>2026</v>
      </c>
      <c r="M239" s="6">
        <f t="shared" si="23"/>
        <v>5</v>
      </c>
    </row>
    <row r="240" spans="1:13">
      <c r="A240" s="6" t="s">
        <v>127</v>
      </c>
      <c r="B240" s="14">
        <v>46146</v>
      </c>
      <c r="C240" s="6" t="s">
        <v>17</v>
      </c>
      <c r="D240" s="6">
        <v>43</v>
      </c>
      <c r="E240" s="6" t="s">
        <v>20</v>
      </c>
      <c r="F240" s="6" t="s">
        <v>18</v>
      </c>
      <c r="G240" s="7">
        <v>169.21</v>
      </c>
      <c r="H240" s="6" t="str">
        <f t="shared" si="18"/>
        <v>Female</v>
      </c>
      <c r="I240" s="6" t="str">
        <f t="shared" si="19"/>
        <v>Bosaso</v>
      </c>
      <c r="J240" s="6" t="str">
        <f t="shared" si="20"/>
        <v>Student</v>
      </c>
      <c r="K240" s="6" t="str">
        <f t="shared" si="21"/>
        <v>Low</v>
      </c>
      <c r="L240" s="6">
        <f t="shared" si="22"/>
        <v>2026</v>
      </c>
      <c r="M240" s="6">
        <f t="shared" si="23"/>
        <v>5</v>
      </c>
    </row>
    <row r="241" spans="1:13">
      <c r="A241" s="6" t="s">
        <v>179</v>
      </c>
      <c r="B241" s="14">
        <v>46148</v>
      </c>
      <c r="C241" s="6" t="s">
        <v>8</v>
      </c>
      <c r="D241" s="6">
        <v>52</v>
      </c>
      <c r="E241" s="6" t="s">
        <v>9</v>
      </c>
      <c r="F241" s="6" t="s">
        <v>10</v>
      </c>
      <c r="G241" s="7">
        <v>934.22</v>
      </c>
      <c r="H241" s="6" t="str">
        <f t="shared" si="18"/>
        <v>Male</v>
      </c>
      <c r="I241" s="6" t="str">
        <f t="shared" si="19"/>
        <v>Mogadishu</v>
      </c>
      <c r="J241" s="6" t="str">
        <f t="shared" si="20"/>
        <v>Healthcare</v>
      </c>
      <c r="K241" s="6" t="str">
        <f t="shared" si="21"/>
        <v>Medium</v>
      </c>
      <c r="L241" s="6">
        <f t="shared" si="22"/>
        <v>2026</v>
      </c>
      <c r="M241" s="6">
        <f t="shared" si="23"/>
        <v>5</v>
      </c>
    </row>
    <row r="242" spans="1:13">
      <c r="A242" s="6" t="s">
        <v>305</v>
      </c>
      <c r="B242" s="14">
        <v>46150</v>
      </c>
      <c r="C242" s="6" t="s">
        <v>8</v>
      </c>
      <c r="D242" s="6">
        <v>67</v>
      </c>
      <c r="E242" s="6" t="s">
        <v>9</v>
      </c>
      <c r="F242" s="6" t="s">
        <v>23</v>
      </c>
      <c r="G242" s="7">
        <v>857.27</v>
      </c>
      <c r="H242" s="6" t="str">
        <f t="shared" si="18"/>
        <v>Male</v>
      </c>
      <c r="I242" s="6" t="str">
        <f t="shared" si="19"/>
        <v>Mogadishu</v>
      </c>
      <c r="J242" s="6" t="str">
        <f t="shared" si="20"/>
        <v>Civil Servant</v>
      </c>
      <c r="K242" s="6" t="str">
        <f t="shared" si="21"/>
        <v>Medium</v>
      </c>
      <c r="L242" s="6">
        <f t="shared" si="22"/>
        <v>2026</v>
      </c>
      <c r="M242" s="6">
        <f t="shared" si="23"/>
        <v>5</v>
      </c>
    </row>
    <row r="243" spans="1:13">
      <c r="B243" s="14">
        <v>46151</v>
      </c>
      <c r="C243" s="6" t="s">
        <v>17</v>
      </c>
      <c r="D243" s="6">
        <v>50</v>
      </c>
      <c r="E243" s="6" t="s">
        <v>9</v>
      </c>
      <c r="F243" s="6" t="s">
        <v>21</v>
      </c>
      <c r="G243" s="7">
        <v>917.25</v>
      </c>
      <c r="H243" s="6" t="str">
        <f t="shared" si="18"/>
        <v>Female</v>
      </c>
      <c r="I243" s="6" t="str">
        <f t="shared" si="19"/>
        <v>Mogadishu</v>
      </c>
      <c r="J243" s="6" t="str">
        <f t="shared" si="20"/>
        <v>Self-Employed</v>
      </c>
      <c r="K243" s="6" t="str">
        <f t="shared" si="21"/>
        <v>Medium</v>
      </c>
      <c r="L243" s="6">
        <f t="shared" si="22"/>
        <v>2026</v>
      </c>
      <c r="M243" s="6">
        <f t="shared" si="23"/>
        <v>5</v>
      </c>
    </row>
    <row r="244" spans="1:13">
      <c r="A244" s="6" t="s">
        <v>251</v>
      </c>
      <c r="B244" s="14">
        <v>46157</v>
      </c>
      <c r="C244" s="6" t="s">
        <v>8</v>
      </c>
      <c r="D244" s="6">
        <v>42</v>
      </c>
      <c r="E244" s="6" t="s">
        <v>20</v>
      </c>
      <c r="F244" s="6" t="s">
        <v>30</v>
      </c>
      <c r="G244" s="7">
        <v>923.87</v>
      </c>
      <c r="H244" s="6" t="str">
        <f t="shared" si="18"/>
        <v>Male</v>
      </c>
      <c r="I244" s="6" t="str">
        <f t="shared" si="19"/>
        <v>Bosaso</v>
      </c>
      <c r="J244" s="6" t="str">
        <f t="shared" si="20"/>
        <v>Business Owner</v>
      </c>
      <c r="K244" s="6" t="str">
        <f t="shared" si="21"/>
        <v>Medium</v>
      </c>
      <c r="L244" s="6">
        <f t="shared" si="22"/>
        <v>2026</v>
      </c>
      <c r="M244" s="6">
        <f t="shared" si="23"/>
        <v>5</v>
      </c>
    </row>
    <row r="245" spans="1:13">
      <c r="A245" s="6" t="s">
        <v>284</v>
      </c>
      <c r="B245" s="14">
        <v>46157</v>
      </c>
      <c r="C245" s="6" t="s">
        <v>17</v>
      </c>
      <c r="D245" s="6">
        <v>44</v>
      </c>
      <c r="E245" s="6" t="s">
        <v>15</v>
      </c>
      <c r="F245" s="6" t="s">
        <v>30</v>
      </c>
      <c r="G245" s="7">
        <v>746.07</v>
      </c>
      <c r="H245" s="6" t="str">
        <f t="shared" si="18"/>
        <v>Female</v>
      </c>
      <c r="I245" s="6" t="str">
        <f t="shared" si="19"/>
        <v>Hargeisa</v>
      </c>
      <c r="J245" s="6" t="str">
        <f t="shared" si="20"/>
        <v>Business Owner</v>
      </c>
      <c r="K245" s="6" t="str">
        <f t="shared" si="21"/>
        <v>Low</v>
      </c>
      <c r="L245" s="6">
        <f t="shared" si="22"/>
        <v>2026</v>
      </c>
      <c r="M245" s="6">
        <f t="shared" si="23"/>
        <v>5</v>
      </c>
    </row>
    <row r="246" spans="1:13">
      <c r="A246" s="6" t="s">
        <v>137</v>
      </c>
      <c r="B246" s="14">
        <v>46157</v>
      </c>
      <c r="C246" s="6" t="s">
        <v>17</v>
      </c>
      <c r="D246" s="6">
        <v>61</v>
      </c>
      <c r="E246" s="6" t="s">
        <v>15</v>
      </c>
      <c r="F246" s="6" t="s">
        <v>18</v>
      </c>
      <c r="G246" s="7">
        <v>294.94</v>
      </c>
      <c r="H246" s="6" t="str">
        <f t="shared" si="18"/>
        <v>Female</v>
      </c>
      <c r="I246" s="6" t="str">
        <f t="shared" si="19"/>
        <v>Hargeisa</v>
      </c>
      <c r="J246" s="6" t="str">
        <f t="shared" si="20"/>
        <v>Student</v>
      </c>
      <c r="K246" s="6" t="str">
        <f t="shared" si="21"/>
        <v>Low</v>
      </c>
      <c r="L246" s="6">
        <f t="shared" si="22"/>
        <v>2026</v>
      </c>
      <c r="M246" s="6">
        <f t="shared" si="23"/>
        <v>5</v>
      </c>
    </row>
    <row r="247" spans="1:13">
      <c r="A247" s="6" t="s">
        <v>173</v>
      </c>
      <c r="B247" s="14">
        <v>46157</v>
      </c>
      <c r="C247" s="6" t="s">
        <v>317</v>
      </c>
      <c r="D247" s="6">
        <v>65</v>
      </c>
      <c r="E247" s="6" t="s">
        <v>12</v>
      </c>
      <c r="F247" s="6" t="s">
        <v>30</v>
      </c>
      <c r="G247" s="7">
        <v>1137.32</v>
      </c>
      <c r="H247" s="6" t="str">
        <f t="shared" si="18"/>
        <v>Missing</v>
      </c>
      <c r="I247" s="6" t="str">
        <f t="shared" si="19"/>
        <v>Baidoa</v>
      </c>
      <c r="J247" s="6" t="str">
        <f t="shared" si="20"/>
        <v>Business Owner</v>
      </c>
      <c r="K247" s="6" t="str">
        <f t="shared" si="21"/>
        <v>Medium</v>
      </c>
      <c r="L247" s="6">
        <f t="shared" si="22"/>
        <v>2026</v>
      </c>
      <c r="M247" s="6">
        <f t="shared" si="23"/>
        <v>5</v>
      </c>
    </row>
    <row r="248" spans="1:13">
      <c r="A248" s="6" t="s">
        <v>59</v>
      </c>
      <c r="B248" s="14">
        <v>46158</v>
      </c>
      <c r="C248" s="6" t="s">
        <v>17</v>
      </c>
      <c r="D248" s="6">
        <v>30</v>
      </c>
      <c r="E248" s="6" t="s">
        <v>9</v>
      </c>
      <c r="F248" s="6" t="s">
        <v>30</v>
      </c>
      <c r="G248" s="7">
        <v>2015.04</v>
      </c>
      <c r="H248" s="6" t="str">
        <f t="shared" si="18"/>
        <v>Female</v>
      </c>
      <c r="I248" s="6" t="str">
        <f t="shared" si="19"/>
        <v>Mogadishu</v>
      </c>
      <c r="J248" s="6" t="str">
        <f t="shared" si="20"/>
        <v>Business Owner</v>
      </c>
      <c r="K248" s="6" t="str">
        <f t="shared" si="21"/>
        <v>High</v>
      </c>
      <c r="L248" s="6">
        <f t="shared" si="22"/>
        <v>2026</v>
      </c>
      <c r="M248" s="6">
        <f t="shared" si="23"/>
        <v>5</v>
      </c>
    </row>
    <row r="249" spans="1:13">
      <c r="A249" s="6" t="s">
        <v>33</v>
      </c>
      <c r="B249" s="14">
        <v>46159</v>
      </c>
      <c r="C249" s="6" t="s">
        <v>17</v>
      </c>
      <c r="D249" s="6">
        <v>27</v>
      </c>
      <c r="E249" s="6" t="s">
        <v>15</v>
      </c>
      <c r="F249" s="6" t="s">
        <v>318</v>
      </c>
      <c r="G249" s="7">
        <v>255.08</v>
      </c>
      <c r="H249" s="6" t="str">
        <f t="shared" si="18"/>
        <v>Female</v>
      </c>
      <c r="I249" s="6" t="str">
        <f t="shared" si="19"/>
        <v>Hargeisa</v>
      </c>
      <c r="J249" s="6" t="str">
        <f t="shared" si="20"/>
        <v>Missing</v>
      </c>
      <c r="K249" s="6" t="str">
        <f t="shared" si="21"/>
        <v>Low</v>
      </c>
      <c r="L249" s="6">
        <f t="shared" si="22"/>
        <v>2026</v>
      </c>
      <c r="M249" s="6">
        <f t="shared" si="23"/>
        <v>5</v>
      </c>
    </row>
    <row r="250" spans="1:13">
      <c r="A250" s="6" t="s">
        <v>27</v>
      </c>
      <c r="B250" s="14">
        <v>46159</v>
      </c>
      <c r="C250" s="6" t="s">
        <v>17</v>
      </c>
      <c r="D250" s="6">
        <v>39</v>
      </c>
      <c r="E250" s="6" t="s">
        <v>20</v>
      </c>
      <c r="F250" s="6" t="s">
        <v>10</v>
      </c>
      <c r="G250" s="7">
        <v>1315.07</v>
      </c>
      <c r="H250" s="6" t="str">
        <f t="shared" si="18"/>
        <v>Female</v>
      </c>
      <c r="I250" s="6" t="str">
        <f t="shared" si="19"/>
        <v>Bosaso</v>
      </c>
      <c r="J250" s="6" t="str">
        <f t="shared" si="20"/>
        <v>Healthcare</v>
      </c>
      <c r="K250" s="6" t="str">
        <f t="shared" si="21"/>
        <v>Medium</v>
      </c>
      <c r="L250" s="6">
        <f t="shared" si="22"/>
        <v>2026</v>
      </c>
      <c r="M250" s="6">
        <f t="shared" si="23"/>
        <v>5</v>
      </c>
    </row>
    <row r="251" spans="1:13">
      <c r="A251" s="6" t="s">
        <v>50</v>
      </c>
      <c r="B251" s="14">
        <v>46161</v>
      </c>
      <c r="C251" s="6" t="s">
        <v>17</v>
      </c>
      <c r="D251" s="6">
        <v>53</v>
      </c>
      <c r="E251" s="6" t="s">
        <v>9</v>
      </c>
      <c r="F251" s="6" t="s">
        <v>44</v>
      </c>
      <c r="G251" s="7">
        <v>923.87</v>
      </c>
      <c r="H251" s="6" t="str">
        <f t="shared" si="18"/>
        <v>Female</v>
      </c>
      <c r="I251" s="6" t="str">
        <f t="shared" si="19"/>
        <v>Mogadishu</v>
      </c>
      <c r="J251" s="6" t="str">
        <f t="shared" si="20"/>
        <v>Engineer</v>
      </c>
      <c r="K251" s="6" t="str">
        <f t="shared" si="21"/>
        <v>Medium</v>
      </c>
      <c r="L251" s="6">
        <f t="shared" si="22"/>
        <v>2026</v>
      </c>
      <c r="M251" s="6">
        <f t="shared" si="23"/>
        <v>5</v>
      </c>
    </row>
    <row r="252" spans="1:13">
      <c r="A252" s="6" t="s">
        <v>271</v>
      </c>
      <c r="B252" s="14">
        <v>46163</v>
      </c>
      <c r="C252" s="6" t="s">
        <v>17</v>
      </c>
      <c r="D252" s="6">
        <v>29</v>
      </c>
      <c r="E252" s="6" t="s">
        <v>9</v>
      </c>
      <c r="F252" s="6" t="s">
        <v>21</v>
      </c>
      <c r="G252" s="7">
        <v>1143.8399999999999</v>
      </c>
      <c r="H252" s="6" t="str">
        <f t="shared" si="18"/>
        <v>Female</v>
      </c>
      <c r="I252" s="6" t="str">
        <f t="shared" si="19"/>
        <v>Mogadishu</v>
      </c>
      <c r="J252" s="6" t="str">
        <f t="shared" si="20"/>
        <v>Self-Employed</v>
      </c>
      <c r="K252" s="6" t="str">
        <f t="shared" si="21"/>
        <v>Medium</v>
      </c>
      <c r="L252" s="6">
        <f t="shared" si="22"/>
        <v>2026</v>
      </c>
      <c r="M252" s="6">
        <f t="shared" si="23"/>
        <v>5</v>
      </c>
    </row>
    <row r="253" spans="1:13">
      <c r="A253" s="6" t="s">
        <v>196</v>
      </c>
      <c r="B253" s="14">
        <v>46166</v>
      </c>
      <c r="C253" s="6" t="s">
        <v>8</v>
      </c>
      <c r="D253" s="6">
        <v>69</v>
      </c>
      <c r="E253" s="6" t="s">
        <v>9</v>
      </c>
      <c r="F253" s="6" t="s">
        <v>10</v>
      </c>
      <c r="G253" s="7">
        <v>1244.97</v>
      </c>
      <c r="H253" s="6" t="str">
        <f t="shared" si="18"/>
        <v>Male</v>
      </c>
      <c r="I253" s="6" t="str">
        <f t="shared" si="19"/>
        <v>Mogadishu</v>
      </c>
      <c r="J253" s="6" t="str">
        <f t="shared" si="20"/>
        <v>Healthcare</v>
      </c>
      <c r="K253" s="6" t="str">
        <f t="shared" si="21"/>
        <v>Medium</v>
      </c>
      <c r="L253" s="6">
        <f t="shared" si="22"/>
        <v>2026</v>
      </c>
      <c r="M253" s="6">
        <f t="shared" si="23"/>
        <v>5</v>
      </c>
    </row>
    <row r="254" spans="1:13">
      <c r="A254" s="6" t="s">
        <v>285</v>
      </c>
      <c r="B254" s="14">
        <v>46168</v>
      </c>
      <c r="C254" s="6" t="s">
        <v>8</v>
      </c>
      <c r="D254" s="6">
        <v>44</v>
      </c>
      <c r="E254" s="6" t="s">
        <v>15</v>
      </c>
      <c r="F254" s="6" t="s">
        <v>18</v>
      </c>
      <c r="G254" s="7">
        <v>149.24</v>
      </c>
      <c r="H254" s="6" t="str">
        <f t="shared" si="18"/>
        <v>Male</v>
      </c>
      <c r="I254" s="6" t="str">
        <f t="shared" si="19"/>
        <v>Hargeisa</v>
      </c>
      <c r="J254" s="6" t="str">
        <f t="shared" si="20"/>
        <v>Student</v>
      </c>
      <c r="K254" s="6" t="str">
        <f t="shared" si="21"/>
        <v>Low</v>
      </c>
      <c r="L254" s="6">
        <f t="shared" si="22"/>
        <v>2026</v>
      </c>
      <c r="M254" s="6">
        <f t="shared" si="23"/>
        <v>5</v>
      </c>
    </row>
    <row r="255" spans="1:13">
      <c r="A255" s="6" t="s">
        <v>252</v>
      </c>
      <c r="B255" s="14">
        <v>46169</v>
      </c>
      <c r="C255" s="6" t="s">
        <v>17</v>
      </c>
      <c r="D255" s="6">
        <v>36</v>
      </c>
      <c r="E255" s="6" t="s">
        <v>15</v>
      </c>
      <c r="F255" s="6" t="s">
        <v>318</v>
      </c>
      <c r="G255" s="7">
        <v>216.82</v>
      </c>
      <c r="H255" s="6" t="str">
        <f t="shared" si="18"/>
        <v>Female</v>
      </c>
      <c r="I255" s="6" t="str">
        <f t="shared" si="19"/>
        <v>Hargeisa</v>
      </c>
      <c r="J255" s="6" t="str">
        <f t="shared" si="20"/>
        <v>Missing</v>
      </c>
      <c r="K255" s="6" t="str">
        <f t="shared" si="21"/>
        <v>Low</v>
      </c>
      <c r="L255" s="6">
        <f t="shared" si="22"/>
        <v>2026</v>
      </c>
      <c r="M255" s="6">
        <f t="shared" si="23"/>
        <v>5</v>
      </c>
    </row>
    <row r="256" spans="1:13">
      <c r="A256" s="6" t="s">
        <v>161</v>
      </c>
      <c r="B256" s="14">
        <v>46173</v>
      </c>
      <c r="C256" s="6" t="s">
        <v>17</v>
      </c>
      <c r="D256" s="6">
        <v>34</v>
      </c>
      <c r="E256" s="6" t="s">
        <v>15</v>
      </c>
      <c r="F256" s="6" t="s">
        <v>44</v>
      </c>
      <c r="G256" s="7">
        <v>1390.38</v>
      </c>
      <c r="H256" s="6" t="str">
        <f t="shared" si="18"/>
        <v>Female</v>
      </c>
      <c r="I256" s="6" t="str">
        <f t="shared" si="19"/>
        <v>Hargeisa</v>
      </c>
      <c r="J256" s="6" t="str">
        <f t="shared" si="20"/>
        <v>Engineer</v>
      </c>
      <c r="K256" s="6" t="str">
        <f t="shared" si="21"/>
        <v>Medium</v>
      </c>
      <c r="L256" s="6">
        <f t="shared" si="22"/>
        <v>2026</v>
      </c>
      <c r="M256" s="6">
        <f t="shared" si="23"/>
        <v>5</v>
      </c>
    </row>
    <row r="257" spans="1:13">
      <c r="A257" s="6" t="s">
        <v>14</v>
      </c>
      <c r="B257" s="14">
        <v>46173</v>
      </c>
      <c r="C257" s="6" t="s">
        <v>8</v>
      </c>
      <c r="D257" s="6">
        <v>44</v>
      </c>
      <c r="E257" s="6" t="s">
        <v>15</v>
      </c>
      <c r="F257" s="6" t="s">
        <v>13</v>
      </c>
      <c r="G257" s="7">
        <v>661.3</v>
      </c>
      <c r="H257" s="6" t="str">
        <f t="shared" si="18"/>
        <v>Male</v>
      </c>
      <c r="I257" s="6" t="str">
        <f t="shared" si="19"/>
        <v>Hargeisa</v>
      </c>
      <c r="J257" s="6" t="str">
        <f t="shared" si="20"/>
        <v>Teacher</v>
      </c>
      <c r="K257" s="6" t="str">
        <f t="shared" si="21"/>
        <v>Low</v>
      </c>
      <c r="L257" s="6">
        <f t="shared" si="22"/>
        <v>2026</v>
      </c>
      <c r="M257" s="6">
        <f t="shared" si="23"/>
        <v>5</v>
      </c>
    </row>
    <row r="258" spans="1:13">
      <c r="A258" s="6" t="s">
        <v>283</v>
      </c>
      <c r="B258" s="14">
        <v>46173</v>
      </c>
      <c r="C258" s="6" t="s">
        <v>317</v>
      </c>
      <c r="D258" s="6">
        <v>49</v>
      </c>
      <c r="E258" s="6" t="s">
        <v>39</v>
      </c>
      <c r="F258" s="6" t="s">
        <v>21</v>
      </c>
      <c r="G258" s="7">
        <v>1046.17</v>
      </c>
      <c r="H258" s="6" t="str">
        <f t="shared" ref="H258:H294" si="24">PROPER(TRIM(C258))</f>
        <v>Missing</v>
      </c>
      <c r="I258" s="6" t="str">
        <f t="shared" ref="I258:I294" si="25">PROPER(TRIM(E258))</f>
        <v>Kismayo</v>
      </c>
      <c r="J258" s="6" t="str">
        <f t="shared" ref="J258:J294" si="26">PROPER(TRIM(SUBSTITUTE(F258,"CS","Civil Servant")))</f>
        <v>Self-Employed</v>
      </c>
      <c r="K258" s="6" t="str">
        <f t="shared" ref="K258:K294" si="27">IF(G258&gt;=1500,"High",IF(G258&gt;=800,"Medium","Low"))</f>
        <v>Medium</v>
      </c>
      <c r="L258" s="6">
        <f t="shared" ref="L258:L294" si="28">IF(ISNUMBER(B258),YEAR(B258),"")</f>
        <v>2026</v>
      </c>
      <c r="M258" s="6">
        <f t="shared" ref="M258:M294" si="29">IF(ISNUMBER(B258),MONTH(B258),"")</f>
        <v>5</v>
      </c>
    </row>
    <row r="259" spans="1:13">
      <c r="A259" s="6" t="s">
        <v>213</v>
      </c>
      <c r="B259" s="14">
        <v>46183</v>
      </c>
      <c r="C259" s="6" t="s">
        <v>8</v>
      </c>
      <c r="D259" s="6">
        <v>65</v>
      </c>
      <c r="E259" s="6" t="s">
        <v>9</v>
      </c>
      <c r="F259" s="6" t="s">
        <v>10</v>
      </c>
      <c r="G259" s="7">
        <v>742.69</v>
      </c>
      <c r="H259" s="6" t="str">
        <f t="shared" si="24"/>
        <v>Male</v>
      </c>
      <c r="I259" s="6" t="str">
        <f t="shared" si="25"/>
        <v>Mogadishu</v>
      </c>
      <c r="J259" s="6" t="str">
        <f t="shared" si="26"/>
        <v>Healthcare</v>
      </c>
      <c r="K259" s="6" t="str">
        <f t="shared" si="27"/>
        <v>Low</v>
      </c>
      <c r="L259" s="6">
        <f t="shared" si="28"/>
        <v>2026</v>
      </c>
      <c r="M259" s="6">
        <f t="shared" si="29"/>
        <v>6</v>
      </c>
    </row>
    <row r="260" spans="1:13">
      <c r="A260" s="6" t="s">
        <v>97</v>
      </c>
      <c r="B260" s="14">
        <v>46184</v>
      </c>
      <c r="C260" s="6" t="s">
        <v>8</v>
      </c>
      <c r="D260" s="6">
        <v>62</v>
      </c>
      <c r="E260" s="6" t="s">
        <v>74</v>
      </c>
      <c r="F260" s="6" t="s">
        <v>23</v>
      </c>
      <c r="G260" s="7">
        <v>595.70000000000005</v>
      </c>
      <c r="H260" s="6" t="str">
        <f t="shared" si="24"/>
        <v>Male</v>
      </c>
      <c r="I260" s="6" t="str">
        <f t="shared" si="25"/>
        <v>Garowe</v>
      </c>
      <c r="J260" s="6" t="str">
        <f t="shared" si="26"/>
        <v>Civil Servant</v>
      </c>
      <c r="K260" s="6" t="str">
        <f t="shared" si="27"/>
        <v>Low</v>
      </c>
      <c r="L260" s="6">
        <f t="shared" si="28"/>
        <v>2026</v>
      </c>
      <c r="M260" s="6">
        <f t="shared" si="29"/>
        <v>6</v>
      </c>
    </row>
    <row r="261" spans="1:13">
      <c r="A261" s="6" t="s">
        <v>106</v>
      </c>
      <c r="B261" s="14">
        <v>46187</v>
      </c>
      <c r="C261" s="6" t="s">
        <v>8</v>
      </c>
      <c r="D261" s="6">
        <v>32</v>
      </c>
      <c r="E261" s="6" t="s">
        <v>39</v>
      </c>
      <c r="F261" s="6" t="s">
        <v>18</v>
      </c>
      <c r="G261" s="7">
        <v>201.16</v>
      </c>
      <c r="H261" s="6" t="str">
        <f t="shared" si="24"/>
        <v>Male</v>
      </c>
      <c r="I261" s="6" t="str">
        <f t="shared" si="25"/>
        <v>Kismayo</v>
      </c>
      <c r="J261" s="6" t="str">
        <f t="shared" si="26"/>
        <v>Student</v>
      </c>
      <c r="K261" s="6" t="str">
        <f t="shared" si="27"/>
        <v>Low</v>
      </c>
      <c r="L261" s="6">
        <f t="shared" si="28"/>
        <v>2026</v>
      </c>
      <c r="M261" s="6">
        <f t="shared" si="29"/>
        <v>6</v>
      </c>
    </row>
    <row r="262" spans="1:13">
      <c r="A262" s="6" t="s">
        <v>189</v>
      </c>
      <c r="B262" s="14">
        <v>46189</v>
      </c>
      <c r="C262" s="6" t="s">
        <v>8</v>
      </c>
      <c r="D262" s="6">
        <v>31</v>
      </c>
      <c r="E262" s="6" t="s">
        <v>9</v>
      </c>
      <c r="F262" s="6" t="s">
        <v>13</v>
      </c>
      <c r="G262" s="7">
        <v>638.6</v>
      </c>
      <c r="H262" s="6" t="str">
        <f t="shared" si="24"/>
        <v>Male</v>
      </c>
      <c r="I262" s="6" t="str">
        <f t="shared" si="25"/>
        <v>Mogadishu</v>
      </c>
      <c r="J262" s="6" t="str">
        <f t="shared" si="26"/>
        <v>Teacher</v>
      </c>
      <c r="K262" s="6" t="str">
        <f t="shared" si="27"/>
        <v>Low</v>
      </c>
      <c r="L262" s="6">
        <f t="shared" si="28"/>
        <v>2026</v>
      </c>
      <c r="M262" s="6">
        <f t="shared" si="29"/>
        <v>6</v>
      </c>
    </row>
    <row r="263" spans="1:13">
      <c r="A263" s="6" t="s">
        <v>238</v>
      </c>
      <c r="B263" s="14">
        <v>46190</v>
      </c>
      <c r="C263" s="6" t="s">
        <v>8</v>
      </c>
      <c r="D263" s="6">
        <v>32</v>
      </c>
      <c r="E263" s="6" t="s">
        <v>74</v>
      </c>
      <c r="F263" s="6" t="s">
        <v>30</v>
      </c>
      <c r="G263" s="7">
        <v>2091.58</v>
      </c>
      <c r="H263" s="6" t="str">
        <f t="shared" si="24"/>
        <v>Male</v>
      </c>
      <c r="I263" s="6" t="str">
        <f t="shared" si="25"/>
        <v>Garowe</v>
      </c>
      <c r="J263" s="6" t="str">
        <f t="shared" si="26"/>
        <v>Business Owner</v>
      </c>
      <c r="K263" s="6" t="str">
        <f t="shared" si="27"/>
        <v>High</v>
      </c>
      <c r="L263" s="6">
        <f t="shared" si="28"/>
        <v>2026</v>
      </c>
      <c r="M263" s="6">
        <f t="shared" si="29"/>
        <v>6</v>
      </c>
    </row>
    <row r="264" spans="1:13">
      <c r="A264" s="6" t="s">
        <v>32</v>
      </c>
      <c r="B264" s="14">
        <v>46190</v>
      </c>
      <c r="C264" s="6" t="s">
        <v>17</v>
      </c>
      <c r="D264" s="6">
        <v>47</v>
      </c>
      <c r="E264" s="6" t="s">
        <v>12</v>
      </c>
      <c r="F264" s="6" t="s">
        <v>30</v>
      </c>
      <c r="G264" s="7">
        <v>2156</v>
      </c>
      <c r="H264" s="6" t="str">
        <f t="shared" si="24"/>
        <v>Female</v>
      </c>
      <c r="I264" s="6" t="str">
        <f t="shared" si="25"/>
        <v>Baidoa</v>
      </c>
      <c r="J264" s="6" t="str">
        <f t="shared" si="26"/>
        <v>Business Owner</v>
      </c>
      <c r="K264" s="6" t="str">
        <f t="shared" si="27"/>
        <v>High</v>
      </c>
      <c r="L264" s="6">
        <f t="shared" si="28"/>
        <v>2026</v>
      </c>
      <c r="M264" s="6">
        <f t="shared" si="29"/>
        <v>6</v>
      </c>
    </row>
    <row r="265" spans="1:13">
      <c r="A265" s="6" t="s">
        <v>34</v>
      </c>
      <c r="B265" s="14">
        <v>46197</v>
      </c>
      <c r="C265" s="6" t="s">
        <v>8</v>
      </c>
      <c r="D265" s="6">
        <v>38</v>
      </c>
      <c r="E265" s="6" t="s">
        <v>9</v>
      </c>
      <c r="F265" s="6" t="s">
        <v>13</v>
      </c>
      <c r="G265" s="7">
        <v>719.42</v>
      </c>
      <c r="H265" s="6" t="str">
        <f t="shared" si="24"/>
        <v>Male</v>
      </c>
      <c r="I265" s="6" t="str">
        <f t="shared" si="25"/>
        <v>Mogadishu</v>
      </c>
      <c r="J265" s="6" t="str">
        <f t="shared" si="26"/>
        <v>Teacher</v>
      </c>
      <c r="K265" s="6" t="str">
        <f t="shared" si="27"/>
        <v>Low</v>
      </c>
      <c r="L265" s="6">
        <f t="shared" si="28"/>
        <v>2026</v>
      </c>
      <c r="M265" s="6">
        <f t="shared" si="29"/>
        <v>6</v>
      </c>
    </row>
    <row r="266" spans="1:13">
      <c r="A266" s="6" t="s">
        <v>68</v>
      </c>
      <c r="B266" s="14">
        <v>46205</v>
      </c>
      <c r="C266" s="6" t="s">
        <v>8</v>
      </c>
      <c r="D266" s="6">
        <v>59</v>
      </c>
      <c r="E266" s="6" t="s">
        <v>12</v>
      </c>
      <c r="F266" s="6" t="s">
        <v>18</v>
      </c>
      <c r="G266" s="7">
        <v>239.25</v>
      </c>
      <c r="H266" s="6" t="str">
        <f t="shared" si="24"/>
        <v>Male</v>
      </c>
      <c r="I266" s="6" t="str">
        <f t="shared" si="25"/>
        <v>Baidoa</v>
      </c>
      <c r="J266" s="6" t="str">
        <f t="shared" si="26"/>
        <v>Student</v>
      </c>
      <c r="K266" s="6" t="str">
        <f t="shared" si="27"/>
        <v>Low</v>
      </c>
      <c r="L266" s="6">
        <f t="shared" si="28"/>
        <v>2026</v>
      </c>
      <c r="M266" s="6">
        <f t="shared" si="29"/>
        <v>7</v>
      </c>
    </row>
    <row r="267" spans="1:13">
      <c r="A267" s="6" t="s">
        <v>270</v>
      </c>
      <c r="B267" s="14">
        <v>46210</v>
      </c>
      <c r="C267" s="6" t="s">
        <v>8</v>
      </c>
      <c r="D267" s="6">
        <v>61</v>
      </c>
      <c r="E267" s="6" t="s">
        <v>9</v>
      </c>
      <c r="F267" s="6" t="s">
        <v>23</v>
      </c>
      <c r="G267" s="7">
        <v>1071.8599999999999</v>
      </c>
      <c r="H267" s="6" t="str">
        <f t="shared" si="24"/>
        <v>Male</v>
      </c>
      <c r="I267" s="6" t="str">
        <f t="shared" si="25"/>
        <v>Mogadishu</v>
      </c>
      <c r="J267" s="6" t="str">
        <f t="shared" si="26"/>
        <v>Civil Servant</v>
      </c>
      <c r="K267" s="6" t="str">
        <f t="shared" si="27"/>
        <v>Medium</v>
      </c>
      <c r="L267" s="6">
        <f t="shared" si="28"/>
        <v>2026</v>
      </c>
      <c r="M267" s="6">
        <f t="shared" si="29"/>
        <v>7</v>
      </c>
    </row>
    <row r="268" spans="1:13">
      <c r="B268" s="14">
        <v>46211</v>
      </c>
      <c r="C268" s="6" t="s">
        <v>17</v>
      </c>
      <c r="D268" s="6">
        <v>61</v>
      </c>
      <c r="E268" s="6" t="s">
        <v>15</v>
      </c>
      <c r="F268" s="6" t="s">
        <v>18</v>
      </c>
      <c r="G268" s="7">
        <v>176.82</v>
      </c>
      <c r="H268" s="6" t="str">
        <f t="shared" si="24"/>
        <v>Female</v>
      </c>
      <c r="I268" s="6" t="str">
        <f t="shared" si="25"/>
        <v>Hargeisa</v>
      </c>
      <c r="J268" s="6" t="str">
        <f t="shared" si="26"/>
        <v>Student</v>
      </c>
      <c r="K268" s="6" t="str">
        <f t="shared" si="27"/>
        <v>Low</v>
      </c>
      <c r="L268" s="6">
        <f t="shared" si="28"/>
        <v>2026</v>
      </c>
      <c r="M268" s="6">
        <f t="shared" si="29"/>
        <v>7</v>
      </c>
    </row>
    <row r="269" spans="1:13">
      <c r="A269" s="6" t="s">
        <v>263</v>
      </c>
      <c r="B269" s="14">
        <v>46212</v>
      </c>
      <c r="C269" s="6" t="s">
        <v>17</v>
      </c>
      <c r="D269" s="6">
        <v>45</v>
      </c>
      <c r="E269" s="6" t="s">
        <v>20</v>
      </c>
      <c r="F269" s="6" t="s">
        <v>21</v>
      </c>
      <c r="G269" s="7">
        <v>671.87</v>
      </c>
      <c r="H269" s="6" t="str">
        <f t="shared" si="24"/>
        <v>Female</v>
      </c>
      <c r="I269" s="6" t="str">
        <f t="shared" si="25"/>
        <v>Bosaso</v>
      </c>
      <c r="J269" s="6" t="str">
        <f t="shared" si="26"/>
        <v>Self-Employed</v>
      </c>
      <c r="K269" s="6" t="str">
        <f t="shared" si="27"/>
        <v>Low</v>
      </c>
      <c r="L269" s="6">
        <f t="shared" si="28"/>
        <v>2026</v>
      </c>
      <c r="M269" s="6">
        <f t="shared" si="29"/>
        <v>7</v>
      </c>
    </row>
    <row r="270" spans="1:13">
      <c r="B270" s="14">
        <v>46222</v>
      </c>
      <c r="C270" s="6" t="s">
        <v>8</v>
      </c>
      <c r="D270" s="6">
        <v>22</v>
      </c>
      <c r="E270" s="6" t="s">
        <v>9</v>
      </c>
      <c r="F270" s="6" t="s">
        <v>13</v>
      </c>
      <c r="G270" s="7">
        <v>586.78</v>
      </c>
      <c r="H270" s="6" t="str">
        <f t="shared" si="24"/>
        <v>Male</v>
      </c>
      <c r="I270" s="6" t="str">
        <f t="shared" si="25"/>
        <v>Mogadishu</v>
      </c>
      <c r="J270" s="6" t="str">
        <f t="shared" si="26"/>
        <v>Teacher</v>
      </c>
      <c r="K270" s="6" t="str">
        <f t="shared" si="27"/>
        <v>Low</v>
      </c>
      <c r="L270" s="6">
        <f t="shared" si="28"/>
        <v>2026</v>
      </c>
      <c r="M270" s="6">
        <f t="shared" si="29"/>
        <v>7</v>
      </c>
    </row>
    <row r="271" spans="1:13">
      <c r="A271" s="6" t="s">
        <v>239</v>
      </c>
      <c r="B271" s="14">
        <v>46225</v>
      </c>
      <c r="C271" s="6" t="s">
        <v>8</v>
      </c>
      <c r="D271" s="6">
        <v>53</v>
      </c>
      <c r="E271" s="6" t="s">
        <v>15</v>
      </c>
      <c r="F271" s="6" t="s">
        <v>30</v>
      </c>
      <c r="G271" s="7">
        <v>901.36</v>
      </c>
      <c r="H271" s="6" t="str">
        <f t="shared" si="24"/>
        <v>Male</v>
      </c>
      <c r="I271" s="6" t="str">
        <f t="shared" si="25"/>
        <v>Hargeisa</v>
      </c>
      <c r="J271" s="6" t="str">
        <f t="shared" si="26"/>
        <v>Business Owner</v>
      </c>
      <c r="K271" s="6" t="str">
        <f t="shared" si="27"/>
        <v>Medium</v>
      </c>
      <c r="L271" s="6">
        <f t="shared" si="28"/>
        <v>2026</v>
      </c>
      <c r="M271" s="6">
        <f t="shared" si="29"/>
        <v>7</v>
      </c>
    </row>
    <row r="272" spans="1:13">
      <c r="A272" s="6" t="s">
        <v>258</v>
      </c>
      <c r="B272" s="14">
        <v>46226</v>
      </c>
      <c r="C272" s="6" t="s">
        <v>8</v>
      </c>
      <c r="D272" s="6">
        <v>19</v>
      </c>
      <c r="E272" s="6" t="s">
        <v>9</v>
      </c>
      <c r="F272" s="6" t="s">
        <v>44</v>
      </c>
      <c r="G272" s="7">
        <v>1315.74</v>
      </c>
      <c r="H272" s="6" t="str">
        <f t="shared" si="24"/>
        <v>Male</v>
      </c>
      <c r="I272" s="6" t="str">
        <f t="shared" si="25"/>
        <v>Mogadishu</v>
      </c>
      <c r="J272" s="6" t="str">
        <f t="shared" si="26"/>
        <v>Engineer</v>
      </c>
      <c r="K272" s="6" t="str">
        <f t="shared" si="27"/>
        <v>Medium</v>
      </c>
      <c r="L272" s="6">
        <f t="shared" si="28"/>
        <v>2026</v>
      </c>
      <c r="M272" s="6">
        <f t="shared" si="29"/>
        <v>7</v>
      </c>
    </row>
    <row r="273" spans="1:13">
      <c r="A273" s="6" t="s">
        <v>117</v>
      </c>
      <c r="B273" s="14">
        <v>46228</v>
      </c>
      <c r="C273" s="6" t="s">
        <v>8</v>
      </c>
      <c r="D273" s="6">
        <v>62</v>
      </c>
      <c r="E273" s="6" t="s">
        <v>15</v>
      </c>
      <c r="F273" s="6" t="s">
        <v>44</v>
      </c>
      <c r="G273" s="7">
        <v>632.38</v>
      </c>
      <c r="H273" s="6" t="str">
        <f t="shared" si="24"/>
        <v>Male</v>
      </c>
      <c r="I273" s="6" t="str">
        <f t="shared" si="25"/>
        <v>Hargeisa</v>
      </c>
      <c r="J273" s="6" t="str">
        <f t="shared" si="26"/>
        <v>Engineer</v>
      </c>
      <c r="K273" s="6" t="str">
        <f t="shared" si="27"/>
        <v>Low</v>
      </c>
      <c r="L273" s="6">
        <f t="shared" si="28"/>
        <v>2026</v>
      </c>
      <c r="M273" s="6">
        <f t="shared" si="29"/>
        <v>7</v>
      </c>
    </row>
    <row r="274" spans="1:13">
      <c r="A274" s="6" t="s">
        <v>175</v>
      </c>
      <c r="B274" s="14">
        <v>46230</v>
      </c>
      <c r="C274" s="6" t="s">
        <v>317</v>
      </c>
      <c r="D274" s="6">
        <v>70</v>
      </c>
      <c r="E274" s="6" t="s">
        <v>9</v>
      </c>
      <c r="F274" s="6" t="s">
        <v>10</v>
      </c>
      <c r="G274" s="7">
        <v>1087.08</v>
      </c>
      <c r="H274" s="6" t="str">
        <f t="shared" si="24"/>
        <v>Missing</v>
      </c>
      <c r="I274" s="6" t="str">
        <f t="shared" si="25"/>
        <v>Mogadishu</v>
      </c>
      <c r="J274" s="6" t="str">
        <f t="shared" si="26"/>
        <v>Healthcare</v>
      </c>
      <c r="K274" s="6" t="str">
        <f t="shared" si="27"/>
        <v>Medium</v>
      </c>
      <c r="L274" s="6">
        <f t="shared" si="28"/>
        <v>2026</v>
      </c>
      <c r="M274" s="6">
        <f t="shared" si="29"/>
        <v>7</v>
      </c>
    </row>
    <row r="275" spans="1:13">
      <c r="A275" s="6" t="s">
        <v>260</v>
      </c>
      <c r="B275" s="14" t="s">
        <v>317</v>
      </c>
      <c r="C275" s="6" t="s">
        <v>8</v>
      </c>
      <c r="D275" s="6">
        <v>24</v>
      </c>
      <c r="E275" s="6" t="s">
        <v>20</v>
      </c>
      <c r="F275" s="6" t="s">
        <v>44</v>
      </c>
      <c r="G275" s="7">
        <v>608.08000000000004</v>
      </c>
      <c r="H275" s="6" t="str">
        <f t="shared" si="24"/>
        <v>Male</v>
      </c>
      <c r="I275" s="6" t="str">
        <f t="shared" si="25"/>
        <v>Bosaso</v>
      </c>
      <c r="J275" s="6" t="str">
        <f t="shared" si="26"/>
        <v>Engineer</v>
      </c>
      <c r="K275" s="6" t="str">
        <f t="shared" si="27"/>
        <v>Low</v>
      </c>
      <c r="L275" s="6" t="str">
        <f t="shared" si="28"/>
        <v/>
      </c>
      <c r="M275" s="6" t="str">
        <f t="shared" si="29"/>
        <v/>
      </c>
    </row>
    <row r="276" spans="1:13">
      <c r="A276" s="6" t="s">
        <v>276</v>
      </c>
      <c r="B276" s="14" t="s">
        <v>317</v>
      </c>
      <c r="C276" s="6" t="s">
        <v>17</v>
      </c>
      <c r="D276" s="6">
        <v>28</v>
      </c>
      <c r="E276" s="6" t="s">
        <v>12</v>
      </c>
      <c r="F276" s="6" t="s">
        <v>23</v>
      </c>
      <c r="G276" s="7">
        <v>647.6</v>
      </c>
      <c r="H276" s="6" t="str">
        <f t="shared" si="24"/>
        <v>Female</v>
      </c>
      <c r="I276" s="6" t="str">
        <f t="shared" si="25"/>
        <v>Baidoa</v>
      </c>
      <c r="J276" s="6" t="str">
        <f t="shared" si="26"/>
        <v>Civil Servant</v>
      </c>
      <c r="K276" s="6" t="str">
        <f t="shared" si="27"/>
        <v>Low</v>
      </c>
      <c r="L276" s="6" t="str">
        <f t="shared" si="28"/>
        <v/>
      </c>
      <c r="M276" s="6" t="str">
        <f t="shared" si="29"/>
        <v/>
      </c>
    </row>
    <row r="277" spans="1:13">
      <c r="A277" s="6" t="s">
        <v>160</v>
      </c>
      <c r="B277" s="14" t="s">
        <v>317</v>
      </c>
      <c r="C277" s="6" t="s">
        <v>8</v>
      </c>
      <c r="D277" s="6">
        <v>31</v>
      </c>
      <c r="E277" s="6" t="s">
        <v>9</v>
      </c>
      <c r="F277" s="6" t="s">
        <v>30</v>
      </c>
      <c r="G277" s="7">
        <v>1961.76</v>
      </c>
      <c r="H277" s="6" t="str">
        <f t="shared" si="24"/>
        <v>Male</v>
      </c>
      <c r="I277" s="6" t="str">
        <f t="shared" si="25"/>
        <v>Mogadishu</v>
      </c>
      <c r="J277" s="6" t="str">
        <f t="shared" si="26"/>
        <v>Business Owner</v>
      </c>
      <c r="K277" s="6" t="str">
        <f t="shared" si="27"/>
        <v>High</v>
      </c>
      <c r="L277" s="6" t="str">
        <f t="shared" si="28"/>
        <v/>
      </c>
      <c r="M277" s="6" t="str">
        <f t="shared" si="29"/>
        <v/>
      </c>
    </row>
    <row r="278" spans="1:13">
      <c r="A278" s="6" t="s">
        <v>194</v>
      </c>
      <c r="B278" s="14" t="s">
        <v>317</v>
      </c>
      <c r="C278" s="6" t="s">
        <v>17</v>
      </c>
      <c r="D278" s="6">
        <v>33</v>
      </c>
      <c r="E278" s="6" t="s">
        <v>9</v>
      </c>
      <c r="F278" s="6" t="s">
        <v>195</v>
      </c>
      <c r="G278" s="7">
        <v>964.35</v>
      </c>
      <c r="H278" s="6" t="str">
        <f t="shared" si="24"/>
        <v>Female</v>
      </c>
      <c r="I278" s="6" t="str">
        <f t="shared" si="25"/>
        <v>Mogadishu</v>
      </c>
      <c r="J278" s="6" t="str">
        <f t="shared" si="26"/>
        <v>Civil Servant</v>
      </c>
      <c r="K278" s="6" t="str">
        <f t="shared" si="27"/>
        <v>Medium</v>
      </c>
      <c r="L278" s="6" t="str">
        <f t="shared" si="28"/>
        <v/>
      </c>
      <c r="M278" s="6" t="str">
        <f t="shared" si="29"/>
        <v/>
      </c>
    </row>
    <row r="279" spans="1:13">
      <c r="A279" s="6" t="s">
        <v>140</v>
      </c>
      <c r="B279" s="14" t="s">
        <v>317</v>
      </c>
      <c r="C279" s="6" t="s">
        <v>8</v>
      </c>
      <c r="D279" s="6">
        <v>33</v>
      </c>
      <c r="E279" s="6" t="s">
        <v>39</v>
      </c>
      <c r="F279" s="6" t="s">
        <v>21</v>
      </c>
      <c r="G279" s="7">
        <v>753.73</v>
      </c>
      <c r="H279" s="6" t="str">
        <f t="shared" si="24"/>
        <v>Male</v>
      </c>
      <c r="I279" s="6" t="str">
        <f t="shared" si="25"/>
        <v>Kismayo</v>
      </c>
      <c r="J279" s="6" t="str">
        <f t="shared" si="26"/>
        <v>Self-Employed</v>
      </c>
      <c r="K279" s="6" t="str">
        <f t="shared" si="27"/>
        <v>Low</v>
      </c>
      <c r="L279" s="6" t="str">
        <f t="shared" si="28"/>
        <v/>
      </c>
      <c r="M279" s="6" t="str">
        <f t="shared" si="29"/>
        <v/>
      </c>
    </row>
    <row r="280" spans="1:13">
      <c r="A280" s="6" t="s">
        <v>11</v>
      </c>
      <c r="B280" s="14" t="s">
        <v>317</v>
      </c>
      <c r="C280" s="6" t="s">
        <v>8</v>
      </c>
      <c r="D280" s="6">
        <v>39</v>
      </c>
      <c r="E280" s="6" t="s">
        <v>12</v>
      </c>
      <c r="F280" s="6" t="s">
        <v>13</v>
      </c>
      <c r="G280" s="7">
        <v>827.25</v>
      </c>
      <c r="H280" s="6" t="str">
        <f t="shared" si="24"/>
        <v>Male</v>
      </c>
      <c r="I280" s="6" t="str">
        <f t="shared" si="25"/>
        <v>Baidoa</v>
      </c>
      <c r="J280" s="6" t="str">
        <f t="shared" si="26"/>
        <v>Teacher</v>
      </c>
      <c r="K280" s="6" t="str">
        <f t="shared" si="27"/>
        <v>Medium</v>
      </c>
      <c r="L280" s="6" t="str">
        <f t="shared" si="28"/>
        <v/>
      </c>
      <c r="M280" s="6" t="str">
        <f t="shared" si="29"/>
        <v/>
      </c>
    </row>
    <row r="281" spans="1:13">
      <c r="A281" s="6" t="s">
        <v>49</v>
      </c>
      <c r="B281" s="14" t="s">
        <v>317</v>
      </c>
      <c r="C281" s="6" t="s">
        <v>17</v>
      </c>
      <c r="D281" s="6">
        <v>40</v>
      </c>
      <c r="E281" s="6" t="s">
        <v>9</v>
      </c>
      <c r="F281" s="6" t="s">
        <v>21</v>
      </c>
      <c r="G281" s="7">
        <v>442.74</v>
      </c>
      <c r="H281" s="6" t="str">
        <f t="shared" si="24"/>
        <v>Female</v>
      </c>
      <c r="I281" s="6" t="str">
        <f t="shared" si="25"/>
        <v>Mogadishu</v>
      </c>
      <c r="J281" s="6" t="str">
        <f t="shared" si="26"/>
        <v>Self-Employed</v>
      </c>
      <c r="K281" s="6" t="str">
        <f t="shared" si="27"/>
        <v>Low</v>
      </c>
      <c r="L281" s="6" t="str">
        <f t="shared" si="28"/>
        <v/>
      </c>
      <c r="M281" s="6" t="str">
        <f t="shared" si="29"/>
        <v/>
      </c>
    </row>
    <row r="282" spans="1:13">
      <c r="A282" s="6" t="s">
        <v>113</v>
      </c>
      <c r="B282" s="14" t="s">
        <v>317</v>
      </c>
      <c r="C282" s="6" t="s">
        <v>17</v>
      </c>
      <c r="D282" s="6">
        <v>44</v>
      </c>
      <c r="E282" s="6" t="s">
        <v>74</v>
      </c>
      <c r="F282" s="6" t="s">
        <v>23</v>
      </c>
      <c r="G282" s="7">
        <v>661.71</v>
      </c>
      <c r="H282" s="6" t="str">
        <f t="shared" si="24"/>
        <v>Female</v>
      </c>
      <c r="I282" s="6" t="str">
        <f t="shared" si="25"/>
        <v>Garowe</v>
      </c>
      <c r="J282" s="6" t="str">
        <f t="shared" si="26"/>
        <v>Civil Servant</v>
      </c>
      <c r="K282" s="6" t="str">
        <f t="shared" si="27"/>
        <v>Low</v>
      </c>
      <c r="L282" s="6" t="str">
        <f t="shared" si="28"/>
        <v/>
      </c>
      <c r="M282" s="6" t="str">
        <f t="shared" si="29"/>
        <v/>
      </c>
    </row>
    <row r="283" spans="1:13">
      <c r="A283" s="6" t="s">
        <v>102</v>
      </c>
      <c r="B283" s="14" t="s">
        <v>317</v>
      </c>
      <c r="C283" s="6" t="s">
        <v>17</v>
      </c>
      <c r="D283" s="6">
        <v>45</v>
      </c>
      <c r="E283" s="6" t="s">
        <v>74</v>
      </c>
      <c r="F283" s="6" t="s">
        <v>10</v>
      </c>
      <c r="G283" s="7">
        <v>978.74</v>
      </c>
      <c r="H283" s="6" t="str">
        <f t="shared" si="24"/>
        <v>Female</v>
      </c>
      <c r="I283" s="6" t="str">
        <f t="shared" si="25"/>
        <v>Garowe</v>
      </c>
      <c r="J283" s="6" t="str">
        <f t="shared" si="26"/>
        <v>Healthcare</v>
      </c>
      <c r="K283" s="6" t="str">
        <f t="shared" si="27"/>
        <v>Medium</v>
      </c>
      <c r="L283" s="6" t="str">
        <f t="shared" si="28"/>
        <v/>
      </c>
      <c r="M283" s="6" t="str">
        <f t="shared" si="29"/>
        <v/>
      </c>
    </row>
    <row r="284" spans="1:13">
      <c r="A284" s="6" t="s">
        <v>103</v>
      </c>
      <c r="B284" s="14" t="s">
        <v>317</v>
      </c>
      <c r="C284" s="6" t="s">
        <v>8</v>
      </c>
      <c r="D284" s="6">
        <v>46</v>
      </c>
      <c r="E284" s="6" t="s">
        <v>39</v>
      </c>
      <c r="F284" s="6" t="s">
        <v>13</v>
      </c>
      <c r="G284" s="7">
        <v>645.54999999999995</v>
      </c>
      <c r="H284" s="6" t="str">
        <f t="shared" si="24"/>
        <v>Male</v>
      </c>
      <c r="I284" s="6" t="str">
        <f t="shared" si="25"/>
        <v>Kismayo</v>
      </c>
      <c r="J284" s="6" t="str">
        <f t="shared" si="26"/>
        <v>Teacher</v>
      </c>
      <c r="K284" s="6" t="str">
        <f t="shared" si="27"/>
        <v>Low</v>
      </c>
      <c r="L284" s="6" t="str">
        <f t="shared" si="28"/>
        <v/>
      </c>
      <c r="M284" s="6" t="str">
        <f t="shared" si="29"/>
        <v/>
      </c>
    </row>
    <row r="285" spans="1:13">
      <c r="A285" s="6" t="s">
        <v>108</v>
      </c>
      <c r="B285" s="14" t="s">
        <v>317</v>
      </c>
      <c r="C285" s="6" t="s">
        <v>17</v>
      </c>
      <c r="D285" s="6">
        <v>48</v>
      </c>
      <c r="E285" s="6" t="s">
        <v>74</v>
      </c>
      <c r="F285" s="6" t="s">
        <v>23</v>
      </c>
      <c r="G285" s="7">
        <v>759.9</v>
      </c>
      <c r="H285" s="6" t="str">
        <f t="shared" si="24"/>
        <v>Female</v>
      </c>
      <c r="I285" s="6" t="str">
        <f t="shared" si="25"/>
        <v>Garowe</v>
      </c>
      <c r="J285" s="6" t="str">
        <f t="shared" si="26"/>
        <v>Civil Servant</v>
      </c>
      <c r="K285" s="6" t="str">
        <f t="shared" si="27"/>
        <v>Low</v>
      </c>
      <c r="L285" s="6" t="str">
        <f t="shared" si="28"/>
        <v/>
      </c>
      <c r="M285" s="6" t="str">
        <f t="shared" si="29"/>
        <v/>
      </c>
    </row>
    <row r="286" spans="1:13">
      <c r="B286" s="14" t="s">
        <v>317</v>
      </c>
      <c r="C286" s="6" t="s">
        <v>8</v>
      </c>
      <c r="D286" s="6">
        <v>50</v>
      </c>
      <c r="E286" s="6" t="s">
        <v>15</v>
      </c>
      <c r="F286" s="6" t="s">
        <v>30</v>
      </c>
      <c r="G286" s="7">
        <v>1828.2</v>
      </c>
      <c r="H286" s="6" t="str">
        <f t="shared" si="24"/>
        <v>Male</v>
      </c>
      <c r="I286" s="6" t="str">
        <f t="shared" si="25"/>
        <v>Hargeisa</v>
      </c>
      <c r="J286" s="6" t="str">
        <f t="shared" si="26"/>
        <v>Business Owner</v>
      </c>
      <c r="K286" s="6" t="str">
        <f t="shared" si="27"/>
        <v>High</v>
      </c>
      <c r="L286" s="6" t="str">
        <f t="shared" si="28"/>
        <v/>
      </c>
      <c r="M286" s="6" t="str">
        <f t="shared" si="29"/>
        <v/>
      </c>
    </row>
    <row r="287" spans="1:13">
      <c r="A287" s="6" t="s">
        <v>287</v>
      </c>
      <c r="B287" s="14" t="s">
        <v>317</v>
      </c>
      <c r="C287" s="6" t="s">
        <v>17</v>
      </c>
      <c r="D287" s="6">
        <v>53</v>
      </c>
      <c r="E287" s="6" t="s">
        <v>20</v>
      </c>
      <c r="F287" s="6" t="s">
        <v>44</v>
      </c>
      <c r="G287" s="7">
        <v>776.84</v>
      </c>
      <c r="H287" s="6" t="str">
        <f t="shared" si="24"/>
        <v>Female</v>
      </c>
      <c r="I287" s="6" t="str">
        <f t="shared" si="25"/>
        <v>Bosaso</v>
      </c>
      <c r="J287" s="6" t="str">
        <f t="shared" si="26"/>
        <v>Engineer</v>
      </c>
      <c r="K287" s="6" t="str">
        <f t="shared" si="27"/>
        <v>Low</v>
      </c>
      <c r="L287" s="6" t="str">
        <f t="shared" si="28"/>
        <v/>
      </c>
      <c r="M287" s="6" t="str">
        <f t="shared" si="29"/>
        <v/>
      </c>
    </row>
    <row r="288" spans="1:13">
      <c r="A288" s="6" t="s">
        <v>223</v>
      </c>
      <c r="B288" s="14" t="s">
        <v>317</v>
      </c>
      <c r="C288" s="6" t="s">
        <v>17</v>
      </c>
      <c r="D288" s="6">
        <v>55</v>
      </c>
      <c r="E288" s="6" t="s">
        <v>39</v>
      </c>
      <c r="F288" s="6" t="s">
        <v>44</v>
      </c>
      <c r="G288" s="7">
        <v>1603.75</v>
      </c>
      <c r="H288" s="6" t="str">
        <f t="shared" si="24"/>
        <v>Female</v>
      </c>
      <c r="I288" s="6" t="str">
        <f t="shared" si="25"/>
        <v>Kismayo</v>
      </c>
      <c r="J288" s="6" t="str">
        <f t="shared" si="26"/>
        <v>Engineer</v>
      </c>
      <c r="K288" s="6" t="str">
        <f t="shared" si="27"/>
        <v>High</v>
      </c>
      <c r="L288" s="6" t="str">
        <f t="shared" si="28"/>
        <v/>
      </c>
      <c r="M288" s="6" t="str">
        <f t="shared" si="29"/>
        <v/>
      </c>
    </row>
    <row r="289" spans="1:13">
      <c r="A289" s="6" t="s">
        <v>107</v>
      </c>
      <c r="B289" s="14" t="s">
        <v>317</v>
      </c>
      <c r="C289" s="6" t="s">
        <v>17</v>
      </c>
      <c r="D289" s="6">
        <v>55</v>
      </c>
      <c r="E289" s="6" t="s">
        <v>9</v>
      </c>
      <c r="F289" s="6" t="s">
        <v>23</v>
      </c>
      <c r="G289" s="7">
        <v>618.42999999999995</v>
      </c>
      <c r="H289" s="6" t="str">
        <f t="shared" si="24"/>
        <v>Female</v>
      </c>
      <c r="I289" s="6" t="str">
        <f t="shared" si="25"/>
        <v>Mogadishu</v>
      </c>
      <c r="J289" s="6" t="str">
        <f t="shared" si="26"/>
        <v>Civil Servant</v>
      </c>
      <c r="K289" s="6" t="str">
        <f t="shared" si="27"/>
        <v>Low</v>
      </c>
      <c r="L289" s="6" t="str">
        <f t="shared" si="28"/>
        <v/>
      </c>
      <c r="M289" s="6" t="str">
        <f t="shared" si="29"/>
        <v/>
      </c>
    </row>
    <row r="290" spans="1:13">
      <c r="A290" s="6" t="s">
        <v>73</v>
      </c>
      <c r="B290" s="14" t="s">
        <v>317</v>
      </c>
      <c r="C290" s="6" t="s">
        <v>8</v>
      </c>
      <c r="D290" s="6">
        <v>55</v>
      </c>
      <c r="E290" s="6" t="s">
        <v>74</v>
      </c>
      <c r="F290" s="6" t="s">
        <v>13</v>
      </c>
      <c r="G290" s="7">
        <v>325.43</v>
      </c>
      <c r="H290" s="6" t="str">
        <f t="shared" si="24"/>
        <v>Male</v>
      </c>
      <c r="I290" s="6" t="str">
        <f t="shared" si="25"/>
        <v>Garowe</v>
      </c>
      <c r="J290" s="6" t="str">
        <f t="shared" si="26"/>
        <v>Teacher</v>
      </c>
      <c r="K290" s="6" t="str">
        <f t="shared" si="27"/>
        <v>Low</v>
      </c>
      <c r="L290" s="6" t="str">
        <f t="shared" si="28"/>
        <v/>
      </c>
      <c r="M290" s="6" t="str">
        <f t="shared" si="29"/>
        <v/>
      </c>
    </row>
    <row r="291" spans="1:13">
      <c r="A291" s="6" t="s">
        <v>227</v>
      </c>
      <c r="B291" s="14" t="s">
        <v>317</v>
      </c>
      <c r="C291" s="6" t="s">
        <v>8</v>
      </c>
      <c r="D291" s="6">
        <v>57</v>
      </c>
      <c r="E291" s="6" t="s">
        <v>9</v>
      </c>
      <c r="F291" s="6" t="s">
        <v>10</v>
      </c>
      <c r="G291" s="7">
        <v>502.04</v>
      </c>
      <c r="H291" s="6" t="str">
        <f t="shared" si="24"/>
        <v>Male</v>
      </c>
      <c r="I291" s="6" t="str">
        <f t="shared" si="25"/>
        <v>Mogadishu</v>
      </c>
      <c r="J291" s="6" t="str">
        <f t="shared" si="26"/>
        <v>Healthcare</v>
      </c>
      <c r="K291" s="6" t="str">
        <f t="shared" si="27"/>
        <v>Low</v>
      </c>
      <c r="L291" s="6" t="str">
        <f t="shared" si="28"/>
        <v/>
      </c>
      <c r="M291" s="6" t="str">
        <f t="shared" si="29"/>
        <v/>
      </c>
    </row>
    <row r="292" spans="1:13">
      <c r="B292" s="14" t="s">
        <v>317</v>
      </c>
      <c r="C292" s="6" t="s">
        <v>8</v>
      </c>
      <c r="D292" s="6">
        <v>63</v>
      </c>
      <c r="E292" s="6" t="s">
        <v>15</v>
      </c>
      <c r="F292" s="6" t="s">
        <v>18</v>
      </c>
      <c r="G292" s="7">
        <v>268.75</v>
      </c>
      <c r="H292" s="6" t="str">
        <f t="shared" si="24"/>
        <v>Male</v>
      </c>
      <c r="I292" s="6" t="str">
        <f t="shared" si="25"/>
        <v>Hargeisa</v>
      </c>
      <c r="J292" s="6" t="str">
        <f t="shared" si="26"/>
        <v>Student</v>
      </c>
      <c r="K292" s="6" t="str">
        <f t="shared" si="27"/>
        <v>Low</v>
      </c>
      <c r="L292" s="6" t="str">
        <f t="shared" si="28"/>
        <v/>
      </c>
      <c r="M292" s="6" t="str">
        <f t="shared" si="29"/>
        <v/>
      </c>
    </row>
    <row r="293" spans="1:13">
      <c r="A293" s="6" t="s">
        <v>90</v>
      </c>
      <c r="B293" s="14" t="s">
        <v>317</v>
      </c>
      <c r="C293" s="6" t="s">
        <v>8</v>
      </c>
      <c r="D293" s="6">
        <v>70</v>
      </c>
      <c r="E293" s="6" t="s">
        <v>20</v>
      </c>
      <c r="F293" s="6" t="s">
        <v>30</v>
      </c>
      <c r="G293" s="7">
        <v>1249.32</v>
      </c>
      <c r="H293" s="6" t="str">
        <f t="shared" si="24"/>
        <v>Male</v>
      </c>
      <c r="I293" s="6" t="str">
        <f t="shared" si="25"/>
        <v>Bosaso</v>
      </c>
      <c r="J293" s="6" t="str">
        <f t="shared" si="26"/>
        <v>Business Owner</v>
      </c>
      <c r="K293" s="6" t="str">
        <f t="shared" si="27"/>
        <v>Medium</v>
      </c>
      <c r="L293" s="6" t="str">
        <f t="shared" si="28"/>
        <v/>
      </c>
      <c r="M293" s="6" t="str">
        <f t="shared" si="29"/>
        <v/>
      </c>
    </row>
    <row r="294" spans="1:13">
      <c r="A294" s="6" t="s">
        <v>293</v>
      </c>
      <c r="B294" s="14" t="s">
        <v>317</v>
      </c>
      <c r="C294" s="6" t="s">
        <v>8</v>
      </c>
      <c r="D294" s="6">
        <v>107</v>
      </c>
      <c r="E294" s="6" t="s">
        <v>74</v>
      </c>
      <c r="F294" s="6" t="s">
        <v>44</v>
      </c>
      <c r="G294" s="7">
        <v>632.26</v>
      </c>
      <c r="H294" s="6" t="str">
        <f t="shared" si="24"/>
        <v>Male</v>
      </c>
      <c r="I294" s="6" t="str">
        <f t="shared" si="25"/>
        <v>Garowe</v>
      </c>
      <c r="J294" s="6" t="str">
        <f t="shared" si="26"/>
        <v>Engineer</v>
      </c>
      <c r="K294" s="6" t="str">
        <f t="shared" si="27"/>
        <v>Low</v>
      </c>
      <c r="L294" s="6" t="str">
        <f t="shared" si="28"/>
        <v/>
      </c>
      <c r="M294" s="6" t="str">
        <f t="shared" si="29"/>
        <v/>
      </c>
    </row>
  </sheetData>
  <conditionalFormatting sqref="A1:A1048576">
    <cfRule type="duplicateValues" dxfId="5" priority="21"/>
  </conditionalFormatting>
  <conditionalFormatting sqref="D1:D1048576">
    <cfRule type="colorScale" priority="20">
      <colorScale>
        <cfvo type="min"/>
        <cfvo type="percentile" val="50"/>
        <cfvo type="max"/>
        <color rgb="FFF8696B"/>
        <color rgb="FFFFEB84"/>
        <color rgb="FF63BE7B"/>
      </colorScale>
    </cfRule>
  </conditionalFormatting>
  <conditionalFormatting sqref="K1:K1048576">
    <cfRule type="cellIs" dxfId="4" priority="1" operator="equal">
      <formula>"Medium"</formula>
    </cfRule>
    <cfRule type="cellIs" dxfId="3" priority="3" operator="equal">
      <formula>"High"</formula>
    </cfRule>
    <cfRule type="cellIs" dxfId="2" priority="4" operator="equal">
      <formula>"Low"</formula>
    </cfRule>
    <cfRule type="cellIs" dxfId="1" priority="5" operator="equal">
      <formula>"Low"</formula>
    </cfRule>
    <cfRule type="colorScale" priority="8">
      <colorScale>
        <cfvo type="min"/>
        <cfvo type="percentile" val="50"/>
        <cfvo type="max"/>
        <color rgb="FFF8696B"/>
        <color rgb="FFFCFCFF"/>
        <color rgb="FF5A8AC6"/>
      </colorScale>
    </cfRule>
    <cfRule type="dataBar" priority="9">
      <dataBar>
        <cfvo type="min"/>
        <cfvo type="max"/>
        <color rgb="FFFF555A"/>
      </dataBar>
    </cfRule>
  </conditionalFormatting>
  <conditionalFormatting sqref="H1:H1048576">
    <cfRule type="colorScale" priority="6">
      <colorScale>
        <cfvo type="min"/>
        <cfvo type="percentile" val="50"/>
        <cfvo type="max"/>
        <color rgb="FFF8696B"/>
        <color rgb="FFFFEB84"/>
        <color rgb="FF63BE7B"/>
      </colorScale>
    </cfRule>
    <cfRule type="dataBar" priority="7">
      <dataBar>
        <cfvo type="min"/>
        <cfvo type="max"/>
        <color rgb="FFFFB628"/>
      </dataBar>
    </cfRule>
  </conditionalFormatting>
  <conditionalFormatting sqref="E1:E1048576">
    <cfRule type="dataBar" priority="14">
      <dataBar>
        <cfvo type="min"/>
        <cfvo type="max"/>
        <color rgb="FF638EC6"/>
      </dataBar>
    </cfRule>
  </conditionalFormatting>
  <conditionalFormatting sqref="C1:C1048576">
    <cfRule type="iconSet" priority="12">
      <iconSet iconSet="3Arrows">
        <cfvo type="percent" val="0"/>
        <cfvo type="percent" val="33"/>
        <cfvo type="percent" val="67"/>
      </iconSet>
    </cfRule>
    <cfRule type="colorScale" priority="13">
      <colorScale>
        <cfvo type="min"/>
        <cfvo type="percentile" val="50"/>
        <cfvo type="max"/>
        <color rgb="FF63BE7B"/>
        <color rgb="FFFFEB84"/>
        <color rgb="FFF8696B"/>
      </colorScale>
    </cfRule>
  </conditionalFormatting>
  <conditionalFormatting sqref="K3">
    <cfRule type="cellIs" dxfId="0" priority="2" operator="equal">
      <formula>"Medium"</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9"/>
  <sheetViews>
    <sheetView workbookViewId="0">
      <selection activeCell="H40" sqref="H40"/>
    </sheetView>
  </sheetViews>
  <sheetFormatPr defaultRowHeight="15"/>
  <cols>
    <col min="1" max="1" width="28.42578125" style="6" bestFit="1" customWidth="1"/>
    <col min="2" max="2" width="15.5703125" style="6" bestFit="1" customWidth="1"/>
    <col min="3" max="3" width="35.7109375" style="6" bestFit="1" customWidth="1"/>
    <col min="4" max="7" width="9.140625" style="6" customWidth="1"/>
    <col min="8" max="8" width="14.42578125" style="6" bestFit="1" customWidth="1"/>
    <col min="9" max="9" width="9.140625" style="6" customWidth="1"/>
    <col min="10" max="16384" width="9.140625" style="6"/>
  </cols>
  <sheetData>
    <row r="1" spans="1:3" s="11" customFormat="1" ht="15.75" customHeight="1">
      <c r="A1" s="11" t="s">
        <v>320</v>
      </c>
    </row>
    <row r="2" spans="1:3">
      <c r="A2" s="12" t="s">
        <v>321</v>
      </c>
      <c r="B2" s="12" t="s">
        <v>322</v>
      </c>
      <c r="C2" s="12" t="s">
        <v>323</v>
      </c>
    </row>
    <row r="3" spans="1:3" ht="15.75" customHeight="1">
      <c r="A3" s="10" t="s">
        <v>324</v>
      </c>
      <c r="B3" s="10">
        <f>SUM('Clean_Data '!G:G)</f>
        <v>270693.18999999983</v>
      </c>
      <c r="C3" s="10" t="s">
        <v>325</v>
      </c>
    </row>
    <row r="4" spans="1:3" ht="15.75" customHeight="1">
      <c r="A4" s="10" t="s">
        <v>326</v>
      </c>
      <c r="B4" s="10">
        <f>AVERAGE('Clean_Data '!G:G)</f>
        <v>923.8675426621154</v>
      </c>
      <c r="C4" s="10" t="s">
        <v>327</v>
      </c>
    </row>
    <row r="5" spans="1:3" ht="15.75" customHeight="1">
      <c r="A5" s="10" t="s">
        <v>328</v>
      </c>
      <c r="B5" s="10">
        <f>AVERAGE('Clean_Data '!D:D)</f>
        <v>44.228668941979521</v>
      </c>
      <c r="C5" s="10" t="s">
        <v>329</v>
      </c>
    </row>
    <row r="6" spans="1:3" ht="15.75" customHeight="1">
      <c r="A6" s="10" t="s">
        <v>330</v>
      </c>
      <c r="B6" s="10">
        <f>COUNTA('Clean_Data '!A:A)-1</f>
        <v>279</v>
      </c>
      <c r="C6" s="10" t="s">
        <v>331</v>
      </c>
    </row>
    <row r="7" spans="1:3" ht="15.75" customHeight="1">
      <c r="A7" s="10" t="s">
        <v>332</v>
      </c>
      <c r="B7" s="10">
        <f>MIN('Clean_Data '!D:D)</f>
        <v>18</v>
      </c>
      <c r="C7" s="10" t="s">
        <v>333</v>
      </c>
    </row>
    <row r="8" spans="1:3" ht="15.75" customHeight="1">
      <c r="A8" s="10" t="s">
        <v>334</v>
      </c>
      <c r="B8" s="10">
        <f>MAX('Clean_Data '!D:D)</f>
        <v>123</v>
      </c>
      <c r="C8" s="10" t="s">
        <v>335</v>
      </c>
    </row>
    <row r="9" spans="1:3" ht="15.75" customHeight="1">
      <c r="A9" s="10" t="s">
        <v>336</v>
      </c>
      <c r="B9" s="10">
        <f>MIN('Clean_Data '!G:G)</f>
        <v>108.23</v>
      </c>
      <c r="C9" s="10" t="s">
        <v>337</v>
      </c>
    </row>
    <row r="10" spans="1:3" ht="15.75" customHeight="1">
      <c r="A10" s="10" t="s">
        <v>338</v>
      </c>
      <c r="B10" s="10">
        <f>MAX('Clean_Data '!G:G)</f>
        <v>10013</v>
      </c>
      <c r="C10" s="10" t="s">
        <v>339</v>
      </c>
    </row>
    <row r="11" spans="1:3">
      <c r="A11" s="9"/>
      <c r="B11" s="9"/>
      <c r="C11" s="9"/>
    </row>
    <row r="17" spans="1:3" s="13" customFormat="1">
      <c r="A17" s="13" t="s">
        <v>340</v>
      </c>
    </row>
    <row r="18" spans="1:3">
      <c r="A18" s="12" t="s">
        <v>321</v>
      </c>
      <c r="B18" s="12" t="s">
        <v>322</v>
      </c>
      <c r="C18" s="12" t="s">
        <v>323</v>
      </c>
    </row>
    <row r="19" spans="1:3">
      <c r="A19" s="6" t="s">
        <v>341</v>
      </c>
      <c r="B19" s="6">
        <f>COUNTIF('Clean_Data '!E:E,"Mogadishu")</f>
        <v>110</v>
      </c>
      <c r="C19" s="6" t="s">
        <v>418</v>
      </c>
    </row>
    <row r="20" spans="1:3">
      <c r="A20" s="6" t="s">
        <v>415</v>
      </c>
      <c r="B20" s="6">
        <f>AVERAGEIF('Clean_Data '!C:C,"Female",'Clean_Data '!G:G)</f>
        <v>877.68643356643372</v>
      </c>
      <c r="C20" s="6" t="s">
        <v>416</v>
      </c>
    </row>
    <row r="21" spans="1:3">
      <c r="A21" s="6" t="s">
        <v>342</v>
      </c>
      <c r="B21" s="6">
        <f>AVERAGEIF('Clean_Data '!F:F,"Teacher",'Clean_Data '!G:G)</f>
        <v>703.55023809523789</v>
      </c>
      <c r="C21" s="6" t="s">
        <v>343</v>
      </c>
    </row>
    <row r="24" spans="1:3">
      <c r="C24" s="9"/>
    </row>
    <row r="25" spans="1:3" s="13" customFormat="1">
      <c r="A25" s="13" t="s">
        <v>344</v>
      </c>
    </row>
    <row r="26" spans="1:3">
      <c r="A26" s="12" t="s">
        <v>321</v>
      </c>
      <c r="B26" s="12" t="s">
        <v>322</v>
      </c>
      <c r="C26" s="12" t="s">
        <v>323</v>
      </c>
    </row>
    <row r="27" spans="1:3">
      <c r="A27" s="6" t="s">
        <v>345</v>
      </c>
      <c r="B27" s="6" t="str">
        <f>IF('Clean_Data '!G2&gt;=1500,"High",IF('Clean_Data '!G2&gt;=800,"Medium","Low"))</f>
        <v>Medium</v>
      </c>
      <c r="C27" s="8" t="s">
        <v>346</v>
      </c>
    </row>
    <row r="28" spans="1:3">
      <c r="A28" s="6" t="s">
        <v>347</v>
      </c>
      <c r="B28" s="6" t="str">
        <f>IF(AND('Clean_Data '!C2="Female",'Clean_Data '!G2&gt;=1000),"Target","Other")</f>
        <v>Target</v>
      </c>
      <c r="C28" s="6" t="s">
        <v>348</v>
      </c>
    </row>
    <row r="31" spans="1:3" s="13" customFormat="1">
      <c r="A31" s="13" t="s">
        <v>349</v>
      </c>
    </row>
    <row r="32" spans="1:3">
      <c r="A32" s="12" t="s">
        <v>321</v>
      </c>
      <c r="B32" s="12" t="s">
        <v>322</v>
      </c>
      <c r="C32" s="12" t="s">
        <v>323</v>
      </c>
    </row>
    <row r="33" spans="1:3">
      <c r="A33" s="6" t="s">
        <v>350</v>
      </c>
      <c r="B33" s="14">
        <f ca="1">TODAY()</f>
        <v>46257</v>
      </c>
      <c r="C33" s="6" t="s">
        <v>351</v>
      </c>
    </row>
    <row r="34" spans="1:3">
      <c r="A34" s="6" t="s">
        <v>352</v>
      </c>
      <c r="B34" s="15">
        <f ca="1">NOW()</f>
        <v>46257.685527546295</v>
      </c>
      <c r="C34" s="16" t="s">
        <v>353</v>
      </c>
    </row>
    <row r="35" spans="1:3">
      <c r="A35" s="6" t="s">
        <v>354</v>
      </c>
      <c r="B35" s="6">
        <f>DAY('[1]Clean_Data '!B2)</f>
        <v>20</v>
      </c>
      <c r="C35" s="6" t="s">
        <v>355</v>
      </c>
    </row>
    <row r="36" spans="1:3">
      <c r="A36" s="6" t="s">
        <v>356</v>
      </c>
      <c r="B36" s="6">
        <f>YEAR('[1]Clean_Data '!B2)</f>
        <v>2025</v>
      </c>
      <c r="C36" s="6" t="s">
        <v>357</v>
      </c>
    </row>
    <row r="37" spans="1:3">
      <c r="A37" s="6" t="s">
        <v>358</v>
      </c>
      <c r="B37" s="6">
        <f>MONTH('[1]Clean_Data '!B2)</f>
        <v>1</v>
      </c>
      <c r="C37" s="6" t="s">
        <v>359</v>
      </c>
    </row>
    <row r="38" spans="1:3">
      <c r="A38" s="17" t="s">
        <v>360</v>
      </c>
      <c r="B38" s="14">
        <f>DATE(2025,1,20)</f>
        <v>45677</v>
      </c>
      <c r="C38" s="6" t="s">
        <v>361</v>
      </c>
    </row>
    <row r="39" spans="1:3">
      <c r="A39" s="6" t="s">
        <v>362</v>
      </c>
      <c r="B39" s="6">
        <f ca="1">NETWORKDAYS('[1]Clean_Data '!B2,TODAY())</f>
        <v>415</v>
      </c>
      <c r="C39" s="6" t="s">
        <v>363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6:JO305"/>
  <sheetViews>
    <sheetView topLeftCell="A13" zoomScale="70" zoomScaleNormal="70" workbookViewId="0">
      <selection activeCell="T66" sqref="T66"/>
    </sheetView>
  </sheetViews>
  <sheetFormatPr defaultRowHeight="15"/>
  <cols>
    <col min="1" max="1" width="17.85546875" style="20" customWidth="1"/>
    <col min="2" max="2" width="26.85546875" style="20" customWidth="1"/>
    <col min="3" max="3" width="4.5703125" style="20" customWidth="1"/>
    <col min="4" max="4" width="8.5703125" style="20" customWidth="1"/>
    <col min="5" max="5" width="11.28515625" style="20" customWidth="1"/>
    <col min="6" max="8" width="7.5703125" style="20" customWidth="1"/>
    <col min="9" max="9" width="27.28515625" style="20" customWidth="1"/>
    <col min="10" max="10" width="7.5703125" style="20" customWidth="1"/>
    <col min="11" max="11" width="13.28515625" style="20" customWidth="1"/>
    <col min="12" max="12" width="17.85546875" style="20" customWidth="1"/>
    <col min="13" max="14" width="26.85546875" style="20" customWidth="1"/>
    <col min="15" max="15" width="33.85546875" style="20" customWidth="1"/>
    <col min="16" max="16" width="10.140625" style="20" customWidth="1"/>
    <col min="17" max="17" width="15" style="20" customWidth="1"/>
    <col min="18" max="19" width="7.5703125" style="20" customWidth="1"/>
    <col min="20" max="20" width="13.28515625" style="20" customWidth="1"/>
    <col min="21" max="22" width="17.85546875" style="20" customWidth="1"/>
    <col min="23" max="23" width="26.85546875" style="20" customWidth="1"/>
    <col min="24" max="26" width="7.5703125" style="20" customWidth="1"/>
    <col min="27" max="27" width="17.85546875" style="20" customWidth="1"/>
    <col min="28" max="28" width="29.140625" style="20" customWidth="1"/>
    <col min="29" max="29" width="14.5703125" style="20" customWidth="1"/>
    <col min="30" max="186" width="7.5703125" style="20" customWidth="1"/>
    <col min="273" max="274" width="10.140625" style="20" bestFit="1" customWidth="1"/>
    <col min="275" max="275" width="11.28515625" style="20" bestFit="1" customWidth="1"/>
  </cols>
  <sheetData>
    <row r="6" spans="1:28" ht="61.5">
      <c r="A6" s="37"/>
      <c r="B6" s="37"/>
      <c r="C6" s="37"/>
      <c r="D6" s="37"/>
      <c r="E6" s="37"/>
      <c r="F6" s="37"/>
      <c r="G6" s="37"/>
      <c r="H6" s="37"/>
      <c r="I6" s="38" t="s">
        <v>422</v>
      </c>
      <c r="J6" s="37"/>
      <c r="K6" s="37"/>
      <c r="L6" s="37"/>
      <c r="M6" s="37"/>
      <c r="N6" s="37"/>
      <c r="O6" s="37"/>
      <c r="P6" s="37"/>
      <c r="Q6" s="37"/>
      <c r="R6" s="37"/>
      <c r="S6" s="37"/>
      <c r="T6" s="37"/>
      <c r="U6" s="37"/>
      <c r="V6" s="37"/>
      <c r="W6" s="37"/>
      <c r="X6" s="37"/>
      <c r="Y6" s="37"/>
      <c r="Z6" s="37"/>
      <c r="AA6" s="37"/>
      <c r="AB6" s="37"/>
    </row>
    <row r="15" spans="1:28">
      <c r="A15" s="19" t="s">
        <v>364</v>
      </c>
      <c r="B15" t="s">
        <v>365</v>
      </c>
    </row>
    <row r="16" spans="1:28">
      <c r="A16" s="6" t="s">
        <v>12</v>
      </c>
      <c r="B16" s="35">
        <v>19068.93</v>
      </c>
      <c r="V16" s="19" t="s">
        <v>364</v>
      </c>
      <c r="W16" t="s">
        <v>365</v>
      </c>
    </row>
    <row r="17" spans="1:23">
      <c r="A17" s="6" t="s">
        <v>20</v>
      </c>
      <c r="B17" s="35">
        <v>39854.100000000006</v>
      </c>
      <c r="M17" s="19" t="s">
        <v>366</v>
      </c>
      <c r="N17" s="19" t="s">
        <v>367</v>
      </c>
      <c r="O17"/>
      <c r="P17"/>
      <c r="Q17"/>
      <c r="V17" s="6" t="s">
        <v>17</v>
      </c>
      <c r="W17" s="35">
        <v>125509.16000000002</v>
      </c>
    </row>
    <row r="18" spans="1:23">
      <c r="A18" s="6" t="s">
        <v>74</v>
      </c>
      <c r="B18" s="35">
        <v>17991.009999999998</v>
      </c>
      <c r="M18" s="19" t="s">
        <v>364</v>
      </c>
      <c r="N18" s="20" t="s">
        <v>17</v>
      </c>
      <c r="O18" s="20" t="s">
        <v>8</v>
      </c>
      <c r="P18" s="20" t="s">
        <v>317</v>
      </c>
      <c r="Q18" s="20" t="s">
        <v>368</v>
      </c>
      <c r="V18" s="6" t="s">
        <v>8</v>
      </c>
      <c r="W18" s="35">
        <v>120191.5</v>
      </c>
    </row>
    <row r="19" spans="1:23">
      <c r="A19" s="6" t="s">
        <v>15</v>
      </c>
      <c r="B19" s="35">
        <v>38385.03</v>
      </c>
      <c r="M19" s="6" t="s">
        <v>12</v>
      </c>
      <c r="N19" s="35">
        <v>12</v>
      </c>
      <c r="O19" s="35">
        <v>9</v>
      </c>
      <c r="P19" s="35">
        <v>3</v>
      </c>
      <c r="Q19" s="35">
        <v>24</v>
      </c>
      <c r="V19" s="6" t="s">
        <v>317</v>
      </c>
      <c r="W19" s="35">
        <v>24992.530000000006</v>
      </c>
    </row>
    <row r="20" spans="1:23">
      <c r="A20" s="6" t="s">
        <v>39</v>
      </c>
      <c r="B20" s="35">
        <v>30250.91</v>
      </c>
      <c r="M20" s="6" t="s">
        <v>20</v>
      </c>
      <c r="N20" s="35">
        <v>16</v>
      </c>
      <c r="O20" s="35">
        <v>16</v>
      </c>
      <c r="P20" s="35">
        <v>3</v>
      </c>
      <c r="Q20" s="35">
        <v>35</v>
      </c>
      <c r="V20" s="6" t="s">
        <v>368</v>
      </c>
      <c r="W20" s="35">
        <v>270693.19000000006</v>
      </c>
    </row>
    <row r="21" spans="1:23">
      <c r="A21" s="6" t="s">
        <v>317</v>
      </c>
      <c r="B21" s="35">
        <v>13639.55</v>
      </c>
      <c r="M21" s="6" t="s">
        <v>74</v>
      </c>
      <c r="N21" s="35">
        <v>10</v>
      </c>
      <c r="O21" s="35">
        <v>10</v>
      </c>
      <c r="P21" s="35">
        <v>1</v>
      </c>
      <c r="Q21" s="35">
        <v>21</v>
      </c>
    </row>
    <row r="22" spans="1:23">
      <c r="A22" s="6" t="s">
        <v>9</v>
      </c>
      <c r="B22" s="35">
        <v>111503.65999999997</v>
      </c>
      <c r="M22" s="6" t="s">
        <v>15</v>
      </c>
      <c r="N22" s="35">
        <v>23</v>
      </c>
      <c r="O22" s="35">
        <v>19</v>
      </c>
      <c r="P22" s="35">
        <v>1</v>
      </c>
      <c r="Q22" s="35">
        <v>43</v>
      </c>
    </row>
    <row r="23" spans="1:23">
      <c r="A23" s="6" t="s">
        <v>368</v>
      </c>
      <c r="B23" s="35">
        <v>270693.18999999994</v>
      </c>
      <c r="M23" s="6" t="s">
        <v>39</v>
      </c>
      <c r="N23" s="35">
        <v>14</v>
      </c>
      <c r="O23" s="35">
        <v>19</v>
      </c>
      <c r="P23" s="35">
        <v>2</v>
      </c>
      <c r="Q23" s="35">
        <v>35</v>
      </c>
    </row>
    <row r="24" spans="1:23">
      <c r="M24" s="6" t="s">
        <v>317</v>
      </c>
      <c r="N24" s="35">
        <v>10</v>
      </c>
      <c r="O24" s="35">
        <v>6</v>
      </c>
      <c r="P24" s="35"/>
      <c r="Q24" s="35">
        <v>16</v>
      </c>
    </row>
    <row r="25" spans="1:23">
      <c r="M25" s="6" t="s">
        <v>9</v>
      </c>
      <c r="N25" s="35">
        <v>53</v>
      </c>
      <c r="O25" s="35">
        <v>45</v>
      </c>
      <c r="P25" s="35">
        <v>7</v>
      </c>
      <c r="Q25" s="35">
        <v>105</v>
      </c>
    </row>
    <row r="26" spans="1:23">
      <c r="M26" s="6" t="s">
        <v>368</v>
      </c>
      <c r="N26" s="35">
        <v>138</v>
      </c>
      <c r="O26" s="35">
        <v>124</v>
      </c>
      <c r="P26" s="35">
        <v>17</v>
      </c>
      <c r="Q26" s="35">
        <v>279</v>
      </c>
    </row>
    <row r="37" spans="1:23">
      <c r="A37" s="19" t="s">
        <v>364</v>
      </c>
      <c r="B37" t="s">
        <v>365</v>
      </c>
      <c r="V37" s="19" t="s">
        <v>364</v>
      </c>
      <c r="W37" t="s">
        <v>366</v>
      </c>
    </row>
    <row r="38" spans="1:23">
      <c r="A38" s="6" t="s">
        <v>30</v>
      </c>
      <c r="B38" s="35">
        <v>63062.01</v>
      </c>
      <c r="V38" s="6">
        <v>1</v>
      </c>
      <c r="W38" s="35">
        <v>28</v>
      </c>
    </row>
    <row r="39" spans="1:23">
      <c r="A39" s="6" t="s">
        <v>23</v>
      </c>
      <c r="B39" s="35">
        <v>30275.03000000001</v>
      </c>
      <c r="V39" s="6">
        <v>2</v>
      </c>
      <c r="W39" s="35">
        <v>26</v>
      </c>
    </row>
    <row r="40" spans="1:23">
      <c r="A40" s="6" t="s">
        <v>44</v>
      </c>
      <c r="B40" s="35">
        <v>43298.039999999994</v>
      </c>
      <c r="M40" s="19" t="s">
        <v>4</v>
      </c>
      <c r="N40" s="20" t="s">
        <v>369</v>
      </c>
      <c r="V40" s="6">
        <v>3</v>
      </c>
      <c r="W40" s="35">
        <v>27</v>
      </c>
    </row>
    <row r="41" spans="1:23">
      <c r="A41" s="6" t="s">
        <v>10</v>
      </c>
      <c r="B41" s="35">
        <v>41695.880000000005</v>
      </c>
      <c r="V41" s="6">
        <v>4</v>
      </c>
      <c r="W41" s="35">
        <v>29</v>
      </c>
    </row>
    <row r="42" spans="1:23">
      <c r="A42" s="6" t="s">
        <v>317</v>
      </c>
      <c r="B42" s="35">
        <v>9200.06</v>
      </c>
      <c r="M42"/>
      <c r="N42" s="19" t="s">
        <v>417</v>
      </c>
      <c r="O42"/>
      <c r="V42" s="6">
        <v>5</v>
      </c>
      <c r="W42" s="35">
        <v>32</v>
      </c>
    </row>
    <row r="43" spans="1:23">
      <c r="A43" s="6" t="s">
        <v>21</v>
      </c>
      <c r="B43" s="35">
        <v>42372.009999999995</v>
      </c>
      <c r="M43" s="19" t="s">
        <v>364</v>
      </c>
      <c r="N43" s="20" t="s">
        <v>366</v>
      </c>
      <c r="O43" s="20" t="s">
        <v>370</v>
      </c>
      <c r="V43" s="6">
        <v>6</v>
      </c>
      <c r="W43" s="35">
        <v>21</v>
      </c>
    </row>
    <row r="44" spans="1:23">
      <c r="A44" s="6" t="s">
        <v>18</v>
      </c>
      <c r="B44" s="35">
        <v>11241.05</v>
      </c>
      <c r="M44" s="6" t="s">
        <v>371</v>
      </c>
      <c r="N44" s="35">
        <v>20</v>
      </c>
      <c r="O44" s="35">
        <v>2563.3863636363635</v>
      </c>
      <c r="V44" s="6">
        <v>7</v>
      </c>
      <c r="W44" s="35">
        <v>21</v>
      </c>
    </row>
    <row r="45" spans="1:23">
      <c r="A45" s="6" t="s">
        <v>13</v>
      </c>
      <c r="B45" s="35">
        <v>29549.109999999993</v>
      </c>
      <c r="M45" s="6" t="s">
        <v>372</v>
      </c>
      <c r="N45" s="35">
        <v>128</v>
      </c>
      <c r="O45" s="35">
        <v>518.12446969696919</v>
      </c>
      <c r="V45" s="6">
        <v>8</v>
      </c>
      <c r="W45" s="35">
        <v>25</v>
      </c>
    </row>
    <row r="46" spans="1:23">
      <c r="A46" s="6" t="s">
        <v>368</v>
      </c>
      <c r="B46" s="35">
        <v>270693.19</v>
      </c>
      <c r="M46" s="6" t="s">
        <v>373</v>
      </c>
      <c r="N46" s="35">
        <v>131</v>
      </c>
      <c r="O46" s="35">
        <v>1049.6853237410066</v>
      </c>
      <c r="V46" s="6">
        <v>9</v>
      </c>
      <c r="W46" s="35">
        <v>9</v>
      </c>
    </row>
    <row r="47" spans="1:23">
      <c r="M47" s="6" t="s">
        <v>368</v>
      </c>
      <c r="N47" s="35">
        <v>279</v>
      </c>
      <c r="O47" s="35">
        <v>923.86754266211562</v>
      </c>
      <c r="V47" s="6">
        <v>10</v>
      </c>
      <c r="W47" s="35">
        <v>15</v>
      </c>
    </row>
    <row r="48" spans="1:23">
      <c r="V48" s="6">
        <v>11</v>
      </c>
      <c r="W48" s="35">
        <v>12</v>
      </c>
    </row>
    <row r="49" spans="1:23">
      <c r="V49" s="6">
        <v>12</v>
      </c>
      <c r="W49" s="35">
        <v>16</v>
      </c>
    </row>
    <row r="50" spans="1:23">
      <c r="V50" s="6"/>
      <c r="W50" s="35">
        <v>18</v>
      </c>
    </row>
    <row r="51" spans="1:23">
      <c r="V51" s="6" t="s">
        <v>368</v>
      </c>
      <c r="W51" s="35">
        <v>279</v>
      </c>
    </row>
    <row r="58" spans="1:23">
      <c r="A58" s="19" t="s">
        <v>364</v>
      </c>
      <c r="B58" t="s">
        <v>365</v>
      </c>
    </row>
    <row r="59" spans="1:23">
      <c r="A59" s="6">
        <v>2025</v>
      </c>
      <c r="B59" s="35">
        <v>183206.52999999997</v>
      </c>
    </row>
    <row r="60" spans="1:23">
      <c r="A60" s="6">
        <v>2026</v>
      </c>
      <c r="B60" s="35">
        <v>70430.230000000025</v>
      </c>
    </row>
    <row r="61" spans="1:23">
      <c r="A61" s="6"/>
      <c r="B61" s="35">
        <v>17056.43</v>
      </c>
    </row>
    <row r="62" spans="1:23">
      <c r="A62" s="6" t="s">
        <v>368</v>
      </c>
      <c r="B62" s="35">
        <v>270693.19</v>
      </c>
    </row>
    <row r="84" spans="1:28" ht="61.5">
      <c r="A84" s="37"/>
      <c r="B84" s="37"/>
      <c r="C84" s="37"/>
      <c r="D84" s="37"/>
      <c r="E84" s="37"/>
      <c r="F84" s="37"/>
      <c r="G84" s="37"/>
      <c r="H84" s="37"/>
      <c r="I84" s="38" t="s">
        <v>421</v>
      </c>
      <c r="J84" s="37"/>
      <c r="K84" s="37"/>
      <c r="L84" s="37"/>
      <c r="M84" s="37"/>
      <c r="N84" s="37"/>
      <c r="O84" s="37"/>
      <c r="P84" s="37"/>
      <c r="Q84" s="37"/>
      <c r="R84" s="37"/>
      <c r="S84" s="37"/>
      <c r="T84" s="37"/>
      <c r="U84" s="37"/>
      <c r="V84" s="37"/>
      <c r="W84" s="37"/>
      <c r="X84" s="37"/>
      <c r="Y84" s="37"/>
      <c r="Z84" s="37"/>
      <c r="AA84" s="37"/>
      <c r="AB84" s="37"/>
    </row>
    <row r="87" spans="1:28">
      <c r="G87" s="14"/>
    </row>
    <row r="88" spans="1:28">
      <c r="G88" s="14"/>
    </row>
    <row r="89" spans="1:28">
      <c r="G89" s="14"/>
    </row>
    <row r="90" spans="1:28">
      <c r="G90" s="14"/>
      <c r="J90"/>
      <c r="P90"/>
    </row>
    <row r="91" spans="1:28">
      <c r="A91" s="19" t="s">
        <v>364</v>
      </c>
      <c r="B91" t="s">
        <v>366</v>
      </c>
      <c r="C91"/>
      <c r="G91" s="14"/>
      <c r="J91"/>
      <c r="L91" s="19" t="s">
        <v>364</v>
      </c>
      <c r="M91" t="s">
        <v>366</v>
      </c>
      <c r="P91"/>
    </row>
    <row r="92" spans="1:28">
      <c r="A92" s="6" t="s">
        <v>30</v>
      </c>
      <c r="B92" s="35">
        <v>46</v>
      </c>
      <c r="C92"/>
      <c r="G92" s="14"/>
      <c r="J92"/>
      <c r="L92" s="6" t="s">
        <v>371</v>
      </c>
      <c r="M92" s="35">
        <v>20</v>
      </c>
      <c r="P92"/>
      <c r="U92" s="19" t="s">
        <v>364</v>
      </c>
      <c r="V92" t="s">
        <v>365</v>
      </c>
    </row>
    <row r="93" spans="1:28">
      <c r="A93" s="6" t="s">
        <v>23</v>
      </c>
      <c r="B93" s="35">
        <v>37</v>
      </c>
      <c r="C93"/>
      <c r="G93" s="14"/>
      <c r="J93"/>
      <c r="L93" s="6" t="s">
        <v>372</v>
      </c>
      <c r="M93" s="35">
        <v>128</v>
      </c>
      <c r="P93"/>
      <c r="U93" s="6">
        <v>1</v>
      </c>
      <c r="V93" s="35">
        <v>26370.550000000003</v>
      </c>
    </row>
    <row r="94" spans="1:28">
      <c r="A94" s="6" t="s">
        <v>44</v>
      </c>
      <c r="B94" s="35">
        <v>42</v>
      </c>
      <c r="C94"/>
      <c r="G94" s="14"/>
      <c r="J94"/>
      <c r="L94" s="6" t="s">
        <v>373</v>
      </c>
      <c r="M94" s="35">
        <v>131</v>
      </c>
      <c r="P94"/>
      <c r="U94" s="6">
        <v>2</v>
      </c>
      <c r="V94" s="35">
        <v>23302.670000000006</v>
      </c>
    </row>
    <row r="95" spans="1:28">
      <c r="A95" s="6" t="s">
        <v>10</v>
      </c>
      <c r="B95" s="35">
        <v>28</v>
      </c>
      <c r="C95"/>
      <c r="G95" s="14"/>
      <c r="H95"/>
      <c r="I95"/>
      <c r="J95"/>
      <c r="L95" s="6" t="s">
        <v>368</v>
      </c>
      <c r="M95" s="35">
        <v>279</v>
      </c>
      <c r="P95"/>
      <c r="U95" s="6">
        <v>3</v>
      </c>
      <c r="V95" s="35">
        <v>34635.78</v>
      </c>
    </row>
    <row r="96" spans="1:28">
      <c r="A96" s="6" t="s">
        <v>317</v>
      </c>
      <c r="B96" s="35">
        <v>15</v>
      </c>
      <c r="C96"/>
      <c r="G96" s="14"/>
      <c r="H96"/>
      <c r="I96"/>
      <c r="J96"/>
      <c r="P96"/>
      <c r="U96" s="6">
        <v>4</v>
      </c>
      <c r="V96" s="35">
        <v>34902.79</v>
      </c>
    </row>
    <row r="97" spans="1:28">
      <c r="A97" s="6" t="s">
        <v>21</v>
      </c>
      <c r="B97" s="35">
        <v>37</v>
      </c>
      <c r="C97"/>
      <c r="G97" s="14"/>
      <c r="H97"/>
      <c r="I97"/>
      <c r="J97"/>
      <c r="P97"/>
      <c r="U97" s="6">
        <v>5</v>
      </c>
      <c r="V97" s="35">
        <v>27538.690000000002</v>
      </c>
    </row>
    <row r="98" spans="1:28">
      <c r="A98" s="6" t="s">
        <v>18</v>
      </c>
      <c r="B98" s="35">
        <v>34</v>
      </c>
      <c r="C98"/>
      <c r="G98" s="14"/>
      <c r="H98"/>
      <c r="I98"/>
      <c r="J98"/>
      <c r="P98"/>
      <c r="U98" s="6">
        <v>6</v>
      </c>
      <c r="V98" s="35">
        <v>18235.07</v>
      </c>
    </row>
    <row r="99" spans="1:28">
      <c r="A99" s="6" t="s">
        <v>13</v>
      </c>
      <c r="B99" s="35">
        <v>40</v>
      </c>
      <c r="C99"/>
      <c r="G99" s="14"/>
      <c r="H99"/>
      <c r="I99"/>
      <c r="J99"/>
      <c r="P99"/>
      <c r="U99" s="6">
        <v>7</v>
      </c>
      <c r="V99" s="35">
        <v>16303.44</v>
      </c>
    </row>
    <row r="100" spans="1:28">
      <c r="A100" s="6" t="s">
        <v>368</v>
      </c>
      <c r="B100" s="35">
        <v>279</v>
      </c>
      <c r="C100"/>
      <c r="G100" s="14"/>
      <c r="H100"/>
      <c r="I100"/>
      <c r="J100"/>
      <c r="P100"/>
      <c r="U100" s="6">
        <v>8</v>
      </c>
      <c r="V100" s="35">
        <v>24419.969999999998</v>
      </c>
    </row>
    <row r="101" spans="1:28">
      <c r="A101"/>
      <c r="B101"/>
      <c r="C101"/>
      <c r="G101" s="14"/>
      <c r="H101"/>
      <c r="I101"/>
      <c r="J101"/>
      <c r="P101"/>
      <c r="U101" s="6">
        <v>9</v>
      </c>
      <c r="V101" s="35">
        <v>10009.130000000001</v>
      </c>
    </row>
    <row r="102" spans="1:28">
      <c r="A102"/>
      <c r="B102"/>
      <c r="C102"/>
      <c r="G102" s="14"/>
      <c r="H102"/>
      <c r="I102"/>
      <c r="J102"/>
      <c r="P102"/>
      <c r="U102" s="6">
        <v>10</v>
      </c>
      <c r="V102" s="35">
        <v>14348.779999999999</v>
      </c>
      <c r="AA102"/>
      <c r="AB102"/>
    </row>
    <row r="103" spans="1:28">
      <c r="A103"/>
      <c r="B103"/>
      <c r="C103"/>
      <c r="G103" s="14"/>
      <c r="H103"/>
      <c r="I103"/>
      <c r="J103"/>
      <c r="P103"/>
      <c r="U103" s="6">
        <v>11</v>
      </c>
      <c r="V103" s="35">
        <v>10046.290000000001</v>
      </c>
      <c r="AA103"/>
      <c r="AB103"/>
    </row>
    <row r="104" spans="1:28">
      <c r="A104"/>
      <c r="B104"/>
      <c r="C104"/>
      <c r="G104" s="14"/>
      <c r="H104"/>
      <c r="I104"/>
      <c r="J104"/>
      <c r="P104"/>
      <c r="U104" s="6">
        <v>12</v>
      </c>
      <c r="V104" s="35">
        <v>13523.6</v>
      </c>
      <c r="AA104"/>
      <c r="AB104"/>
    </row>
    <row r="105" spans="1:28">
      <c r="A105"/>
      <c r="B105"/>
      <c r="C105"/>
      <c r="G105" s="14"/>
      <c r="H105"/>
      <c r="I105"/>
      <c r="J105"/>
      <c r="N105"/>
      <c r="O105"/>
      <c r="P105"/>
      <c r="U105" s="6"/>
      <c r="V105" s="35">
        <v>17056.43</v>
      </c>
      <c r="AA105"/>
      <c r="AB105"/>
    </row>
    <row r="106" spans="1:28">
      <c r="A106"/>
      <c r="B106"/>
      <c r="C106"/>
      <c r="G106" s="14"/>
      <c r="H106"/>
      <c r="I106"/>
      <c r="J106"/>
      <c r="N106"/>
      <c r="O106"/>
      <c r="P106"/>
      <c r="U106" s="6" t="s">
        <v>368</v>
      </c>
      <c r="V106" s="35">
        <v>270693.19000000006</v>
      </c>
      <c r="AA106"/>
      <c r="AB106"/>
    </row>
    <row r="107" spans="1:28">
      <c r="A107"/>
      <c r="B107"/>
      <c r="C107"/>
      <c r="G107" s="14"/>
      <c r="H107"/>
      <c r="I107"/>
      <c r="J107"/>
      <c r="N107"/>
      <c r="O107"/>
      <c r="P107"/>
      <c r="AA107"/>
      <c r="AB107"/>
    </row>
    <row r="108" spans="1:28">
      <c r="A108"/>
      <c r="B108"/>
      <c r="C108"/>
      <c r="G108" s="14"/>
      <c r="N108"/>
      <c r="O108"/>
      <c r="AA108"/>
      <c r="AB108"/>
    </row>
    <row r="109" spans="1:28">
      <c r="G109" s="14"/>
      <c r="N109"/>
      <c r="O109"/>
      <c r="AA109"/>
      <c r="AB109"/>
    </row>
    <row r="110" spans="1:28">
      <c r="G110" s="14"/>
      <c r="N110"/>
      <c r="O110"/>
      <c r="AA110"/>
      <c r="AB110"/>
    </row>
    <row r="111" spans="1:28">
      <c r="G111" s="14"/>
      <c r="N111"/>
      <c r="O111"/>
      <c r="AA111"/>
      <c r="AB111"/>
    </row>
    <row r="112" spans="1:28">
      <c r="G112" s="14"/>
      <c r="N112"/>
      <c r="O112"/>
      <c r="AA112"/>
      <c r="AB112"/>
    </row>
    <row r="113" spans="7:28">
      <c r="G113" s="14"/>
      <c r="N113"/>
      <c r="O113"/>
      <c r="AA113"/>
      <c r="AB113"/>
    </row>
    <row r="114" spans="7:28">
      <c r="G114" s="14"/>
      <c r="N114"/>
      <c r="O114"/>
      <c r="AA114"/>
      <c r="AB114"/>
    </row>
    <row r="115" spans="7:28">
      <c r="G115" s="14"/>
      <c r="N115"/>
      <c r="O115"/>
      <c r="AA115"/>
      <c r="AB115"/>
    </row>
    <row r="116" spans="7:28">
      <c r="G116" s="14"/>
      <c r="N116"/>
      <c r="O116"/>
      <c r="AA116"/>
      <c r="AB116"/>
    </row>
    <row r="117" spans="7:28">
      <c r="G117" s="14"/>
      <c r="N117"/>
      <c r="O117"/>
      <c r="AA117"/>
      <c r="AB117"/>
    </row>
    <row r="118" spans="7:28">
      <c r="G118" s="14"/>
      <c r="N118"/>
      <c r="O118"/>
      <c r="AA118"/>
      <c r="AB118"/>
    </row>
    <row r="119" spans="7:28">
      <c r="G119" s="14"/>
      <c r="N119"/>
      <c r="O119"/>
      <c r="AA119"/>
      <c r="AB119"/>
    </row>
    <row r="120" spans="7:28">
      <c r="G120" s="14"/>
      <c r="N120"/>
      <c r="O120"/>
      <c r="AA120"/>
      <c r="AB120"/>
    </row>
    <row r="121" spans="7:28">
      <c r="G121" s="14"/>
      <c r="N121"/>
      <c r="O121"/>
      <c r="AA121"/>
      <c r="AB121"/>
    </row>
    <row r="122" spans="7:28">
      <c r="G122" s="14"/>
      <c r="N122"/>
      <c r="O122"/>
      <c r="AA122"/>
      <c r="AB122"/>
    </row>
    <row r="123" spans="7:28">
      <c r="G123" s="14"/>
      <c r="N123"/>
      <c r="O123"/>
      <c r="AA123"/>
      <c r="AB123"/>
    </row>
    <row r="124" spans="7:28">
      <c r="G124" s="14"/>
      <c r="N124"/>
      <c r="O124"/>
      <c r="AA124"/>
      <c r="AB124"/>
    </row>
    <row r="125" spans="7:28">
      <c r="G125" s="14"/>
      <c r="N125"/>
      <c r="O125"/>
      <c r="AA125"/>
      <c r="AB125"/>
    </row>
    <row r="126" spans="7:28">
      <c r="G126" s="14"/>
      <c r="N126"/>
      <c r="O126"/>
      <c r="AA126"/>
      <c r="AB126"/>
    </row>
    <row r="127" spans="7:28">
      <c r="G127" s="14"/>
      <c r="N127"/>
      <c r="O127"/>
      <c r="AA127"/>
      <c r="AB127"/>
    </row>
    <row r="128" spans="7:28">
      <c r="G128" s="14"/>
      <c r="N128"/>
      <c r="O128"/>
      <c r="AA128"/>
      <c r="AB128"/>
    </row>
    <row r="129" spans="7:28">
      <c r="G129" s="14"/>
      <c r="N129"/>
      <c r="O129"/>
      <c r="AA129"/>
      <c r="AB129"/>
    </row>
    <row r="130" spans="7:28">
      <c r="G130" s="14"/>
      <c r="N130"/>
      <c r="O130"/>
      <c r="AA130"/>
      <c r="AB130"/>
    </row>
    <row r="131" spans="7:28">
      <c r="G131" s="14"/>
      <c r="N131"/>
      <c r="O131"/>
      <c r="AA131"/>
      <c r="AB131"/>
    </row>
    <row r="132" spans="7:28">
      <c r="G132" s="14"/>
      <c r="N132"/>
      <c r="O132"/>
      <c r="AA132"/>
      <c r="AB132"/>
    </row>
    <row r="133" spans="7:28">
      <c r="G133" s="14"/>
      <c r="N133"/>
      <c r="O133"/>
      <c r="AA133"/>
      <c r="AB133"/>
    </row>
    <row r="134" spans="7:28">
      <c r="G134" s="14"/>
      <c r="N134"/>
      <c r="O134"/>
      <c r="AA134"/>
      <c r="AB134"/>
    </row>
    <row r="135" spans="7:28">
      <c r="G135" s="14"/>
      <c r="N135"/>
      <c r="O135"/>
      <c r="AA135"/>
      <c r="AB135"/>
    </row>
    <row r="136" spans="7:28">
      <c r="G136" s="14"/>
      <c r="N136"/>
      <c r="O136"/>
      <c r="AA136"/>
      <c r="AB136"/>
    </row>
    <row r="137" spans="7:28">
      <c r="G137" s="14"/>
      <c r="N137"/>
      <c r="O137"/>
      <c r="AA137"/>
      <c r="AB137"/>
    </row>
    <row r="138" spans="7:28">
      <c r="AA138"/>
      <c r="AB138"/>
    </row>
    <row r="139" spans="7:28">
      <c r="AA139"/>
      <c r="AB139"/>
    </row>
    <row r="140" spans="7:28">
      <c r="AA140"/>
      <c r="AB140"/>
    </row>
    <row r="141" spans="7:28">
      <c r="H141" s="14"/>
      <c r="O141"/>
      <c r="P141"/>
      <c r="AA141"/>
      <c r="AB141"/>
    </row>
    <row r="142" spans="7:28">
      <c r="T142" s="14"/>
      <c r="AA142"/>
      <c r="AB142"/>
    </row>
    <row r="143" spans="7:28">
      <c r="T143" s="14"/>
      <c r="AA143"/>
      <c r="AB143"/>
    </row>
    <row r="144" spans="7:28">
      <c r="T144" s="14"/>
      <c r="AA144"/>
      <c r="AB144"/>
    </row>
    <row r="145" spans="20:28">
      <c r="T145" s="14"/>
      <c r="AA145"/>
      <c r="AB145"/>
    </row>
    <row r="146" spans="20:28">
      <c r="T146" s="14"/>
      <c r="AA146"/>
      <c r="AB146"/>
    </row>
    <row r="147" spans="20:28">
      <c r="T147" s="14"/>
      <c r="AA147"/>
      <c r="AB147"/>
    </row>
    <row r="148" spans="20:28">
      <c r="T148" s="14"/>
      <c r="AA148"/>
      <c r="AB148"/>
    </row>
    <row r="149" spans="20:28">
      <c r="T149" s="14"/>
      <c r="AA149"/>
      <c r="AB149"/>
    </row>
    <row r="150" spans="20:28">
      <c r="T150" s="14"/>
      <c r="AA150"/>
      <c r="AB150"/>
    </row>
    <row r="151" spans="20:28">
      <c r="T151" s="14"/>
      <c r="AA151"/>
      <c r="AB151"/>
    </row>
    <row r="152" spans="20:28">
      <c r="T152" s="14"/>
      <c r="AA152"/>
      <c r="AB152"/>
    </row>
    <row r="153" spans="20:28">
      <c r="T153" s="14"/>
      <c r="AA153"/>
      <c r="AB153"/>
    </row>
    <row r="154" spans="20:28">
      <c r="T154" s="14"/>
      <c r="AA154"/>
      <c r="AB154"/>
    </row>
    <row r="155" spans="20:28">
      <c r="T155" s="14"/>
      <c r="AA155"/>
      <c r="AB155"/>
    </row>
    <row r="156" spans="20:28">
      <c r="T156" s="14"/>
      <c r="AA156"/>
      <c r="AB156"/>
    </row>
    <row r="157" spans="20:28">
      <c r="T157" s="14"/>
      <c r="AA157"/>
      <c r="AB157"/>
    </row>
    <row r="158" spans="20:28">
      <c r="T158" s="14"/>
      <c r="AA158"/>
      <c r="AB158"/>
    </row>
    <row r="159" spans="20:28">
      <c r="T159" s="14"/>
      <c r="AA159"/>
      <c r="AB159"/>
    </row>
    <row r="160" spans="20:28">
      <c r="T160" s="14"/>
      <c r="AA160"/>
      <c r="AB160"/>
    </row>
    <row r="161" spans="20:28">
      <c r="T161" s="14"/>
      <c r="AA161"/>
      <c r="AB161"/>
    </row>
    <row r="162" spans="20:28">
      <c r="T162" s="14"/>
      <c r="AA162"/>
      <c r="AB162"/>
    </row>
    <row r="163" spans="20:28">
      <c r="T163" s="14"/>
      <c r="AA163"/>
      <c r="AB163"/>
    </row>
    <row r="164" spans="20:28">
      <c r="T164" s="14"/>
      <c r="AA164"/>
      <c r="AB164"/>
    </row>
    <row r="165" spans="20:28">
      <c r="T165" s="14"/>
      <c r="AA165"/>
      <c r="AB165"/>
    </row>
    <row r="166" spans="20:28">
      <c r="T166" s="14"/>
      <c r="AA166"/>
      <c r="AB166"/>
    </row>
    <row r="167" spans="20:28">
      <c r="T167" s="14"/>
      <c r="AA167"/>
      <c r="AB167"/>
    </row>
    <row r="168" spans="20:28">
      <c r="T168" s="14"/>
      <c r="AA168"/>
      <c r="AB168"/>
    </row>
    <row r="169" spans="20:28">
      <c r="T169" s="14"/>
      <c r="AA169"/>
      <c r="AB169"/>
    </row>
    <row r="170" spans="20:28">
      <c r="T170" s="14"/>
      <c r="AA170"/>
      <c r="AB170"/>
    </row>
    <row r="171" spans="20:28">
      <c r="T171" s="14"/>
      <c r="AA171"/>
      <c r="AB171"/>
    </row>
    <row r="172" spans="20:28">
      <c r="T172" s="14"/>
      <c r="AA172"/>
      <c r="AB172"/>
    </row>
    <row r="173" spans="20:28">
      <c r="T173" s="14"/>
      <c r="AA173"/>
      <c r="AB173"/>
    </row>
    <row r="174" spans="20:28">
      <c r="T174" s="14"/>
      <c r="AA174"/>
      <c r="AB174"/>
    </row>
    <row r="175" spans="20:28">
      <c r="T175" s="14"/>
      <c r="AA175"/>
      <c r="AB175"/>
    </row>
    <row r="176" spans="20:28">
      <c r="T176" s="14"/>
      <c r="AA176"/>
      <c r="AB176"/>
    </row>
    <row r="177" spans="20:28">
      <c r="T177" s="14"/>
      <c r="AA177"/>
      <c r="AB177"/>
    </row>
    <row r="178" spans="20:28">
      <c r="T178" s="14"/>
      <c r="AA178"/>
      <c r="AB178"/>
    </row>
    <row r="179" spans="20:28">
      <c r="T179" s="14"/>
      <c r="AA179"/>
      <c r="AB179"/>
    </row>
    <row r="180" spans="20:28">
      <c r="T180" s="14"/>
      <c r="AA180"/>
      <c r="AB180"/>
    </row>
    <row r="181" spans="20:28">
      <c r="T181" s="14"/>
      <c r="AA181"/>
      <c r="AB181"/>
    </row>
    <row r="182" spans="20:28">
      <c r="T182" s="14"/>
      <c r="AA182"/>
      <c r="AB182"/>
    </row>
    <row r="183" spans="20:28">
      <c r="T183" s="14"/>
      <c r="AA183"/>
      <c r="AB183"/>
    </row>
    <row r="184" spans="20:28">
      <c r="T184" s="14"/>
      <c r="AA184"/>
      <c r="AB184"/>
    </row>
    <row r="185" spans="20:28">
      <c r="T185" s="14"/>
      <c r="AA185"/>
      <c r="AB185"/>
    </row>
    <row r="186" spans="20:28">
      <c r="T186" s="14"/>
      <c r="AA186"/>
      <c r="AB186"/>
    </row>
    <row r="187" spans="20:28">
      <c r="T187" s="14"/>
      <c r="AA187"/>
      <c r="AB187"/>
    </row>
    <row r="188" spans="20:28">
      <c r="T188" s="14"/>
      <c r="AA188"/>
      <c r="AB188"/>
    </row>
    <row r="189" spans="20:28">
      <c r="T189" s="14"/>
      <c r="AA189"/>
      <c r="AB189"/>
    </row>
    <row r="190" spans="20:28">
      <c r="T190" s="14"/>
      <c r="AA190"/>
      <c r="AB190"/>
    </row>
    <row r="191" spans="20:28">
      <c r="T191" s="14"/>
      <c r="AA191"/>
      <c r="AB191"/>
    </row>
    <row r="192" spans="20:28">
      <c r="T192" s="14"/>
      <c r="AA192"/>
      <c r="AB192"/>
    </row>
    <row r="193" spans="20:28">
      <c r="T193" s="14"/>
      <c r="AA193"/>
      <c r="AB193"/>
    </row>
    <row r="194" spans="20:28">
      <c r="T194" s="14"/>
      <c r="AA194"/>
      <c r="AB194"/>
    </row>
    <row r="195" spans="20:28">
      <c r="T195" s="14"/>
      <c r="AA195"/>
      <c r="AB195"/>
    </row>
    <row r="196" spans="20:28">
      <c r="T196" s="14"/>
      <c r="AA196"/>
      <c r="AB196"/>
    </row>
    <row r="197" spans="20:28">
      <c r="T197" s="14"/>
      <c r="AA197"/>
      <c r="AB197"/>
    </row>
    <row r="198" spans="20:28">
      <c r="T198" s="14"/>
      <c r="AA198"/>
      <c r="AB198"/>
    </row>
    <row r="199" spans="20:28">
      <c r="T199" s="14"/>
      <c r="AA199"/>
      <c r="AB199"/>
    </row>
    <row r="200" spans="20:28">
      <c r="T200" s="14"/>
      <c r="AA200"/>
      <c r="AB200"/>
    </row>
    <row r="201" spans="20:28">
      <c r="T201" s="14"/>
      <c r="AA201"/>
      <c r="AB201"/>
    </row>
    <row r="202" spans="20:28">
      <c r="T202" s="14"/>
      <c r="AA202"/>
      <c r="AB202"/>
    </row>
    <row r="203" spans="20:28">
      <c r="T203" s="14"/>
      <c r="AA203"/>
      <c r="AB203"/>
    </row>
    <row r="204" spans="20:28">
      <c r="T204" s="14"/>
      <c r="AA204"/>
      <c r="AB204"/>
    </row>
    <row r="205" spans="20:28">
      <c r="T205" s="14"/>
      <c r="AA205"/>
      <c r="AB205"/>
    </row>
    <row r="206" spans="20:28">
      <c r="T206" s="14"/>
      <c r="AA206"/>
      <c r="AB206"/>
    </row>
    <row r="207" spans="20:28">
      <c r="T207" s="14"/>
      <c r="AA207"/>
      <c r="AB207"/>
    </row>
    <row r="208" spans="20:28">
      <c r="T208" s="14"/>
      <c r="AA208"/>
      <c r="AB208"/>
    </row>
    <row r="209" spans="20:28">
      <c r="T209" s="14"/>
      <c r="AA209"/>
      <c r="AB209"/>
    </row>
    <row r="210" spans="20:28">
      <c r="T210" s="14"/>
      <c r="AA210"/>
      <c r="AB210"/>
    </row>
    <row r="211" spans="20:28">
      <c r="T211" s="14"/>
      <c r="AA211"/>
      <c r="AB211"/>
    </row>
    <row r="212" spans="20:28">
      <c r="T212" s="14"/>
      <c r="AA212"/>
      <c r="AB212"/>
    </row>
    <row r="213" spans="20:28">
      <c r="T213" s="14"/>
      <c r="AA213"/>
      <c r="AB213"/>
    </row>
    <row r="214" spans="20:28">
      <c r="T214" s="14"/>
      <c r="AA214"/>
      <c r="AB214"/>
    </row>
    <row r="215" spans="20:28">
      <c r="T215" s="14"/>
      <c r="AA215"/>
      <c r="AB215"/>
    </row>
    <row r="216" spans="20:28">
      <c r="T216" s="14"/>
      <c r="AA216"/>
      <c r="AB216"/>
    </row>
    <row r="217" spans="20:28">
      <c r="T217" s="14"/>
      <c r="AA217"/>
      <c r="AB217"/>
    </row>
    <row r="218" spans="20:28">
      <c r="T218" s="14"/>
      <c r="AA218"/>
      <c r="AB218"/>
    </row>
    <row r="219" spans="20:28">
      <c r="T219" s="14"/>
      <c r="AA219"/>
      <c r="AB219"/>
    </row>
    <row r="220" spans="20:28">
      <c r="T220" s="14"/>
      <c r="AA220"/>
      <c r="AB220"/>
    </row>
    <row r="221" spans="20:28">
      <c r="T221" s="14"/>
      <c r="AA221"/>
      <c r="AB221"/>
    </row>
    <row r="222" spans="20:28">
      <c r="T222" s="14"/>
      <c r="AA222"/>
      <c r="AB222"/>
    </row>
    <row r="223" spans="20:28">
      <c r="T223" s="14"/>
      <c r="AA223"/>
      <c r="AB223"/>
    </row>
    <row r="224" spans="20:28">
      <c r="T224" s="14"/>
      <c r="AA224"/>
      <c r="AB224"/>
    </row>
    <row r="225" spans="20:28">
      <c r="T225" s="14"/>
      <c r="AA225"/>
      <c r="AB225"/>
    </row>
    <row r="226" spans="20:28">
      <c r="T226" s="14"/>
      <c r="AA226"/>
      <c r="AB226"/>
    </row>
    <row r="227" spans="20:28">
      <c r="T227" s="14"/>
      <c r="AA227"/>
      <c r="AB227"/>
    </row>
    <row r="228" spans="20:28">
      <c r="T228" s="14"/>
      <c r="AA228"/>
      <c r="AB228"/>
    </row>
    <row r="229" spans="20:28">
      <c r="T229" s="14"/>
      <c r="AA229"/>
      <c r="AB229"/>
    </row>
    <row r="230" spans="20:28">
      <c r="T230" s="14"/>
      <c r="AA230"/>
      <c r="AB230"/>
    </row>
    <row r="231" spans="20:28">
      <c r="T231" s="14"/>
      <c r="AA231"/>
      <c r="AB231"/>
    </row>
    <row r="232" spans="20:28">
      <c r="T232" s="14"/>
      <c r="AA232"/>
      <c r="AB232"/>
    </row>
    <row r="233" spans="20:28">
      <c r="T233" s="14"/>
      <c r="AA233"/>
      <c r="AB233"/>
    </row>
    <row r="234" spans="20:28">
      <c r="T234" s="14"/>
      <c r="AA234"/>
      <c r="AB234"/>
    </row>
    <row r="235" spans="20:28">
      <c r="T235" s="14"/>
      <c r="AA235"/>
      <c r="AB235"/>
    </row>
    <row r="236" spans="20:28">
      <c r="T236" s="14"/>
      <c r="AA236"/>
      <c r="AB236"/>
    </row>
    <row r="237" spans="20:28">
      <c r="T237" s="14"/>
      <c r="AA237"/>
      <c r="AB237"/>
    </row>
    <row r="238" spans="20:28">
      <c r="T238" s="14"/>
      <c r="AA238"/>
      <c r="AB238"/>
    </row>
    <row r="239" spans="20:28">
      <c r="T239" s="14"/>
      <c r="AA239"/>
      <c r="AB239"/>
    </row>
    <row r="240" spans="20:28">
      <c r="T240" s="14"/>
      <c r="AA240"/>
      <c r="AB240"/>
    </row>
    <row r="241" spans="20:28">
      <c r="T241" s="14"/>
      <c r="AA241"/>
      <c r="AB241"/>
    </row>
    <row r="242" spans="20:28">
      <c r="T242" s="14"/>
      <c r="AA242"/>
      <c r="AB242"/>
    </row>
    <row r="243" spans="20:28">
      <c r="T243" s="14"/>
      <c r="AA243"/>
      <c r="AB243"/>
    </row>
    <row r="244" spans="20:28">
      <c r="T244" s="14"/>
      <c r="AA244"/>
      <c r="AB244"/>
    </row>
    <row r="245" spans="20:28">
      <c r="T245" s="14"/>
      <c r="AA245"/>
      <c r="AB245"/>
    </row>
    <row r="246" spans="20:28">
      <c r="T246" s="14"/>
      <c r="AA246"/>
      <c r="AB246"/>
    </row>
    <row r="247" spans="20:28">
      <c r="T247" s="14"/>
      <c r="AA247"/>
      <c r="AB247"/>
    </row>
    <row r="248" spans="20:28">
      <c r="T248" s="14"/>
      <c r="AA248"/>
      <c r="AB248"/>
    </row>
    <row r="249" spans="20:28">
      <c r="T249" s="14"/>
      <c r="AA249"/>
      <c r="AB249"/>
    </row>
    <row r="250" spans="20:28">
      <c r="T250" s="14"/>
      <c r="AA250"/>
      <c r="AB250"/>
    </row>
    <row r="251" spans="20:28">
      <c r="T251" s="14"/>
      <c r="AA251"/>
      <c r="AB251"/>
    </row>
    <row r="252" spans="20:28">
      <c r="T252" s="14"/>
      <c r="AA252"/>
      <c r="AB252"/>
    </row>
    <row r="253" spans="20:28">
      <c r="T253" s="14"/>
      <c r="AA253"/>
      <c r="AB253"/>
    </row>
    <row r="254" spans="20:28">
      <c r="T254" s="14"/>
      <c r="AA254"/>
      <c r="AB254"/>
    </row>
    <row r="255" spans="20:28">
      <c r="T255" s="14"/>
      <c r="AA255"/>
      <c r="AB255"/>
    </row>
    <row r="256" spans="20:28">
      <c r="T256" s="6"/>
      <c r="AA256"/>
      <c r="AB256"/>
    </row>
    <row r="257" spans="20:28">
      <c r="T257" s="6"/>
      <c r="AA257"/>
      <c r="AB257"/>
    </row>
    <row r="258" spans="20:28">
      <c r="AA258"/>
      <c r="AB258"/>
    </row>
    <row r="259" spans="20:28">
      <c r="AA259"/>
      <c r="AB259"/>
    </row>
    <row r="260" spans="20:28">
      <c r="AA260"/>
      <c r="AB260"/>
    </row>
    <row r="261" spans="20:28">
      <c r="AA261"/>
      <c r="AB261"/>
    </row>
    <row r="262" spans="20:28">
      <c r="AA262"/>
      <c r="AB262"/>
    </row>
    <row r="263" spans="20:28">
      <c r="AA263"/>
      <c r="AB263"/>
    </row>
    <row r="264" spans="20:28">
      <c r="AA264"/>
      <c r="AB264"/>
    </row>
    <row r="265" spans="20:28">
      <c r="AA265"/>
      <c r="AB265"/>
    </row>
    <row r="266" spans="20:28">
      <c r="AA266"/>
      <c r="AB266"/>
    </row>
    <row r="267" spans="20:28">
      <c r="AA267"/>
      <c r="AB267"/>
    </row>
    <row r="268" spans="20:28">
      <c r="AA268"/>
      <c r="AB268"/>
    </row>
    <row r="269" spans="20:28">
      <c r="AA269"/>
      <c r="AB269"/>
    </row>
    <row r="270" spans="20:28">
      <c r="AA270"/>
      <c r="AB270"/>
    </row>
    <row r="271" spans="20:28">
      <c r="AA271"/>
      <c r="AB271"/>
    </row>
    <row r="272" spans="20:28">
      <c r="AA272"/>
      <c r="AB272"/>
    </row>
    <row r="273" spans="27:28">
      <c r="AA273"/>
      <c r="AB273"/>
    </row>
    <row r="274" spans="27:28">
      <c r="AA274"/>
      <c r="AB274"/>
    </row>
    <row r="275" spans="27:28">
      <c r="AA275"/>
      <c r="AB275"/>
    </row>
    <row r="276" spans="27:28">
      <c r="AA276"/>
      <c r="AB276"/>
    </row>
    <row r="277" spans="27:28">
      <c r="AA277"/>
      <c r="AB277"/>
    </row>
    <row r="278" spans="27:28">
      <c r="AA278"/>
      <c r="AB278"/>
    </row>
    <row r="279" spans="27:28">
      <c r="AA279"/>
      <c r="AB279"/>
    </row>
    <row r="280" spans="27:28">
      <c r="AA280"/>
      <c r="AB280"/>
    </row>
    <row r="281" spans="27:28">
      <c r="AA281"/>
      <c r="AB281"/>
    </row>
    <row r="282" spans="27:28">
      <c r="AA282"/>
      <c r="AB282"/>
    </row>
    <row r="283" spans="27:28">
      <c r="AA283"/>
      <c r="AB283"/>
    </row>
    <row r="284" spans="27:28">
      <c r="AA284"/>
      <c r="AB284"/>
    </row>
    <row r="285" spans="27:28">
      <c r="AA285"/>
      <c r="AB285"/>
    </row>
    <row r="286" spans="27:28">
      <c r="AA286"/>
      <c r="AB286"/>
    </row>
    <row r="287" spans="27:28">
      <c r="AA287"/>
      <c r="AB287"/>
    </row>
    <row r="288" spans="27:28">
      <c r="AA288"/>
      <c r="AB288"/>
    </row>
    <row r="289" spans="27:28">
      <c r="AA289"/>
      <c r="AB289"/>
    </row>
    <row r="290" spans="27:28">
      <c r="AA290"/>
      <c r="AB290"/>
    </row>
    <row r="291" spans="27:28">
      <c r="AA291"/>
      <c r="AB291"/>
    </row>
    <row r="292" spans="27:28">
      <c r="AA292"/>
      <c r="AB292"/>
    </row>
    <row r="293" spans="27:28">
      <c r="AA293"/>
      <c r="AB293"/>
    </row>
    <row r="294" spans="27:28">
      <c r="AA294"/>
      <c r="AB294"/>
    </row>
    <row r="295" spans="27:28">
      <c r="AA295"/>
      <c r="AB295"/>
    </row>
    <row r="296" spans="27:28">
      <c r="AA296"/>
      <c r="AB296"/>
    </row>
    <row r="297" spans="27:28">
      <c r="AA297"/>
      <c r="AB297"/>
    </row>
    <row r="298" spans="27:28">
      <c r="AA298"/>
      <c r="AB298"/>
    </row>
    <row r="299" spans="27:28">
      <c r="AA299"/>
      <c r="AB299"/>
    </row>
    <row r="300" spans="27:28">
      <c r="AA300"/>
      <c r="AB300"/>
    </row>
    <row r="301" spans="27:28">
      <c r="AA301"/>
      <c r="AB301"/>
    </row>
    <row r="302" spans="27:28">
      <c r="AA302"/>
      <c r="AB302"/>
    </row>
    <row r="303" spans="27:28">
      <c r="AA303"/>
      <c r="AB303"/>
    </row>
    <row r="304" spans="27:28">
      <c r="AA304"/>
      <c r="AB304"/>
    </row>
    <row r="305" spans="27:28">
      <c r="AA305"/>
      <c r="AB305"/>
    </row>
  </sheetData>
  <pageMargins left="0.7" right="0.7" top="0.75" bottom="0.75" header="0.3" footer="0.3"/>
  <drawing r:id="rId1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P11"/>
  <sheetViews>
    <sheetView showGridLines="0" topLeftCell="B1" zoomScale="70" zoomScaleNormal="70" workbookViewId="0">
      <selection activeCell="AP8" sqref="AP8"/>
    </sheetView>
  </sheetViews>
  <sheetFormatPr defaultRowHeight="15"/>
  <sheetData>
    <row r="1" spans="1:42">
      <c r="A1" s="32"/>
      <c r="B1" s="32"/>
      <c r="C1" s="32"/>
      <c r="D1" s="32"/>
      <c r="E1" s="32"/>
      <c r="F1" s="32"/>
      <c r="G1" s="32"/>
      <c r="H1" s="32"/>
      <c r="I1" s="32"/>
      <c r="J1" s="32"/>
      <c r="K1" s="32"/>
      <c r="L1" s="32"/>
      <c r="M1" s="32"/>
      <c r="N1" s="32"/>
      <c r="O1" s="32"/>
      <c r="P1" s="32"/>
      <c r="Q1" s="32"/>
      <c r="R1" s="32"/>
      <c r="S1" s="32"/>
      <c r="T1" s="32"/>
      <c r="U1" s="32"/>
      <c r="V1" s="32"/>
      <c r="W1" s="32"/>
      <c r="X1" s="32"/>
      <c r="Y1" s="32"/>
      <c r="Z1" s="32"/>
      <c r="AA1" s="32"/>
      <c r="AB1" s="32"/>
      <c r="AC1" s="32"/>
      <c r="AD1" s="32"/>
      <c r="AE1" s="32"/>
      <c r="AF1" s="32"/>
      <c r="AG1" s="32"/>
      <c r="AH1" s="32"/>
      <c r="AI1" s="32"/>
      <c r="AJ1" s="32"/>
      <c r="AK1" s="32"/>
      <c r="AL1" s="32"/>
      <c r="AM1" s="32"/>
      <c r="AN1" s="32"/>
      <c r="AO1" s="32"/>
      <c r="AP1" s="32"/>
    </row>
    <row r="2" spans="1:42" ht="46.5">
      <c r="A2" s="32"/>
      <c r="B2" s="32"/>
      <c r="C2" s="32"/>
      <c r="D2" s="32"/>
      <c r="E2" s="32"/>
      <c r="F2" s="32"/>
      <c r="G2" s="32"/>
      <c r="H2" s="32"/>
      <c r="I2" s="32"/>
      <c r="J2" s="32"/>
      <c r="K2" s="32"/>
      <c r="L2" s="32"/>
      <c r="M2" s="32"/>
      <c r="N2" s="32"/>
      <c r="O2" s="34" t="s">
        <v>374</v>
      </c>
      <c r="P2" s="32"/>
      <c r="Q2" s="32"/>
      <c r="R2" s="32"/>
      <c r="S2" s="32"/>
      <c r="T2" s="32"/>
      <c r="U2" s="32"/>
      <c r="V2" s="32"/>
      <c r="W2" s="32"/>
      <c r="X2" s="32"/>
      <c r="Y2" s="32"/>
      <c r="Z2" s="32"/>
      <c r="AA2" s="32"/>
      <c r="AB2" s="32"/>
      <c r="AC2" s="32"/>
      <c r="AD2" s="32"/>
      <c r="AE2" s="32"/>
      <c r="AF2" s="32"/>
      <c r="AG2" s="32"/>
      <c r="AH2" s="32"/>
      <c r="AI2" s="32"/>
      <c r="AJ2" s="32"/>
      <c r="AK2" s="32"/>
      <c r="AL2" s="32"/>
      <c r="AM2" s="32"/>
      <c r="AN2" s="32"/>
      <c r="AO2" s="32"/>
      <c r="AP2" s="32"/>
    </row>
    <row r="3" spans="1:42">
      <c r="A3" s="32"/>
      <c r="B3" s="32"/>
      <c r="C3" s="32"/>
      <c r="D3" s="32"/>
      <c r="E3" s="32"/>
      <c r="F3" s="32"/>
      <c r="G3" s="32"/>
      <c r="H3" s="32"/>
      <c r="I3" s="32"/>
      <c r="J3" s="32"/>
      <c r="K3" s="32"/>
      <c r="L3" s="32"/>
      <c r="M3" s="33"/>
      <c r="N3" s="32"/>
      <c r="O3" s="32"/>
      <c r="P3" s="32"/>
      <c r="Q3" s="32"/>
      <c r="R3" s="32"/>
      <c r="S3" s="32"/>
      <c r="T3" s="32"/>
      <c r="U3" s="32"/>
      <c r="V3" s="32"/>
      <c r="W3" s="32"/>
      <c r="X3" s="32"/>
      <c r="Y3" s="32"/>
      <c r="Z3" s="32"/>
      <c r="AA3" s="32"/>
      <c r="AB3" s="32"/>
      <c r="AC3" s="32"/>
      <c r="AD3" s="32"/>
      <c r="AE3" s="32"/>
      <c r="AF3" s="32"/>
      <c r="AG3" s="32"/>
      <c r="AH3" s="32"/>
      <c r="AI3" s="32"/>
      <c r="AJ3" s="32"/>
      <c r="AK3" s="32"/>
      <c r="AL3" s="32"/>
      <c r="AM3" s="32"/>
      <c r="AN3" s="32"/>
      <c r="AO3" s="32"/>
      <c r="AP3" s="32"/>
    </row>
    <row r="4" spans="1:42">
      <c r="A4" s="32"/>
      <c r="B4" s="32"/>
      <c r="C4" s="32"/>
      <c r="D4" s="32"/>
      <c r="E4" s="32"/>
      <c r="F4" s="32"/>
      <c r="G4" s="32"/>
      <c r="H4" s="32"/>
      <c r="I4" s="32"/>
      <c r="J4" s="32"/>
      <c r="K4" s="32"/>
      <c r="L4" s="32"/>
      <c r="M4" s="32"/>
      <c r="N4" s="32"/>
      <c r="O4" s="32"/>
      <c r="P4" s="32"/>
      <c r="Q4" s="32"/>
      <c r="R4" s="32"/>
      <c r="S4" s="32"/>
      <c r="T4" s="32"/>
      <c r="U4" s="32"/>
      <c r="V4" s="32"/>
      <c r="W4" s="32"/>
      <c r="X4" s="32"/>
      <c r="Y4" s="32"/>
      <c r="Z4" s="32"/>
      <c r="AA4" s="32"/>
      <c r="AB4" s="32"/>
      <c r="AC4" s="32"/>
      <c r="AD4" s="32"/>
      <c r="AE4" s="32"/>
      <c r="AF4" s="32"/>
      <c r="AG4" s="32"/>
      <c r="AH4" s="32"/>
      <c r="AI4" s="32"/>
      <c r="AJ4" s="32"/>
      <c r="AK4" s="32"/>
      <c r="AL4" s="32"/>
      <c r="AM4" s="32"/>
      <c r="AN4" s="32"/>
      <c r="AO4" s="32"/>
      <c r="AP4" s="32"/>
    </row>
    <row r="8" spans="1:42">
      <c r="N8" s="22"/>
      <c r="O8" s="22"/>
      <c r="P8" s="22"/>
      <c r="R8" s="22"/>
      <c r="S8" s="21"/>
      <c r="T8" s="21"/>
      <c r="V8" s="22"/>
      <c r="W8" s="22"/>
      <c r="X8" s="22"/>
      <c r="Y8" s="22"/>
      <c r="AA8" s="27"/>
      <c r="AB8" s="27"/>
      <c r="AC8" s="27"/>
    </row>
    <row r="9" spans="1:42" ht="31.5">
      <c r="N9" s="22"/>
      <c r="O9" s="26">
        <f>COUNTA('Clean_Data '!C:C)-1</f>
        <v>293</v>
      </c>
      <c r="P9" s="23"/>
      <c r="R9" s="22"/>
      <c r="S9" s="25">
        <f>AVERAGE('Clean_Data '!G:G)</f>
        <v>923.8675426621154</v>
      </c>
      <c r="T9" s="21"/>
      <c r="V9" s="22"/>
      <c r="W9" s="24">
        <f>COUNTIF('Clean_Data '!E:E,"Mogadishu")</f>
        <v>110</v>
      </c>
      <c r="X9" s="22"/>
      <c r="Y9" s="22"/>
      <c r="AA9" s="22"/>
      <c r="AB9" s="28">
        <f>COUNTIF('Clean_Data '!C:C,"Female")</f>
        <v>143</v>
      </c>
      <c r="AC9" s="27"/>
    </row>
    <row r="10" spans="1:42">
      <c r="N10" s="22"/>
      <c r="O10" s="23" t="s">
        <v>375</v>
      </c>
      <c r="P10" s="23"/>
      <c r="R10" s="21" t="s">
        <v>376</v>
      </c>
      <c r="S10" s="21"/>
      <c r="T10" s="21"/>
      <c r="V10" s="22" t="s">
        <v>377</v>
      </c>
      <c r="W10" s="22"/>
      <c r="X10" s="22"/>
      <c r="Y10" s="22"/>
      <c r="AA10" s="22"/>
      <c r="AB10" s="27" t="s">
        <v>378</v>
      </c>
      <c r="AC10" s="27"/>
    </row>
    <row r="11" spans="1:42">
      <c r="N11" s="23"/>
      <c r="O11" s="23"/>
      <c r="P11" s="23"/>
      <c r="R11" s="21"/>
      <c r="S11" s="21"/>
      <c r="T11" s="21"/>
      <c r="V11" s="22"/>
      <c r="W11" s="22"/>
      <c r="X11" s="22"/>
      <c r="Y11" s="22"/>
      <c r="AA11" s="27"/>
      <c r="AB11" s="27"/>
      <c r="AC11" s="27"/>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P12"/>
  <sheetViews>
    <sheetView showGridLines="0" topLeftCell="B1" zoomScale="64" zoomScaleNormal="64" workbookViewId="0">
      <selection activeCell="L47" sqref="L47"/>
    </sheetView>
  </sheetViews>
  <sheetFormatPr defaultRowHeight="15"/>
  <cols>
    <col min="12" max="12" width="13.140625" bestFit="1" customWidth="1"/>
    <col min="13" max="13" width="23.7109375" customWidth="1"/>
    <col min="14" max="14" width="11.85546875" bestFit="1" customWidth="1"/>
    <col min="16" max="16" width="12.7109375" customWidth="1"/>
    <col min="20" max="20" width="18" bestFit="1" customWidth="1"/>
  </cols>
  <sheetData>
    <row r="1" spans="1:42">
      <c r="A1" s="32"/>
      <c r="B1" s="32"/>
      <c r="C1" s="32"/>
      <c r="D1" s="32"/>
      <c r="E1" s="32"/>
      <c r="F1" s="32"/>
      <c r="G1" s="32"/>
      <c r="H1" s="32"/>
      <c r="I1" s="32"/>
      <c r="J1" s="32"/>
      <c r="K1" s="32"/>
      <c r="L1" s="32"/>
      <c r="M1" s="32"/>
      <c r="N1" s="32"/>
      <c r="O1" s="32"/>
      <c r="P1" s="32"/>
      <c r="Q1" s="32"/>
      <c r="R1" s="32"/>
      <c r="S1" s="32"/>
      <c r="T1" s="32"/>
      <c r="U1" s="32"/>
      <c r="V1" s="32"/>
      <c r="W1" s="32"/>
      <c r="X1" s="32"/>
      <c r="Y1" s="32"/>
      <c r="Z1" s="32"/>
      <c r="AA1" s="32"/>
      <c r="AB1" s="32"/>
      <c r="AC1" s="32"/>
      <c r="AD1" s="32"/>
      <c r="AE1" s="32"/>
      <c r="AF1" s="32"/>
      <c r="AG1" s="32"/>
      <c r="AH1" s="32"/>
      <c r="AI1" s="32"/>
      <c r="AJ1" s="32"/>
      <c r="AK1" s="32"/>
      <c r="AL1" s="32"/>
      <c r="AM1" s="32"/>
      <c r="AN1" s="32"/>
      <c r="AO1" s="32"/>
      <c r="AP1" s="32"/>
    </row>
    <row r="2" spans="1:42" ht="46.5">
      <c r="A2" s="32"/>
      <c r="B2" s="32"/>
      <c r="C2" s="32"/>
      <c r="D2" s="32"/>
      <c r="E2" s="32"/>
      <c r="F2" s="32"/>
      <c r="G2" s="32"/>
      <c r="H2" s="32"/>
      <c r="I2" s="32"/>
      <c r="J2" s="32"/>
      <c r="K2" s="32"/>
      <c r="L2" s="32"/>
      <c r="M2" s="32"/>
      <c r="N2" s="32"/>
      <c r="O2" s="34" t="s">
        <v>424</v>
      </c>
      <c r="P2" s="32"/>
      <c r="Q2" s="32"/>
      <c r="R2" s="32"/>
      <c r="S2" s="32"/>
      <c r="T2" s="32"/>
      <c r="U2" s="32"/>
      <c r="V2" s="32"/>
      <c r="W2" s="32"/>
      <c r="X2" s="32"/>
      <c r="Y2" s="32"/>
      <c r="Z2" s="32"/>
      <c r="AA2" s="32"/>
      <c r="AB2" s="32"/>
      <c r="AC2" s="32"/>
      <c r="AD2" s="32"/>
      <c r="AE2" s="32"/>
      <c r="AF2" s="32"/>
      <c r="AG2" s="32"/>
      <c r="AH2" s="32"/>
      <c r="AI2" s="32"/>
      <c r="AJ2" s="32"/>
      <c r="AK2" s="32"/>
      <c r="AL2" s="32"/>
      <c r="AM2" s="32"/>
      <c r="AN2" s="32"/>
      <c r="AO2" s="32"/>
      <c r="AP2" s="32"/>
    </row>
    <row r="3" spans="1:42">
      <c r="A3" s="32"/>
      <c r="B3" s="32"/>
      <c r="C3" s="32"/>
      <c r="D3" s="32"/>
      <c r="E3" s="32"/>
      <c r="F3" s="32"/>
      <c r="G3" s="32"/>
      <c r="H3" s="32"/>
      <c r="I3" s="32"/>
      <c r="J3" s="32"/>
      <c r="K3" s="32"/>
      <c r="L3" s="32"/>
      <c r="M3" s="33"/>
      <c r="N3" s="32"/>
      <c r="O3" s="32"/>
      <c r="P3" s="32"/>
      <c r="Q3" s="32"/>
      <c r="R3" s="32"/>
      <c r="S3" s="32"/>
      <c r="T3" s="32"/>
      <c r="U3" s="32"/>
      <c r="V3" s="32"/>
      <c r="W3" s="32"/>
      <c r="X3" s="32"/>
      <c r="Y3" s="32"/>
      <c r="Z3" s="32"/>
      <c r="AA3" s="32"/>
      <c r="AB3" s="32"/>
      <c r="AC3" s="32"/>
      <c r="AD3" s="32"/>
      <c r="AE3" s="32"/>
      <c r="AF3" s="32"/>
      <c r="AG3" s="32"/>
      <c r="AH3" s="32"/>
      <c r="AI3" s="32"/>
      <c r="AJ3" s="32"/>
      <c r="AK3" s="32"/>
      <c r="AL3" s="32"/>
      <c r="AM3" s="32"/>
      <c r="AN3" s="32"/>
      <c r="AO3" s="32"/>
      <c r="AP3" s="32"/>
    </row>
    <row r="4" spans="1:42">
      <c r="A4" s="32"/>
      <c r="B4" s="32"/>
      <c r="C4" s="32"/>
      <c r="D4" s="32"/>
      <c r="E4" s="32"/>
      <c r="F4" s="32"/>
      <c r="G4" s="32"/>
      <c r="H4" s="32"/>
      <c r="I4" s="32"/>
      <c r="J4" s="32"/>
      <c r="K4" s="32"/>
      <c r="L4" s="32"/>
      <c r="M4" s="32"/>
      <c r="N4" s="32"/>
      <c r="O4" s="32"/>
      <c r="P4" s="32"/>
      <c r="Q4" s="32"/>
      <c r="R4" s="32"/>
      <c r="S4" s="32"/>
      <c r="T4" s="32"/>
      <c r="U4" s="32"/>
      <c r="V4" s="32"/>
      <c r="W4" s="32"/>
      <c r="X4" s="32"/>
      <c r="Y4" s="32"/>
      <c r="Z4" s="32"/>
      <c r="AA4" s="32"/>
      <c r="AB4" s="32"/>
      <c r="AC4" s="32"/>
      <c r="AD4" s="32"/>
      <c r="AE4" s="32"/>
      <c r="AF4" s="32"/>
      <c r="AG4" s="32"/>
      <c r="AH4" s="32"/>
      <c r="AI4" s="32"/>
      <c r="AJ4" s="32"/>
      <c r="AK4" s="32"/>
      <c r="AL4" s="32"/>
      <c r="AM4" s="32"/>
      <c r="AN4" s="32"/>
      <c r="AO4" s="32"/>
      <c r="AP4" s="32"/>
    </row>
    <row r="9" spans="1:42">
      <c r="O9" s="39"/>
      <c r="P9" s="39"/>
      <c r="Q9" s="39"/>
      <c r="S9" s="37"/>
      <c r="T9" s="41"/>
      <c r="U9" s="41"/>
      <c r="W9" s="37"/>
      <c r="X9" s="37"/>
      <c r="Y9" s="37"/>
      <c r="AA9" s="37"/>
      <c r="AB9" s="37"/>
      <c r="AC9" s="37"/>
      <c r="AD9" s="37"/>
    </row>
    <row r="10" spans="1:42" ht="26.25">
      <c r="O10" s="39"/>
      <c r="P10" s="40">
        <f>AVERAGE('Clean_Data '!D:D)</f>
        <v>44.228668941979521</v>
      </c>
      <c r="Q10" s="39"/>
      <c r="S10" s="37"/>
      <c r="T10" s="42">
        <f>SUM('Clean_Data '!G:G)</f>
        <v>270693.18999999983</v>
      </c>
      <c r="U10" s="41"/>
      <c r="W10" s="37"/>
      <c r="X10" s="42">
        <f>COUNTIF('Clean_Data '!K:K,"High")</f>
        <v>22</v>
      </c>
      <c r="Y10" s="44"/>
      <c r="AA10" s="37"/>
      <c r="AB10" s="40">
        <f>AVERAGEIF('Clean_Data '!F:F,"Teacher",'Clean_Data '!G:G)</f>
        <v>703.55023809523789</v>
      </c>
      <c r="AC10" s="37"/>
      <c r="AD10" s="37"/>
    </row>
    <row r="11" spans="1:42">
      <c r="O11" s="39"/>
      <c r="P11" s="39" t="s">
        <v>419</v>
      </c>
      <c r="Q11" s="39"/>
      <c r="S11" s="37"/>
      <c r="T11" s="43" t="s">
        <v>324</v>
      </c>
      <c r="U11" s="41"/>
      <c r="W11" s="37"/>
      <c r="X11" s="44" t="s">
        <v>423</v>
      </c>
      <c r="Y11" s="44"/>
      <c r="AA11" s="37"/>
      <c r="AB11" s="39" t="s">
        <v>420</v>
      </c>
      <c r="AC11" s="37"/>
      <c r="AD11" s="37"/>
    </row>
    <row r="12" spans="1:42">
      <c r="O12" s="39"/>
      <c r="P12" s="39"/>
      <c r="Q12" s="39"/>
      <c r="S12" s="41"/>
      <c r="T12" s="37"/>
      <c r="U12" s="37"/>
      <c r="W12" s="39"/>
      <c r="X12" s="37"/>
      <c r="Y12" s="37"/>
      <c r="AA12" s="37"/>
      <c r="AB12" s="37"/>
      <c r="AC12" s="37"/>
      <c r="AD12" s="37"/>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6"/>
  <sheetViews>
    <sheetView topLeftCell="A7" workbookViewId="0">
      <selection activeCell="G28" sqref="G28"/>
    </sheetView>
  </sheetViews>
  <sheetFormatPr defaultRowHeight="15"/>
  <cols>
    <col min="1" max="1" width="110" style="20" customWidth="1"/>
  </cols>
  <sheetData>
    <row r="1" spans="1:11" ht="15.75">
      <c r="A1" s="29"/>
      <c r="F1" s="36" t="s">
        <v>379</v>
      </c>
      <c r="G1" s="36"/>
      <c r="H1" s="36"/>
      <c r="I1" s="36"/>
      <c r="J1" s="36"/>
      <c r="K1" s="36"/>
    </row>
    <row r="2" spans="1:11">
      <c r="A2" s="30"/>
    </row>
    <row r="3" spans="1:11">
      <c r="A3" s="31" t="s">
        <v>380</v>
      </c>
    </row>
    <row r="4" spans="1:11">
      <c r="A4" s="30"/>
    </row>
    <row r="5" spans="1:11">
      <c r="A5" s="31" t="s">
        <v>381</v>
      </c>
    </row>
    <row r="6" spans="1:11">
      <c r="A6" s="30" t="s">
        <v>382</v>
      </c>
    </row>
    <row r="7" spans="1:11" ht="30">
      <c r="A7" s="30" t="s">
        <v>383</v>
      </c>
    </row>
    <row r="8" spans="1:11">
      <c r="A8" s="30" t="s">
        <v>384</v>
      </c>
    </row>
    <row r="9" spans="1:11">
      <c r="A9" s="30" t="s">
        <v>385</v>
      </c>
    </row>
    <row r="10" spans="1:11">
      <c r="A10" s="30" t="s">
        <v>386</v>
      </c>
    </row>
    <row r="11" spans="1:11">
      <c r="A11" s="30"/>
    </row>
    <row r="12" spans="1:11">
      <c r="A12" s="31" t="s">
        <v>387</v>
      </c>
    </row>
    <row r="13" spans="1:11">
      <c r="A13" s="30" t="s">
        <v>388</v>
      </c>
    </row>
    <row r="14" spans="1:11">
      <c r="A14" s="30" t="s">
        <v>389</v>
      </c>
    </row>
    <row r="15" spans="1:11">
      <c r="A15" s="30" t="s">
        <v>390</v>
      </c>
    </row>
    <row r="16" spans="1:11">
      <c r="A16" s="30" t="s">
        <v>391</v>
      </c>
    </row>
    <row r="17" spans="1:1">
      <c r="A17" s="30" t="s">
        <v>392</v>
      </c>
    </row>
    <row r="18" spans="1:1">
      <c r="A18" s="30"/>
    </row>
    <row r="19" spans="1:1">
      <c r="A19" s="31" t="s">
        <v>393</v>
      </c>
    </row>
    <row r="20" spans="1:1">
      <c r="A20" s="30" t="s">
        <v>394</v>
      </c>
    </row>
    <row r="21" spans="1:1">
      <c r="A21" s="30" t="s">
        <v>395</v>
      </c>
    </row>
    <row r="22" spans="1:1">
      <c r="A22" s="30" t="s">
        <v>396</v>
      </c>
    </row>
    <row r="23" spans="1:1">
      <c r="A23" s="30"/>
    </row>
    <row r="24" spans="1:1">
      <c r="A24" s="31" t="s">
        <v>397</v>
      </c>
    </row>
    <row r="25" spans="1:1" ht="30">
      <c r="A25" s="30" t="s">
        <v>398</v>
      </c>
    </row>
    <row r="26" spans="1:1">
      <c r="A26" s="30" t="s">
        <v>399</v>
      </c>
    </row>
    <row r="27" spans="1:1">
      <c r="A27" s="30" t="s">
        <v>400</v>
      </c>
    </row>
    <row r="28" spans="1:1">
      <c r="A28" s="30" t="s">
        <v>401</v>
      </c>
    </row>
    <row r="29" spans="1:1">
      <c r="A29" s="30"/>
    </row>
    <row r="30" spans="1:1">
      <c r="A30" s="31" t="s">
        <v>402</v>
      </c>
    </row>
    <row r="31" spans="1:1">
      <c r="A31" s="30" t="s">
        <v>403</v>
      </c>
    </row>
    <row r="32" spans="1:1">
      <c r="A32" s="30" t="s">
        <v>404</v>
      </c>
    </row>
    <row r="33" spans="1:1">
      <c r="A33" s="30"/>
    </row>
    <row r="34" spans="1:1">
      <c r="A34" s="31" t="s">
        <v>405</v>
      </c>
    </row>
    <row r="35" spans="1:1">
      <c r="A35" s="30"/>
    </row>
    <row r="36" spans="1:1" ht="30">
      <c r="A36" s="30" t="s">
        <v>406</v>
      </c>
    </row>
    <row r="37" spans="1:1">
      <c r="A37" s="30" t="s">
        <v>407</v>
      </c>
    </row>
    <row r="38" spans="1:1" ht="30">
      <c r="A38" s="30" t="s">
        <v>408</v>
      </c>
    </row>
    <row r="39" spans="1:1" ht="30">
      <c r="A39" s="30" t="s">
        <v>409</v>
      </c>
    </row>
    <row r="40" spans="1:1" ht="30">
      <c r="A40" s="30" t="s">
        <v>410</v>
      </c>
    </row>
    <row r="41" spans="1:1">
      <c r="A41" s="30"/>
    </row>
    <row r="42" spans="1:1">
      <c r="A42" s="31" t="s">
        <v>411</v>
      </c>
    </row>
    <row r="43" spans="1:1">
      <c r="A43" s="30"/>
    </row>
    <row r="44" spans="1:1">
      <c r="A44" s="30" t="s">
        <v>412</v>
      </c>
    </row>
    <row r="45" spans="1:1">
      <c r="A45" s="30" t="s">
        <v>413</v>
      </c>
    </row>
    <row r="46" spans="1:1" ht="30">
      <c r="A46" s="30" t="s">
        <v>414</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Raw_Data</vt:lpstr>
      <vt:lpstr>Clean_Data </vt:lpstr>
      <vt:lpstr>Analysis</vt:lpstr>
      <vt:lpstr>PivotTables</vt:lpstr>
      <vt:lpstr>Dashboard</vt:lpstr>
      <vt:lpstr>Dashboard_2</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2026-08-12T07:59:44Z</dcterms:created>
  <dcterms:modified xsi:type="dcterms:W3CDTF">2026-08-23T13:50:23Z</dcterms:modified>
</cp:coreProperties>
</file>