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4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pivotCaches>
    <pivotCache cacheId="0" r:id="rId9"/>
    <pivotCache cacheId="6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" i="5" l="1"/>
  <c r="C6" i="5"/>
  <c r="Q6" i="5" l="1"/>
  <c r="B19" i="3"/>
  <c r="G6" i="5"/>
  <c r="B20" i="3"/>
  <c r="B21" i="3"/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" i="2"/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<sst xmlns="http://schemas.openxmlformats.org/spreadsheetml/2006/main" count="2464" uniqueCount="383">
  <si>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</si>
  <si>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</si>
  <si>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</si>
  <si>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</si>
  <si>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</si>
  <si>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</si>
  <si>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</si>
  <si>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</si>
  <si>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</si>
  <si>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</si>
  <si>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</si>
  <si>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</si>
  <si>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</si>
  <si>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</si>
  <si>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</si>
  <si>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</si>
  <si>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</si>
  <si>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</si>
  <si>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</si>
  <si>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</si>
  <si>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</si>
  <si>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</si>
  <si>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</si>
  <si>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</si>
  <si>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</si>
  <si>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</si>
  <si>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</si>
  <si>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</si>
  <si>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</si>
  <si>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</si>
  <si>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</si>
  <si>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</si>
  <si>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</si>
  <si>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</si>
  <si>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</si>
  <si>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</si>
  <si>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</si>
  <si>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</si>
  <si>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</si>
  <si>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</si>
  <si>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</si>
  <si>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</si>
  <si>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</si>
  <si>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</si>
  <si>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</si>
  <si>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</si>
  <si>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</si>
  <si>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</si>
  <si>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</si>
  <si>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</si>
  <si>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</si>
  <si>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</si>
  <si>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</si>
  <si>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</si>
  <si>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</si>
  <si>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</si>
  <si>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</si>
  <si>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</si>
  <si>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</si>
  <si>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</si>
  <si>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</si>
  <si>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</si>
  <si>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</si>
  <si>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</si>
  <si>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</si>
  <si>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</si>
  <si>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</si>
  <si>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</si>
  <si>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</si>
  <si>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</si>
  <si>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</si>
  <si>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</si>
  <si>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</si>
  <si>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</si>
  <si>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</si>
  <si>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</si>
  <si>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</si>
  <si>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</si>
  <si>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</si>
  <si>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</si>
  <si>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</si>
  <si>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</si>
  <si>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</si>
  <si>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</si>
  <si>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</si>
  <si>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</si>
  <si>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</si>
  <si>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</si>
  <si>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</si>
  <si>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</si>
  <si>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</si>
  <si>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</si>
  <si>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</si>
  <si>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</si>
  <si>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</si>
  <si>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</si>
  <si>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</si>
  <si>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</si>
  <si>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</si>
  <si>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</si>
  <si>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</si>
  <si>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</si>
  <si>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</si>
  <si>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</si>
  <si>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</si>
  <si>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</si>
  <si>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</si>
  <si>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</si>
  <si>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</si>
  <si>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</si>
  <si>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</si>
  <si>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</si>
  <si>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</si>
  <si>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</si>
  <si>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</si>
  <si>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</si>
  <si>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</si>
  <si>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</si>
  <si>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</si>
  <si>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</si>
  <si>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</si>
  <si>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</si>
  <si>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</si>
  <si>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</si>
  <si>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</si>
  <si>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</si>
  <si>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</si>
  <si>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</si>
  <si>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</si>
  <si>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</si>
  <si>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</si>
  <si>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</si>
  <si>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</si>
  <si>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</si>
  <si>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</si>
  <si>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</si>
  <si>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</si>
  <si>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</si>
  <si>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</si>
  <si>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</si>
  <si>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</si>
  <si>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</si>
  <si>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</si>
  <si>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</si>
  <si>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</si>
  <si>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</si>
  <si>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</si>
  <si>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</si>
  <si>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</si>
  <si>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</si>
  <si>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</si>
  <si>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</si>
  <si>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</si>
  <si>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</si>
  <si>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</si>
  <si>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</si>
  <si>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</si>
  <si>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</si>
  <si>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</si>
  <si>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</si>
  <si>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</si>
  <si>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</si>
  <si>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</si>
  <si>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</si>
  <si>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</si>
  <si>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</si>
  <si>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</si>
  <si>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</si>
  <si>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</si>
  <si>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</si>
  <si>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</si>
  <si>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</si>
  <si>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</si>
  <si>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</si>
  <si>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</si>
  <si>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</si>
  <si>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</si>
  <si>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</si>
  <si>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</si>
  <si>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</si>
  <si>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</si>
  <si>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</si>
  <si>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</si>
  <si>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</si>
  <si>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</si>
  <si>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</si>
  <si>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</si>
  <si>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</si>
  <si>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</si>
  <si>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</si>
  <si>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</si>
  <si>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</si>
  <si>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</si>
  <si>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</si>
  <si>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</si>
  <si>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</si>
  <si>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</si>
  <si>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</si>
  <si>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</si>
  <si>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</si>
  <si>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</si>
  <si>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</si>
  <si>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</si>
  <si>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</si>
  <si>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</si>
  <si>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</si>
  <si>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</si>
  <si>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</si>
  <si>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</si>
  <si>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</si>
  <si>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</si>
  <si>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</si>
  <si>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</si>
  <si>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</si>
  <si>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</si>
  <si>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</si>
  <si>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</si>
  <si>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</si>
  <si>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</si>
  <si>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</si>
  <si>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</si>
  <si>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</si>
  <si>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</si>
  <si>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</si>
  <si>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</si>
  <si>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</si>
  <si>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</si>
  <si>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</si>
  <si>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</si>
  <si>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</si>
  <si>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</si>
  <si>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</si>
  <si>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</si>
  <si>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</si>
  <si>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</si>
  <si>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</si>
  <si>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</si>
  <si>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</si>
  <si>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</si>
  <si>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</si>
  <si>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</si>
  <si>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</si>
  <si>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</si>
  <si>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</si>
  <si>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</si>
  <si>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</si>
  <si>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</si>
  <si>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</si>
  <si>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</si>
  <si>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</si>
  <si>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</si>
  <si>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</si>
  <si>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</si>
  <si>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</si>
  <si>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</si>
  <si>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</si>
  <si>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</si>
  <si>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</si>
  <si>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</si>
  <si>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</si>
  <si>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</si>
  <si>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</si>
  <si>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</si>
  <si>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</si>
  <si>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</si>
  <si>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</si>
  <si>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</si>
  <si>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</si>
  <si>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</si>
  <si>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</si>
  <si>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</si>
  <si>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</si>
  <si>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</si>
  <si>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</si>
  <si>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</si>
  <si>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</si>
  <si>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</si>
  <si>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</si>
  <si>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</si>
  <si>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</si>
  <si>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</si>
  <si>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</si>
  <si>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</si>
  <si>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</si>
  <si>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</si>
  <si>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</si>
  <si>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</si>
  <si>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</si>
  <si>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</si>
  <si>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</si>
  <si>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</si>
  <si>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</si>
  <si>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</si>
  <si>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</si>
  <si>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</si>
  <si>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</si>
  <si>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</si>
  <si>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</si>
  <si>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</si>
  <si>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</si>
  <si>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</si>
  <si>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</si>
  <si>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</si>
  <si>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</si>
  <si>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</si>
  <si>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</si>
  <si>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</si>
  <si>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</si>
  <si>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</si>
  <si>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</si>
  <si>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</si>
  <si>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</si>
  <si>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</si>
  <si>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</si>
  <si>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</si>
  <si>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</si>
  <si>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</si>
  <si>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</si>
  <si>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</si>
  <si>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</si>
  <si>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</si>
  <si>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</si>
  <si>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</si>
  <si>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</si>
  <si>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</si>
  <si>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</si>
  <si>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</si>
  <si>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</si>
  <si>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</si>
  <si>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</si>
  <si>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</si>
  <si>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</si>
  <si>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</si>
  <si>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</si>
  <si>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</si>
  <si>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</si>
  <si>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</si>
  <si>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</si>
  <si>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</si>
  <si>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</si>
  <si>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</si>
  <si>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</si>
  <si>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</si>
  <si>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</si>
  <si>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</si>
  <si>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</si>
  <si>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</si>
  <si>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</si>
  <si>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</si>
  <si>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</si>
  <si>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</si>
  <si>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</si>
  <si>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</si>
  <si>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</si>
  <si>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</si>
  <si>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</si>
  <si>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</si>
  <si>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</si>
  <si>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</si>
  <si>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</si>
  <si>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</si>
  <si>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</si>
  <si>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</si>
  <si>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</si>
  <si>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</si>
  <si>
    <t>Row Labels</t>
  </si>
  <si>
    <t>Grand Total</t>
  </si>
  <si>
    <t>Column Labels</t>
  </si>
  <si>
    <t>Sum of Monthly_Income</t>
  </si>
  <si>
    <t>High</t>
  </si>
  <si>
    <t>Low</t>
  </si>
  <si>
    <t>Medium</t>
  </si>
  <si>
    <t>Count of Customer_ID</t>
  </si>
  <si>
    <t>(All)</t>
  </si>
  <si>
    <t>Average of Monthly_Income</t>
  </si>
  <si>
    <t>Reg_Year</t>
  </si>
  <si>
    <t>Reg_Month</t>
  </si>
  <si>
    <t>Customer Demographic Dashboard</t>
  </si>
  <si>
    <t>Total Customers</t>
  </si>
  <si>
    <t>Average Monthly Income</t>
  </si>
  <si>
    <t xml:space="preserve"> Customers in Mogadishu (Top City)</t>
  </si>
  <si>
    <t>Female Customers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</si>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</sst>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12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  <font>
      <b/>
      <sz val="22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2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  <xf numFmtId="0" fontId="9" fillId="0" borderId="0" xfId="0" applyFont="1" applyAlignment="1">
      <alignment vertical="center"/>
    </xf>
    <xf numFmtId="0" fontId="3" fillId="3" borderId="0" xfId="1" applyAlignment="1">
      <alignment horizontal="left" vertical="center"/>
    </xf>
    <xf numFmtId="0" fontId="3" fillId="3" borderId="0" xfId="1"/>
    <xf numFmtId="0" fontId="3" fillId="3" borderId="0" xfId="1" applyAlignment="1">
      <alignment horizontal="center" vertical="top"/>
    </xf>
    <xf numFmtId="0" fontId="10" fillId="3" borderId="0" xfId="1" applyFont="1"/>
    <xf numFmtId="0" fontId="10" fillId="3" borderId="0" xfId="1" applyFont="1" applyAlignment="1">
      <alignment horizontal="left" vertical="center"/>
    </xf>
    <xf numFmtId="0" fontId="10" fillId="3" borderId="0" xfId="1" applyFont="1" applyAlignment="1">
      <alignment horizontal="center" vertical="top"/>
    </xf>
    <xf numFmtId="0" fontId="3" fillId="3" borderId="0" xfId="1" applyAlignment="1">
      <alignment horizontal="center"/>
    </xf>
    <xf numFmtId="0" fontId="11" fillId="3" borderId="0" xfId="1" applyFont="1" applyAlignment="1">
      <alignment horizontal="center"/>
    </xf>
  </cellXfs>
  <cellStyles count="3">
    <cellStyle name="60% - Accent5" xfId="2" builtinId="48"/>
    <cellStyle name="Accent5" xfId="1" builtinId="45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 Demographic Data Analysis Data.xlsx]PivotTables!PivotTable2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Total Income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PivotTables!$A$6:$A$13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PivotTables!$B$6:$B$13</c:f>
              <c:numCache>
                <c:formatCode>General</c:formatCode>
                <c:ptCount val="7"/>
                <c:pt idx="0">
                  <c:v>19068.93</c:v>
                </c:pt>
                <c:pt idx="1">
                  <c:v>39854.100000000006</c:v>
                </c:pt>
                <c:pt idx="2">
                  <c:v>17991.009999999998</c:v>
                </c:pt>
                <c:pt idx="3">
                  <c:v>38385.03</c:v>
                </c:pt>
                <c:pt idx="4">
                  <c:v>30250.91</c:v>
                </c:pt>
                <c:pt idx="5">
                  <c:v>13639.55</c:v>
                </c:pt>
                <c:pt idx="6">
                  <c:v>111503.65999999997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C9F-B67E-27CE8BEA77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291759"/>
        <c:axId val="1898292175"/>
      </c:barChart>
      <c:catAx>
        <c:axId val="18982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2175"/>
        <c:crosses val="autoZero"/>
        <c:auto val="1"/>
        <c:lblAlgn val="ctr"/>
        <c:lblOffset val="100"/>
        <c:noMultiLvlLbl val="0"/>
      </c:catAx>
      <c:valAx>
        <c:axId val="18982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Income by Occupation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dLbl>
          <c:idx val="0"/>
          <c:layout>
            <c:manualLayout>
              <c:x val="1.3888888888888888E-2"/>
              <c:y val="-0.319444444444444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1.1111111111111112E-2"/>
              <c:y val="-0.18055555555555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2.7777777777777779E-3"/>
              <c:y val="-6.48148148148148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layout>
            <c:manualLayout>
              <c:x val="0"/>
              <c:y val="-0.231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1.6666666666666566E-2"/>
              <c:y val="-0.236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-1.0185067526415994E-16"/>
              <c:y val="-9.25925925925926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layout>
            <c:manualLayout>
              <c:x val="1.3888888888888888E-2"/>
              <c:y val="-0.2314814814814815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layout>
            <c:manualLayout>
              <c:x val="-2.7777777777777779E-3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8.3333333333333332E-3"/>
              <c:y val="-0.1851851851851852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PivotTables!$A$28:$A$36</c:f>
              <c:strCache>
                <c:ptCount val="8"/>
                <c:pt idx="0">
                  <c:v>Business Owner</c:v>
                </c:pt>
                <c:pt idx="1">
                  <c:v>Civil Servant</c:v>
                </c:pt>
                <c:pt idx="2">
                  <c:v>Engineer</c:v>
                </c:pt>
                <c:pt idx="3">
                  <c:v>Healthcare</c:v>
                </c:pt>
                <c:pt idx="4">
                  <c:v>Missing</c:v>
                </c:pt>
                <c:pt idx="5">
                  <c:v>Self-Employed</c:v>
                </c:pt>
                <c:pt idx="6">
                  <c:v>Student</c:v>
                </c:pt>
                <c:pt idx="7">
                  <c:v>Teacher</c:v>
                </c:pt>
              </c:strCache>
            </c:strRef>
          </c:cat>
          <c:val>
            <c:numRef>
              <c:f>PivotTables!$B$28:$B$36</c:f>
              <c:numCache>
                <c:formatCode>General</c:formatCode>
                <c:ptCount val="8"/>
                <c:pt idx="0">
                  <c:v>63062.01</c:v>
                </c:pt>
                <c:pt idx="1">
                  <c:v>30275.03000000001</c:v>
                </c:pt>
                <c:pt idx="2">
                  <c:v>43298.039999999994</c:v>
                </c:pt>
                <c:pt idx="3">
                  <c:v>41695.880000000005</c:v>
                </c:pt>
                <c:pt idx="4">
                  <c:v>9200.06</c:v>
                </c:pt>
                <c:pt idx="5">
                  <c:v>42372.009999999995</c:v>
                </c:pt>
                <c:pt idx="6">
                  <c:v>11241.05</c:v>
                </c:pt>
                <c:pt idx="7">
                  <c:v>29549.109999999993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2-43F0-9255-F974DF501E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01217007"/>
        <c:axId val="1701212847"/>
      </c:barChart>
      <c:catAx>
        <c:axId val="1701217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2847"/>
        <c:crosses val="autoZero"/>
        <c:auto val="1"/>
        <c:lblAlgn val="ctr"/>
        <c:lblOffset val="100"/>
        <c:noMultiLvlLbl val="0"/>
      </c:catAx>
      <c:valAx>
        <c:axId val="17012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7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 Gender × City (Rows + Columns)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PivotTables!$L$6:$L$7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PivotTables!$L$8:$L$15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10</c:v>
                </c:pt>
                <c:pt idx="3">
                  <c:v>23</c:v>
                </c:pt>
                <c:pt idx="4">
                  <c:v>14</c:v>
                </c:pt>
                <c:pt idx="5">
                  <c:v>10</c:v>
                </c:pt>
                <c:pt idx="6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CA-488C-BB5E-38EE7C9EA65C}"/>
            </c:ext>
          </c:extLst>
        </c:ser>
        <c:ser>
          <c:idx val="1"/>
          <c:order val="1"/>
          <c:tx>
            <c:strRef>
              <c:f>PivotTables!$M$6:$M$7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PivotTables!$M$8:$M$15</c:f>
              <c:numCache>
                <c:formatCode>General</c:formatCode>
                <c:ptCount val="7"/>
                <c:pt idx="0">
                  <c:v>9</c:v>
                </c:pt>
                <c:pt idx="1">
                  <c:v>16</c:v>
                </c:pt>
                <c:pt idx="2">
                  <c:v>10</c:v>
                </c:pt>
                <c:pt idx="3">
                  <c:v>19</c:v>
                </c:pt>
                <c:pt idx="4">
                  <c:v>19</c:v>
                </c:pt>
                <c:pt idx="5">
                  <c:v>6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CA-488C-BB5E-38EE7C9EA65C}"/>
            </c:ext>
          </c:extLst>
        </c:ser>
        <c:ser>
          <c:idx val="2"/>
          <c:order val="2"/>
          <c:tx>
            <c:strRef>
              <c:f>PivotTables!$N$6:$N$7</c:f>
              <c:strCache>
                <c:ptCount val="1"/>
                <c:pt idx="0">
                  <c:v>Missing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PivotTables!$N$8:$N$15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CA-488C-BB5E-38EE7C9EA6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634287"/>
        <c:axId val="1906618895"/>
      </c:barChart>
      <c:catAx>
        <c:axId val="190663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18895"/>
        <c:crosses val="autoZero"/>
        <c:auto val="1"/>
        <c:lblAlgn val="ctr"/>
        <c:lblOffset val="100"/>
        <c:noMultiLvlLbl val="0"/>
      </c:catAx>
      <c:valAx>
        <c:axId val="19066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Income Level by City — Customer Count &amp; Average Income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PivotTables!$L$33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PivotTables!$L$34:$L$37</c:f>
              <c:numCache>
                <c:formatCode>General</c:formatCode>
                <c:ptCount val="3"/>
                <c:pt idx="0">
                  <c:v>20</c:v>
                </c:pt>
                <c:pt idx="1">
                  <c:v>128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E-4F01-B14B-128E60129C59}"/>
            </c:ext>
          </c:extLst>
        </c:ser>
        <c:ser>
          <c:idx val="1"/>
          <c:order val="1"/>
          <c:tx>
            <c:strRef>
              <c:f>PivotTables!$M$33</c:f>
              <c:strCache>
                <c:ptCount val="1"/>
                <c:pt idx="0">
                  <c:v>Average of Monthly_Income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PivotTables!$M$34:$M$37</c:f>
              <c:numCache>
                <c:formatCode>General</c:formatCode>
                <c:ptCount val="3"/>
                <c:pt idx="0">
                  <c:v>2563.3863636363635</c:v>
                </c:pt>
                <c:pt idx="1">
                  <c:v>518.12446969696919</c:v>
                </c:pt>
                <c:pt idx="2">
                  <c:v>1049.6853237410066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0E-4F01-B14B-128E60129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192703"/>
        <c:axId val="1906203519"/>
      </c:barChart>
      <c:catAx>
        <c:axId val="190619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203519"/>
        <c:crosses val="autoZero"/>
        <c:auto val="1"/>
        <c:lblAlgn val="ctr"/>
        <c:lblOffset val="100"/>
        <c:noMultiLvlLbl val="0"/>
      </c:catAx>
      <c:valAx>
        <c:axId val="190620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19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Sum of Income</a:t>
            </a:r>
            <a:r>
              <a:rPr lang="en-US" sz="1400" b="0" i="0" u="none" strike="noStrike" baseline="0">
                <a:effectLst/>
              </a:rPr>
              <a:t> by Gender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PivotTables!$U$5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4E6-4C7A-8131-AB32331748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4E6-4C7A-8131-AB32331748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4E6-4C7A-8131-AB32331748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PivotTables!$T$6:$T$9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Missing</c:v>
                </c:pt>
              </c:strCache>
            </c:strRef>
          </c:cat>
          <c:val>
            <c:numRef>
              <c:f>PivotTables!$U$6:$U$9</c:f>
              <c:numCache>
                <c:formatCode>General</c:formatCode>
                <c:ptCount val="3"/>
                <c:pt idx="0">
                  <c:v>125509.16000000002</c:v>
                </c:pt>
                <c:pt idx="1">
                  <c:v>120191.5</c:v>
                </c:pt>
                <c:pt idx="2">
                  <c:v>24992.530000000006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A-46A9-8762-3FB99EFEF82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Registrations by Month (Column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PivotTables!$U$26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PivotTables!$T$27:$T$40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PivotTables!$U$27:$U$40</c:f>
              <c:numCache>
                <c:formatCode>General</c:formatCode>
                <c:ptCount val="13"/>
                <c:pt idx="0">
                  <c:v>28</c:v>
                </c:pt>
                <c:pt idx="1">
                  <c:v>26</c:v>
                </c:pt>
                <c:pt idx="2">
                  <c:v>27</c:v>
                </c:pt>
                <c:pt idx="3">
                  <c:v>29</c:v>
                </c:pt>
                <c:pt idx="4">
                  <c:v>32</c:v>
                </c:pt>
                <c:pt idx="5">
                  <c:v>21</c:v>
                </c:pt>
                <c:pt idx="6">
                  <c:v>21</c:v>
                </c:pt>
                <c:pt idx="7">
                  <c:v>25</c:v>
                </c:pt>
                <c:pt idx="8">
                  <c:v>9</c:v>
                </c:pt>
                <c:pt idx="9">
                  <c:v>15</c:v>
                </c:pt>
                <c:pt idx="10">
                  <c:v>12</c:v>
                </c:pt>
                <c:pt idx="11">
                  <c:v>16</c:v>
                </c:pt>
                <c:pt idx="1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A-4779-AA9F-80E9E34A42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0035024"/>
        <c:axId val="340034608"/>
      </c:barChart>
      <c:catAx>
        <c:axId val="3400350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0034608"/>
        <c:crosses val="autoZero"/>
        <c:auto val="1"/>
        <c:lblAlgn val="ctr"/>
        <c:lblOffset val="100"/>
        <c:noMultiLvlLbl val="0"/>
      </c:catAx>
      <c:valAx>
        <c:axId val="34003460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34003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Yearly Total Income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PivotTables!$B$48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24-4874-9D18-1450698A63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24-4874-9D18-1450698A633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24-4874-9D18-1450698A633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PivotTables!$A$49:$A$52</c:f>
              <c:strCache>
                <c:ptCount val="3"/>
                <c:pt idx="0">
                  <c:v>2025</c:v>
                </c:pt>
                <c:pt idx="1">
                  <c:v>2026</c:v>
                </c:pt>
              </c:strCache>
            </c:strRef>
          </c:cat>
          <c:val>
            <c:numRef>
              <c:f>PivotTables!$B$49:$B$52</c:f>
              <c:numCache>
                <c:formatCode>General</c:formatCode>
                <c:ptCount val="3"/>
                <c:pt idx="0">
                  <c:v>183206.52999999997</c:v>
                </c:pt>
                <c:pt idx="1">
                  <c:v>70430.230000000025</c:v>
                </c:pt>
                <c:pt idx="2">
                  <c:v>17056.43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2F-4D31-902F-4E0F47BD052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95249</xdr:rowOff>
    </xdr:from>
    <xdr:to>
      <xdr:col>7</xdr:col>
      <xdr:colOff>438150</xdr:colOff>
      <xdr:row>21</xdr:row>
      <xdr:rowOff>9524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133350</xdr:rowOff>
    </xdr:from>
    <xdr:to>
      <xdr:col>5</xdr:col>
      <xdr:colOff>381000</xdr:colOff>
      <xdr:row>40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495299</xdr:colOff>
      <xdr:row>3</xdr:row>
      <xdr:rowOff>85724</xdr:rowOff>
    </xdr:from>
    <xdr:to>
      <xdr:col>16</xdr:col>
      <xdr:colOff>438150</xdr:colOff>
      <xdr:row>20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</xdr:colOff>
      <xdr:row>25</xdr:row>
      <xdr:rowOff>89647</xdr:rowOff>
    </xdr:from>
    <xdr:to>
      <xdr:col>16</xdr:col>
      <xdr:colOff>0</xdr:colOff>
      <xdr:row>40</xdr:row>
      <xdr:rowOff>112059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22409</xdr:colOff>
      <xdr:row>3</xdr:row>
      <xdr:rowOff>96370</xdr:rowOff>
    </xdr:from>
    <xdr:to>
      <xdr:col>25</xdr:col>
      <xdr:colOff>347381</xdr:colOff>
      <xdr:row>20</xdr:row>
      <xdr:rowOff>156881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420219</xdr:colOff>
      <xdr:row>24</xdr:row>
      <xdr:rowOff>141195</xdr:rowOff>
    </xdr:from>
    <xdr:to>
      <xdr:col>25</xdr:col>
      <xdr:colOff>268940</xdr:colOff>
      <xdr:row>40</xdr:row>
      <xdr:rowOff>100853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45</xdr:row>
      <xdr:rowOff>6722</xdr:rowOff>
    </xdr:from>
    <xdr:to>
      <xdr:col>6</xdr:col>
      <xdr:colOff>358588</xdr:colOff>
      <xdr:row>64</xdr:row>
      <xdr:rowOff>22411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 refreshError="1"/>
      <sheetData sheetId="1" refreshError="1">
        <row r="1">
          <cell r="A1" t="str">
            <v>Customer_ID</v>
          </cell>
          <cell r="D1" t="str">
            <v>Age</v>
          </cell>
          <cell r="G1" t="str">
            <v>Monthly_Income</v>
          </cell>
        </row>
        <row r="2">
          <cell r="A2" t="str">
            <v>CUS00005</v>
          </cell>
          <cell r="C2" t="str">
            <v>Female</v>
          </cell>
          <cell r="D2">
            <v>49</v>
          </cell>
          <cell r="G2">
            <v>1455.22</v>
          </cell>
        </row>
        <row r="3">
          <cell r="A3" t="str">
            <v>CUS00034</v>
          </cell>
          <cell r="D3">
            <v>39</v>
          </cell>
          <cell r="G3">
            <v>1250.21</v>
          </cell>
        </row>
        <row r="4">
          <cell r="A4" t="str">
            <v>CUS00176</v>
          </cell>
          <cell r="D4">
            <v>44</v>
          </cell>
          <cell r="G4">
            <v>602</v>
          </cell>
        </row>
        <row r="5">
          <cell r="A5" t="str">
            <v>CUS00026</v>
          </cell>
          <cell r="D5">
            <v>20</v>
          </cell>
          <cell r="G5">
            <v>789.1</v>
          </cell>
        </row>
        <row r="6">
          <cell r="A6" t="str">
            <v>CUS00195</v>
          </cell>
          <cell r="D6">
            <v>31</v>
          </cell>
          <cell r="G6">
            <v>1964.48</v>
          </cell>
        </row>
        <row r="7">
          <cell r="A7" t="str">
            <v>CUS00191</v>
          </cell>
          <cell r="D7">
            <v>65</v>
          </cell>
          <cell r="G7">
            <v>1547.72</v>
          </cell>
        </row>
        <row r="8">
          <cell r="A8" t="str">
            <v>CUS00060</v>
          </cell>
          <cell r="D8">
            <v>47</v>
          </cell>
          <cell r="G8">
            <v>881.22</v>
          </cell>
        </row>
        <row r="9">
          <cell r="A9" t="str">
            <v>CUS00229</v>
          </cell>
          <cell r="D9">
            <v>46</v>
          </cell>
          <cell r="G9">
            <v>278.61</v>
          </cell>
        </row>
        <row r="10">
          <cell r="A10" t="str">
            <v>CUS00172</v>
          </cell>
          <cell r="D10">
            <v>70</v>
          </cell>
          <cell r="G10">
            <v>923.87</v>
          </cell>
        </row>
        <row r="11">
          <cell r="A11" t="str">
            <v>CUS00233</v>
          </cell>
          <cell r="D11">
            <v>39</v>
          </cell>
          <cell r="G11">
            <v>127.29</v>
          </cell>
        </row>
        <row r="12">
          <cell r="A12" t="str">
            <v>CUS00245</v>
          </cell>
          <cell r="D12">
            <v>32</v>
          </cell>
          <cell r="G12">
            <v>312.77</v>
          </cell>
        </row>
        <row r="13">
          <cell r="A13" t="str">
            <v>CUS00224</v>
          </cell>
          <cell r="D13">
            <v>48</v>
          </cell>
          <cell r="G13">
            <v>1015.92</v>
          </cell>
        </row>
        <row r="14">
          <cell r="A14" t="str">
            <v>CUS00124</v>
          </cell>
          <cell r="D14">
            <v>27</v>
          </cell>
          <cell r="G14">
            <v>1024.44</v>
          </cell>
        </row>
        <row r="15">
          <cell r="A15" t="str">
            <v>CUS00075</v>
          </cell>
          <cell r="D15">
            <v>47</v>
          </cell>
          <cell r="G15">
            <v>926.65</v>
          </cell>
        </row>
        <row r="16">
          <cell r="A16" t="str">
            <v>CUS00155</v>
          </cell>
          <cell r="D16">
            <v>27</v>
          </cell>
          <cell r="G16">
            <v>2040.09</v>
          </cell>
        </row>
        <row r="17">
          <cell r="A17" t="str">
            <v>CUS00070</v>
          </cell>
          <cell r="D17">
            <v>38</v>
          </cell>
          <cell r="G17">
            <v>836.87</v>
          </cell>
        </row>
        <row r="18">
          <cell r="A18" t="str">
            <v>CUS00227</v>
          </cell>
          <cell r="D18">
            <v>37</v>
          </cell>
          <cell r="G18">
            <v>579.54999999999995</v>
          </cell>
        </row>
        <row r="19">
          <cell r="A19" t="str">
            <v>CUS00077</v>
          </cell>
          <cell r="D19">
            <v>44</v>
          </cell>
          <cell r="G19">
            <v>954.9</v>
          </cell>
        </row>
        <row r="20">
          <cell r="A20" t="str">
            <v>CUS00252</v>
          </cell>
          <cell r="D20">
            <v>70</v>
          </cell>
          <cell r="G20">
            <v>526.37</v>
          </cell>
        </row>
        <row r="21">
          <cell r="A21" t="str">
            <v>CUS00260</v>
          </cell>
          <cell r="D21">
            <v>40</v>
          </cell>
          <cell r="G21">
            <v>1086.56</v>
          </cell>
        </row>
        <row r="22">
          <cell r="A22" t="str">
            <v>CUS00231</v>
          </cell>
          <cell r="D22">
            <v>54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G23">
            <v>210.96</v>
          </cell>
        </row>
        <row r="24">
          <cell r="A24" t="str">
            <v>CUS00146</v>
          </cell>
          <cell r="D24">
            <v>61</v>
          </cell>
          <cell r="G24">
            <v>1214.6199999999999</v>
          </cell>
        </row>
        <row r="25">
          <cell r="A25" t="str">
            <v>CUS00137</v>
          </cell>
          <cell r="D25">
            <v>42</v>
          </cell>
          <cell r="G25">
            <v>1215.9100000000001</v>
          </cell>
        </row>
        <row r="26">
          <cell r="A26" t="str">
            <v>CUS00190</v>
          </cell>
          <cell r="D26">
            <v>58</v>
          </cell>
          <cell r="G26">
            <v>494.83</v>
          </cell>
        </row>
        <row r="27">
          <cell r="A27" t="str">
            <v>CUS00058</v>
          </cell>
          <cell r="D27">
            <v>20</v>
          </cell>
          <cell r="G27">
            <v>646.07000000000005</v>
          </cell>
        </row>
        <row r="28">
          <cell r="A28" t="str">
            <v>CUS00023</v>
          </cell>
          <cell r="D28">
            <v>32</v>
          </cell>
          <cell r="G28">
            <v>409.49</v>
          </cell>
        </row>
        <row r="29">
          <cell r="A29" t="str">
            <v>CUS00040</v>
          </cell>
          <cell r="D29">
            <v>66</v>
          </cell>
          <cell r="G29">
            <v>835.61</v>
          </cell>
        </row>
        <row r="30">
          <cell r="A30" t="str">
            <v>CUS00205</v>
          </cell>
          <cell r="D30">
            <v>40</v>
          </cell>
          <cell r="G30">
            <v>923.87</v>
          </cell>
        </row>
        <row r="31">
          <cell r="A31" t="str">
            <v>CUS00061</v>
          </cell>
          <cell r="D31">
            <v>53</v>
          </cell>
          <cell r="G31">
            <v>675.77</v>
          </cell>
        </row>
        <row r="32">
          <cell r="A32" t="str">
            <v>CUS00268</v>
          </cell>
          <cell r="D32">
            <v>49</v>
          </cell>
          <cell r="G32">
            <v>1800.86</v>
          </cell>
        </row>
        <row r="33">
          <cell r="A33" t="str">
            <v>CUS00241</v>
          </cell>
          <cell r="D33">
            <v>24</v>
          </cell>
          <cell r="G33">
            <v>1516.2</v>
          </cell>
        </row>
        <row r="34">
          <cell r="A34" t="str">
            <v>CUS00102</v>
          </cell>
          <cell r="D34">
            <v>36</v>
          </cell>
          <cell r="G34">
            <v>952.9</v>
          </cell>
        </row>
        <row r="35">
          <cell r="D35">
            <v>44</v>
          </cell>
          <cell r="G35">
            <v>1144.9100000000001</v>
          </cell>
        </row>
        <row r="36">
          <cell r="A36" t="str">
            <v>CUS00287</v>
          </cell>
          <cell r="D36">
            <v>19</v>
          </cell>
          <cell r="G36">
            <v>963.66</v>
          </cell>
        </row>
        <row r="37">
          <cell r="A37" t="str">
            <v>CUS00283</v>
          </cell>
          <cell r="D37">
            <v>55</v>
          </cell>
          <cell r="G37">
            <v>1023.35</v>
          </cell>
        </row>
        <row r="38">
          <cell r="A38" t="str">
            <v>CUS00181</v>
          </cell>
          <cell r="D38">
            <v>26</v>
          </cell>
          <cell r="G38">
            <v>457.6</v>
          </cell>
        </row>
        <row r="39">
          <cell r="A39" t="str">
            <v>CUS00018</v>
          </cell>
          <cell r="D39">
            <v>44</v>
          </cell>
          <cell r="G39">
            <v>1300.93</v>
          </cell>
        </row>
        <row r="40">
          <cell r="A40" t="str">
            <v>CUS00082</v>
          </cell>
          <cell r="D40">
            <v>30</v>
          </cell>
          <cell r="G40">
            <v>707.01</v>
          </cell>
        </row>
        <row r="41">
          <cell r="D41">
            <v>30</v>
          </cell>
          <cell r="G41">
            <v>265.87</v>
          </cell>
        </row>
        <row r="42">
          <cell r="A42" t="str">
            <v>CUS00114</v>
          </cell>
          <cell r="D42">
            <v>63</v>
          </cell>
          <cell r="G42">
            <v>523.37</v>
          </cell>
        </row>
        <row r="43">
          <cell r="A43" t="str">
            <v>CUS00278</v>
          </cell>
          <cell r="D43">
            <v>40</v>
          </cell>
          <cell r="G43">
            <v>1984.53</v>
          </cell>
        </row>
        <row r="44">
          <cell r="A44" t="str">
            <v>CUS00141</v>
          </cell>
          <cell r="D44">
            <v>57</v>
          </cell>
          <cell r="G44">
            <v>389.22</v>
          </cell>
        </row>
        <row r="45">
          <cell r="A45" t="str">
            <v>CUS00150</v>
          </cell>
          <cell r="D45">
            <v>62</v>
          </cell>
          <cell r="G45">
            <v>10013</v>
          </cell>
        </row>
        <row r="46">
          <cell r="A46" t="str">
            <v>CUS00236</v>
          </cell>
          <cell r="D46">
            <v>22</v>
          </cell>
          <cell r="G46">
            <v>1235.8900000000001</v>
          </cell>
        </row>
        <row r="47">
          <cell r="A47" t="str">
            <v>CUS00273</v>
          </cell>
          <cell r="D47">
            <v>23</v>
          </cell>
          <cell r="G47">
            <v>863.68</v>
          </cell>
        </row>
        <row r="48">
          <cell r="A48" t="str">
            <v>CUS00225</v>
          </cell>
          <cell r="D48">
            <v>70</v>
          </cell>
          <cell r="G48">
            <v>1091.0999999999999</v>
          </cell>
        </row>
        <row r="49">
          <cell r="A49" t="str">
            <v>CUS00073</v>
          </cell>
          <cell r="D49">
            <v>46</v>
          </cell>
          <cell r="G49">
            <v>923.87</v>
          </cell>
        </row>
        <row r="50">
          <cell r="A50" t="str">
            <v>CUS00093</v>
          </cell>
          <cell r="D50">
            <v>59</v>
          </cell>
          <cell r="G50">
            <v>396.11</v>
          </cell>
        </row>
        <row r="51">
          <cell r="A51" t="str">
            <v>CUS00068</v>
          </cell>
          <cell r="D51">
            <v>45</v>
          </cell>
          <cell r="G51">
            <v>1852.82</v>
          </cell>
        </row>
        <row r="52">
          <cell r="A52" t="str">
            <v>CUS00218</v>
          </cell>
          <cell r="D52">
            <v>44</v>
          </cell>
          <cell r="G52">
            <v>746.26</v>
          </cell>
        </row>
        <row r="53">
          <cell r="A53" t="str">
            <v>CUS00028</v>
          </cell>
          <cell r="D53">
            <v>53</v>
          </cell>
          <cell r="G53">
            <v>661.71</v>
          </cell>
        </row>
        <row r="54">
          <cell r="A54" t="str">
            <v>CUS00064</v>
          </cell>
          <cell r="D54">
            <v>64</v>
          </cell>
          <cell r="G54">
            <v>641.59</v>
          </cell>
        </row>
        <row r="55">
          <cell r="D55">
            <v>68</v>
          </cell>
          <cell r="G55">
            <v>10006</v>
          </cell>
        </row>
        <row r="56">
          <cell r="A56" t="str">
            <v>CUS00174</v>
          </cell>
          <cell r="D56">
            <v>55</v>
          </cell>
          <cell r="G56">
            <v>799.53</v>
          </cell>
        </row>
        <row r="57">
          <cell r="A57" t="str">
            <v>CUS00223</v>
          </cell>
          <cell r="D57">
            <v>34</v>
          </cell>
          <cell r="G57">
            <v>923.87</v>
          </cell>
        </row>
        <row r="58">
          <cell r="D58">
            <v>22</v>
          </cell>
          <cell r="G58">
            <v>1470.86</v>
          </cell>
        </row>
        <row r="59">
          <cell r="A59" t="str">
            <v>CUS00277</v>
          </cell>
          <cell r="D59">
            <v>39</v>
          </cell>
          <cell r="G59">
            <v>120.06</v>
          </cell>
        </row>
        <row r="60">
          <cell r="A60" t="str">
            <v>CUS00255</v>
          </cell>
          <cell r="D60">
            <v>21</v>
          </cell>
          <cell r="G60">
            <v>680.77</v>
          </cell>
        </row>
        <row r="61">
          <cell r="A61" t="str">
            <v>CUS00083</v>
          </cell>
          <cell r="D61">
            <v>68</v>
          </cell>
          <cell r="G61">
            <v>758.44</v>
          </cell>
        </row>
        <row r="62">
          <cell r="A62" t="str">
            <v>CUS00025</v>
          </cell>
          <cell r="D62">
            <v>52</v>
          </cell>
          <cell r="G62">
            <v>129.81</v>
          </cell>
        </row>
        <row r="63">
          <cell r="A63" t="str">
            <v>CUS00126</v>
          </cell>
          <cell r="D63">
            <v>26</v>
          </cell>
          <cell r="G63">
            <v>930.93</v>
          </cell>
        </row>
        <row r="64">
          <cell r="A64" t="str">
            <v>CUS00053</v>
          </cell>
          <cell r="D64">
            <v>25</v>
          </cell>
          <cell r="G64">
            <v>1318.45</v>
          </cell>
        </row>
        <row r="65">
          <cell r="A65" t="str">
            <v>CUS00226</v>
          </cell>
          <cell r="D65">
            <v>25</v>
          </cell>
          <cell r="G65">
            <v>920.19</v>
          </cell>
        </row>
        <row r="66">
          <cell r="A66" t="str">
            <v>CUS00186</v>
          </cell>
          <cell r="D66">
            <v>53</v>
          </cell>
          <cell r="G66">
            <v>998.38</v>
          </cell>
        </row>
        <row r="67">
          <cell r="A67" t="str">
            <v>CUS00138</v>
          </cell>
          <cell r="D67">
            <v>22</v>
          </cell>
          <cell r="G67">
            <v>622.54999999999995</v>
          </cell>
        </row>
        <row r="68">
          <cell r="A68" t="str">
            <v>CUS00127</v>
          </cell>
          <cell r="D68">
            <v>46</v>
          </cell>
          <cell r="G68">
            <v>781.63</v>
          </cell>
        </row>
        <row r="69">
          <cell r="A69" t="str">
            <v>CUS00103</v>
          </cell>
          <cell r="D69">
            <v>66</v>
          </cell>
          <cell r="G69">
            <v>1081.02</v>
          </cell>
        </row>
        <row r="70">
          <cell r="A70" t="str">
            <v>CUS00112</v>
          </cell>
          <cell r="D70">
            <v>40</v>
          </cell>
          <cell r="G70">
            <v>752.98</v>
          </cell>
        </row>
        <row r="71">
          <cell r="D71">
            <v>23</v>
          </cell>
          <cell r="G71">
            <v>1436.28</v>
          </cell>
        </row>
        <row r="72">
          <cell r="A72" t="str">
            <v>CUS00098</v>
          </cell>
          <cell r="D72">
            <v>47</v>
          </cell>
          <cell r="G72">
            <v>1041.8399999999999</v>
          </cell>
        </row>
        <row r="73">
          <cell r="A73" t="str">
            <v>CUS00100</v>
          </cell>
          <cell r="D73">
            <v>64</v>
          </cell>
          <cell r="G73">
            <v>923.87</v>
          </cell>
        </row>
        <row r="74">
          <cell r="A74" t="str">
            <v>CUS00099</v>
          </cell>
          <cell r="D74">
            <v>70</v>
          </cell>
          <cell r="G74">
            <v>176.95</v>
          </cell>
        </row>
        <row r="75">
          <cell r="A75" t="str">
            <v>CUS00069</v>
          </cell>
          <cell r="D75">
            <v>24</v>
          </cell>
          <cell r="G75">
            <v>895.53</v>
          </cell>
        </row>
        <row r="76">
          <cell r="A76" t="str">
            <v>CUS00289</v>
          </cell>
          <cell r="D76">
            <v>41</v>
          </cell>
          <cell r="G76">
            <v>519</v>
          </cell>
        </row>
        <row r="77">
          <cell r="A77" t="str">
            <v>CUS00108</v>
          </cell>
          <cell r="D77">
            <v>52</v>
          </cell>
          <cell r="G77">
            <v>267.12</v>
          </cell>
        </row>
        <row r="78">
          <cell r="A78" t="str">
            <v>CUS00121</v>
          </cell>
          <cell r="D78">
            <v>38</v>
          </cell>
          <cell r="G78">
            <v>890.48</v>
          </cell>
        </row>
        <row r="79">
          <cell r="A79" t="str">
            <v>CUS00242</v>
          </cell>
          <cell r="D79">
            <v>20</v>
          </cell>
          <cell r="G79">
            <v>836.33</v>
          </cell>
        </row>
        <row r="80">
          <cell r="A80" t="str">
            <v>CUS00048</v>
          </cell>
          <cell r="D80">
            <v>36</v>
          </cell>
          <cell r="G80">
            <v>790.75</v>
          </cell>
        </row>
        <row r="81">
          <cell r="A81" t="str">
            <v>CUS00238</v>
          </cell>
          <cell r="D81">
            <v>62</v>
          </cell>
          <cell r="G81">
            <v>868.55</v>
          </cell>
        </row>
        <row r="82">
          <cell r="A82" t="str">
            <v>CUS00063</v>
          </cell>
          <cell r="D82">
            <v>62</v>
          </cell>
          <cell r="G82">
            <v>1075.0899999999999</v>
          </cell>
        </row>
        <row r="83">
          <cell r="A83" t="str">
            <v>CUS00091</v>
          </cell>
          <cell r="D83">
            <v>20</v>
          </cell>
          <cell r="G83">
            <v>706.35</v>
          </cell>
        </row>
        <row r="84">
          <cell r="A84" t="str">
            <v>CUS00094</v>
          </cell>
          <cell r="D84">
            <v>55</v>
          </cell>
          <cell r="G84">
            <v>923.87</v>
          </cell>
        </row>
        <row r="85">
          <cell r="A85" t="str">
            <v>CUS00274</v>
          </cell>
          <cell r="D85">
            <v>32</v>
          </cell>
          <cell r="G85">
            <v>453.74</v>
          </cell>
        </row>
        <row r="86">
          <cell r="A86" t="str">
            <v>CUS00055</v>
          </cell>
          <cell r="D86">
            <v>45</v>
          </cell>
          <cell r="G86">
            <v>1316.09</v>
          </cell>
        </row>
        <row r="87">
          <cell r="A87" t="str">
            <v>CUS00057</v>
          </cell>
          <cell r="D87">
            <v>46</v>
          </cell>
          <cell r="G87">
            <v>921.62</v>
          </cell>
        </row>
        <row r="88">
          <cell r="A88" t="str">
            <v>CUS00076</v>
          </cell>
          <cell r="D88">
            <v>62</v>
          </cell>
          <cell r="G88">
            <v>870.42</v>
          </cell>
        </row>
        <row r="89">
          <cell r="A89" t="str">
            <v>CUS00039</v>
          </cell>
          <cell r="D89">
            <v>63</v>
          </cell>
          <cell r="G89">
            <v>453.51</v>
          </cell>
        </row>
        <row r="90">
          <cell r="A90" t="str">
            <v>CUS00280</v>
          </cell>
          <cell r="D90">
            <v>32</v>
          </cell>
          <cell r="G90">
            <v>1155.3399999999999</v>
          </cell>
        </row>
        <row r="91">
          <cell r="A91" t="str">
            <v>CUS00022</v>
          </cell>
          <cell r="D91">
            <v>55</v>
          </cell>
          <cell r="G91">
            <v>256.8</v>
          </cell>
        </row>
        <row r="92">
          <cell r="A92" t="str">
            <v>CUS00071</v>
          </cell>
          <cell r="D92">
            <v>48</v>
          </cell>
          <cell r="G92">
            <v>923.87</v>
          </cell>
        </row>
        <row r="93">
          <cell r="A93" t="str">
            <v>CUS00232</v>
          </cell>
          <cell r="D93">
            <v>61</v>
          </cell>
          <cell r="G93">
            <v>838.84</v>
          </cell>
        </row>
        <row r="94">
          <cell r="A94" t="str">
            <v>CUS00261</v>
          </cell>
          <cell r="D94">
            <v>38</v>
          </cell>
          <cell r="G94">
            <v>919.61</v>
          </cell>
        </row>
        <row r="95">
          <cell r="A95" t="str">
            <v>CUS00257</v>
          </cell>
          <cell r="D95">
            <v>43</v>
          </cell>
          <cell r="G95">
            <v>885.26</v>
          </cell>
        </row>
        <row r="96">
          <cell r="A96" t="str">
            <v>CUS00105</v>
          </cell>
          <cell r="D96">
            <v>32</v>
          </cell>
          <cell r="G96">
            <v>464.6</v>
          </cell>
        </row>
        <row r="97">
          <cell r="A97" t="str">
            <v>CUS00049</v>
          </cell>
          <cell r="D97">
            <v>44</v>
          </cell>
          <cell r="G97">
            <v>648.57000000000005</v>
          </cell>
        </row>
        <row r="98">
          <cell r="A98" t="str">
            <v>CUS00131</v>
          </cell>
          <cell r="D98">
            <v>29</v>
          </cell>
          <cell r="G98">
            <v>756.75</v>
          </cell>
        </row>
        <row r="99">
          <cell r="A99" t="str">
            <v>CUS00007</v>
          </cell>
          <cell r="D99">
            <v>45</v>
          </cell>
          <cell r="G99">
            <v>660.22</v>
          </cell>
        </row>
        <row r="100">
          <cell r="A100" t="str">
            <v>CUS00084</v>
          </cell>
          <cell r="D100">
            <v>62</v>
          </cell>
          <cell r="G100">
            <v>275.93</v>
          </cell>
        </row>
        <row r="101">
          <cell r="A101" t="str">
            <v>CUS00173</v>
          </cell>
          <cell r="D101">
            <v>59</v>
          </cell>
          <cell r="G101">
            <v>1032.69</v>
          </cell>
        </row>
        <row r="102">
          <cell r="A102" t="str">
            <v>CUS00088</v>
          </cell>
          <cell r="D102">
            <v>26</v>
          </cell>
          <cell r="G102">
            <v>648.44000000000005</v>
          </cell>
        </row>
        <row r="103">
          <cell r="A103" t="str">
            <v>CUS00258</v>
          </cell>
          <cell r="D103">
            <v>37</v>
          </cell>
          <cell r="G103">
            <v>108.23</v>
          </cell>
        </row>
        <row r="104">
          <cell r="A104" t="str">
            <v>CUS00104</v>
          </cell>
          <cell r="D104">
            <v>43</v>
          </cell>
          <cell r="G104">
            <v>1137.1600000000001</v>
          </cell>
        </row>
        <row r="105">
          <cell r="A105" t="str">
            <v>CUS00256</v>
          </cell>
          <cell r="D105">
            <v>21</v>
          </cell>
          <cell r="G105">
            <v>152.91999999999999</v>
          </cell>
        </row>
        <row r="106">
          <cell r="A106" t="str">
            <v>CUS00142</v>
          </cell>
          <cell r="D106">
            <v>24</v>
          </cell>
          <cell r="G106">
            <v>1421.07</v>
          </cell>
        </row>
        <row r="107">
          <cell r="A107" t="str">
            <v>CUS00134</v>
          </cell>
          <cell r="D107">
            <v>38</v>
          </cell>
          <cell r="G107">
            <v>444.76</v>
          </cell>
        </row>
        <row r="108">
          <cell r="A108" t="str">
            <v>CUS00201</v>
          </cell>
          <cell r="D108">
            <v>55</v>
          </cell>
          <cell r="G108">
            <v>691.63</v>
          </cell>
        </row>
        <row r="109">
          <cell r="A109" t="str">
            <v>CUS00081</v>
          </cell>
          <cell r="D109">
            <v>61</v>
          </cell>
          <cell r="G109">
            <v>785.37</v>
          </cell>
        </row>
        <row r="110">
          <cell r="A110" t="str">
            <v>CUS00267</v>
          </cell>
          <cell r="D110">
            <v>43</v>
          </cell>
          <cell r="G110">
            <v>856.56</v>
          </cell>
        </row>
        <row r="111">
          <cell r="A111" t="str">
            <v>CUS00119</v>
          </cell>
          <cell r="D111">
            <v>65</v>
          </cell>
          <cell r="G111">
            <v>167.65</v>
          </cell>
        </row>
        <row r="112">
          <cell r="A112" t="str">
            <v>CUS00246</v>
          </cell>
          <cell r="D112">
            <v>41</v>
          </cell>
          <cell r="G112">
            <v>1064.4100000000001</v>
          </cell>
        </row>
        <row r="113">
          <cell r="D113">
            <v>32</v>
          </cell>
          <cell r="G113">
            <v>839.71</v>
          </cell>
        </row>
        <row r="114">
          <cell r="A114" t="str">
            <v>CUS00004</v>
          </cell>
          <cell r="D114">
            <v>42</v>
          </cell>
          <cell r="G114">
            <v>481.21</v>
          </cell>
        </row>
        <row r="115">
          <cell r="A115" t="str">
            <v>CUS00183</v>
          </cell>
          <cell r="D115">
            <v>18</v>
          </cell>
          <cell r="G115">
            <v>923.87</v>
          </cell>
        </row>
        <row r="116">
          <cell r="A116" t="str">
            <v>CUS00240</v>
          </cell>
          <cell r="D116">
            <v>22</v>
          </cell>
          <cell r="G116">
            <v>923.87</v>
          </cell>
        </row>
        <row r="117">
          <cell r="A117" t="str">
            <v>CUS00086</v>
          </cell>
          <cell r="D117">
            <v>123</v>
          </cell>
          <cell r="G117">
            <v>818.19</v>
          </cell>
        </row>
        <row r="118">
          <cell r="A118" t="str">
            <v>CUS00235</v>
          </cell>
          <cell r="D118">
            <v>19</v>
          </cell>
          <cell r="G118">
            <v>923.87</v>
          </cell>
        </row>
        <row r="119">
          <cell r="A119" t="str">
            <v>CUS00122</v>
          </cell>
          <cell r="D119">
            <v>60</v>
          </cell>
          <cell r="G119">
            <v>944.96</v>
          </cell>
        </row>
        <row r="120">
          <cell r="D120">
            <v>50</v>
          </cell>
          <cell r="G120">
            <v>1672.71</v>
          </cell>
        </row>
        <row r="121">
          <cell r="A121" t="str">
            <v>CUS00128</v>
          </cell>
          <cell r="D121">
            <v>21</v>
          </cell>
          <cell r="G121">
            <v>665.8</v>
          </cell>
        </row>
        <row r="122">
          <cell r="A122" t="str">
            <v>CUS00037</v>
          </cell>
          <cell r="D122">
            <v>61</v>
          </cell>
          <cell r="G122">
            <v>183.1</v>
          </cell>
        </row>
        <row r="123">
          <cell r="A123" t="str">
            <v>CUS00152</v>
          </cell>
          <cell r="D123">
            <v>44</v>
          </cell>
          <cell r="G123">
            <v>961.13</v>
          </cell>
        </row>
        <row r="124">
          <cell r="A124" t="str">
            <v>CUS00222</v>
          </cell>
          <cell r="D124">
            <v>58</v>
          </cell>
          <cell r="G124">
            <v>1429.26</v>
          </cell>
        </row>
        <row r="125">
          <cell r="A125" t="str">
            <v>CUS00090</v>
          </cell>
          <cell r="D125">
            <v>33</v>
          </cell>
          <cell r="G125">
            <v>1300.01</v>
          </cell>
        </row>
        <row r="126">
          <cell r="A126" t="str">
            <v>CUS00014</v>
          </cell>
          <cell r="D126">
            <v>49</v>
          </cell>
          <cell r="G126">
            <v>1610.81</v>
          </cell>
        </row>
        <row r="127">
          <cell r="A127" t="str">
            <v>CUS00203</v>
          </cell>
          <cell r="D127">
            <v>35</v>
          </cell>
          <cell r="G127">
            <v>508.66</v>
          </cell>
        </row>
        <row r="128">
          <cell r="A128" t="str">
            <v>CUS00219</v>
          </cell>
          <cell r="D128">
            <v>42</v>
          </cell>
          <cell r="G128">
            <v>712.55</v>
          </cell>
        </row>
        <row r="129">
          <cell r="A129" t="str">
            <v>CUS00110</v>
          </cell>
          <cell r="D129">
            <v>50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G130">
            <v>1126.8900000000001</v>
          </cell>
        </row>
        <row r="131">
          <cell r="A131" t="str">
            <v>CUS00148</v>
          </cell>
          <cell r="D131">
            <v>46</v>
          </cell>
          <cell r="G131">
            <v>895.93</v>
          </cell>
        </row>
        <row r="132">
          <cell r="A132" t="str">
            <v>CUS00079</v>
          </cell>
          <cell r="D132">
            <v>39</v>
          </cell>
          <cell r="G132">
            <v>1386</v>
          </cell>
        </row>
        <row r="133">
          <cell r="A133" t="str">
            <v>CUS00118</v>
          </cell>
          <cell r="D133">
            <v>60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G134">
            <v>1481.76</v>
          </cell>
        </row>
        <row r="135">
          <cell r="A135" t="str">
            <v>CUS00202</v>
          </cell>
          <cell r="D135">
            <v>44</v>
          </cell>
          <cell r="G135">
            <v>828.77</v>
          </cell>
        </row>
        <row r="136">
          <cell r="A136" t="str">
            <v>CUS00132</v>
          </cell>
          <cell r="D136">
            <v>41</v>
          </cell>
          <cell r="G136">
            <v>721.11</v>
          </cell>
        </row>
        <row r="137">
          <cell r="A137" t="str">
            <v>CUS00087</v>
          </cell>
          <cell r="D137">
            <v>70</v>
          </cell>
          <cell r="G137">
            <v>911.36</v>
          </cell>
        </row>
        <row r="138">
          <cell r="A138" t="str">
            <v>CUS00021</v>
          </cell>
          <cell r="D138">
            <v>19</v>
          </cell>
          <cell r="G138">
            <v>1614.28</v>
          </cell>
        </row>
        <row r="139">
          <cell r="A139" t="str">
            <v>CUS00228</v>
          </cell>
          <cell r="D139">
            <v>59</v>
          </cell>
          <cell r="G139">
            <v>1156.93</v>
          </cell>
        </row>
        <row r="140">
          <cell r="A140" t="str">
            <v>CUS00269</v>
          </cell>
          <cell r="D140">
            <v>65</v>
          </cell>
          <cell r="G140">
            <v>1425.97</v>
          </cell>
        </row>
        <row r="141">
          <cell r="A141" t="str">
            <v>CUS00248</v>
          </cell>
          <cell r="D141">
            <v>30</v>
          </cell>
          <cell r="G141">
            <v>677.55</v>
          </cell>
        </row>
        <row r="142">
          <cell r="A142" t="str">
            <v>CUS00153</v>
          </cell>
          <cell r="D142">
            <v>52</v>
          </cell>
          <cell r="G142">
            <v>916.62</v>
          </cell>
        </row>
        <row r="143">
          <cell r="A143" t="str">
            <v>CUS00215</v>
          </cell>
          <cell r="D143">
            <v>31</v>
          </cell>
          <cell r="G143">
            <v>1013.28</v>
          </cell>
        </row>
        <row r="144">
          <cell r="A144" t="str">
            <v>CUS00281</v>
          </cell>
          <cell r="D144">
            <v>34</v>
          </cell>
          <cell r="G144">
            <v>656.1</v>
          </cell>
        </row>
        <row r="145">
          <cell r="A145" t="str">
            <v>CUS00169</v>
          </cell>
          <cell r="D145">
            <v>44</v>
          </cell>
          <cell r="G145">
            <v>667.7</v>
          </cell>
        </row>
        <row r="146">
          <cell r="A146" t="str">
            <v>CUS00264</v>
          </cell>
          <cell r="D146">
            <v>68</v>
          </cell>
          <cell r="G146">
            <v>969.34</v>
          </cell>
        </row>
        <row r="147">
          <cell r="D147">
            <v>50</v>
          </cell>
          <cell r="G147">
            <v>843.99</v>
          </cell>
        </row>
        <row r="148">
          <cell r="A148" t="str">
            <v>CUS00154</v>
          </cell>
          <cell r="D148">
            <v>60</v>
          </cell>
          <cell r="G148">
            <v>1332.38</v>
          </cell>
        </row>
        <row r="149">
          <cell r="A149" t="str">
            <v>CUS00116</v>
          </cell>
          <cell r="D149">
            <v>70</v>
          </cell>
          <cell r="G149">
            <v>1108.6199999999999</v>
          </cell>
        </row>
        <row r="150">
          <cell r="A150" t="str">
            <v>CUS00288</v>
          </cell>
          <cell r="D150">
            <v>44</v>
          </cell>
          <cell r="G150">
            <v>897.29</v>
          </cell>
        </row>
        <row r="151">
          <cell r="A151" t="str">
            <v>CUS00125</v>
          </cell>
          <cell r="D151">
            <v>35</v>
          </cell>
          <cell r="G151">
            <v>265.52</v>
          </cell>
        </row>
        <row r="152">
          <cell r="A152" t="str">
            <v>CUS00047</v>
          </cell>
          <cell r="D152">
            <v>43</v>
          </cell>
          <cell r="G152">
            <v>316.74</v>
          </cell>
        </row>
        <row r="153">
          <cell r="A153" t="str">
            <v>CUS00270</v>
          </cell>
          <cell r="D153">
            <v>44</v>
          </cell>
          <cell r="G153">
            <v>438.08</v>
          </cell>
        </row>
        <row r="154">
          <cell r="A154" t="str">
            <v>CUS00085</v>
          </cell>
          <cell r="D154">
            <v>62</v>
          </cell>
          <cell r="G154">
            <v>1155.95</v>
          </cell>
        </row>
        <row r="155">
          <cell r="A155" t="str">
            <v>CUS00030</v>
          </cell>
          <cell r="D155">
            <v>28</v>
          </cell>
          <cell r="G155">
            <v>796.52</v>
          </cell>
        </row>
        <row r="156">
          <cell r="A156" t="str">
            <v>CUS00237</v>
          </cell>
          <cell r="D156">
            <v>44</v>
          </cell>
          <cell r="G156">
            <v>1200.17</v>
          </cell>
        </row>
        <row r="157">
          <cell r="A157" t="str">
            <v>CUS00041</v>
          </cell>
          <cell r="D157">
            <v>65</v>
          </cell>
          <cell r="G157">
            <v>1996.92</v>
          </cell>
        </row>
        <row r="158">
          <cell r="A158" t="str">
            <v>CUS00011</v>
          </cell>
          <cell r="D158">
            <v>70</v>
          </cell>
          <cell r="G158">
            <v>896.23</v>
          </cell>
        </row>
        <row r="159">
          <cell r="A159" t="str">
            <v>CUS00042</v>
          </cell>
          <cell r="D159">
            <v>44</v>
          </cell>
          <cell r="G159">
            <v>295.45</v>
          </cell>
        </row>
        <row r="160">
          <cell r="A160" t="str">
            <v>CUS00210</v>
          </cell>
          <cell r="D160">
            <v>52</v>
          </cell>
          <cell r="G160">
            <v>862.99</v>
          </cell>
        </row>
        <row r="161">
          <cell r="D161">
            <v>53</v>
          </cell>
          <cell r="G161">
            <v>947.64</v>
          </cell>
        </row>
        <row r="162">
          <cell r="A162" t="str">
            <v>CUS00147</v>
          </cell>
          <cell r="D162">
            <v>36</v>
          </cell>
          <cell r="G162">
            <v>265.83999999999997</v>
          </cell>
        </row>
        <row r="163">
          <cell r="A163" t="str">
            <v>CUS00066</v>
          </cell>
          <cell r="D163">
            <v>52</v>
          </cell>
          <cell r="G163">
            <v>728.45</v>
          </cell>
        </row>
        <row r="164">
          <cell r="A164" t="str">
            <v>CUS00187</v>
          </cell>
          <cell r="D164">
            <v>26</v>
          </cell>
          <cell r="G164">
            <v>463.46</v>
          </cell>
        </row>
        <row r="165">
          <cell r="A165" t="str">
            <v>CUS00160</v>
          </cell>
          <cell r="D165">
            <v>42</v>
          </cell>
          <cell r="G165">
            <v>1234.8800000000001</v>
          </cell>
        </row>
        <row r="166">
          <cell r="A166" t="str">
            <v>CUS00162</v>
          </cell>
          <cell r="D166">
            <v>29</v>
          </cell>
          <cell r="G166">
            <v>790.7</v>
          </cell>
        </row>
        <row r="167">
          <cell r="A167" t="str">
            <v>CUS00175</v>
          </cell>
          <cell r="D167">
            <v>59</v>
          </cell>
          <cell r="G167">
            <v>415.78</v>
          </cell>
        </row>
        <row r="168">
          <cell r="A168" t="str">
            <v>CUS00208</v>
          </cell>
          <cell r="D168">
            <v>66</v>
          </cell>
          <cell r="G168">
            <v>872.34</v>
          </cell>
        </row>
        <row r="169">
          <cell r="A169" t="str">
            <v>CUS00045</v>
          </cell>
          <cell r="D169">
            <v>60</v>
          </cell>
          <cell r="G169">
            <v>395.84</v>
          </cell>
        </row>
        <row r="170">
          <cell r="A170" t="str">
            <v>CUS00271</v>
          </cell>
          <cell r="D170">
            <v>48</v>
          </cell>
          <cell r="G170">
            <v>247.93</v>
          </cell>
        </row>
        <row r="171">
          <cell r="A171" t="str">
            <v>CUS00135</v>
          </cell>
          <cell r="D171">
            <v>55</v>
          </cell>
          <cell r="G171">
            <v>1045.8599999999999</v>
          </cell>
        </row>
        <row r="172">
          <cell r="A172" t="str">
            <v>CUS00140</v>
          </cell>
          <cell r="D172">
            <v>30</v>
          </cell>
          <cell r="G172">
            <v>1396.84</v>
          </cell>
        </row>
        <row r="173">
          <cell r="A173" t="str">
            <v>CUS00212</v>
          </cell>
          <cell r="D173">
            <v>31</v>
          </cell>
          <cell r="G173">
            <v>1086.6400000000001</v>
          </cell>
        </row>
        <row r="174">
          <cell r="A174" t="str">
            <v>CUS00230</v>
          </cell>
          <cell r="D174">
            <v>62</v>
          </cell>
          <cell r="G174">
            <v>923.87</v>
          </cell>
        </row>
        <row r="175">
          <cell r="A175" t="str">
            <v>CUS00254</v>
          </cell>
          <cell r="D175">
            <v>28</v>
          </cell>
          <cell r="G175">
            <v>797.52</v>
          </cell>
        </row>
        <row r="176">
          <cell r="A176" t="str">
            <v>CUS00143</v>
          </cell>
          <cell r="D176">
            <v>26</v>
          </cell>
          <cell r="G176">
            <v>374.63</v>
          </cell>
        </row>
        <row r="177">
          <cell r="A177" t="str">
            <v>CUS00265</v>
          </cell>
          <cell r="D177">
            <v>33</v>
          </cell>
          <cell r="G177">
            <v>1651.76</v>
          </cell>
        </row>
        <row r="178">
          <cell r="A178" t="str">
            <v>CUS00092</v>
          </cell>
          <cell r="D178">
            <v>69</v>
          </cell>
          <cell r="G178">
            <v>853.86</v>
          </cell>
        </row>
        <row r="179">
          <cell r="A179" t="str">
            <v>CUS00050</v>
          </cell>
          <cell r="D179">
            <v>18</v>
          </cell>
          <cell r="G179">
            <v>1210.32</v>
          </cell>
        </row>
        <row r="180">
          <cell r="A180" t="str">
            <v>CUS00198</v>
          </cell>
          <cell r="D180">
            <v>33</v>
          </cell>
          <cell r="G180">
            <v>624.91999999999996</v>
          </cell>
        </row>
        <row r="181">
          <cell r="A181" t="str">
            <v>CUS00123</v>
          </cell>
          <cell r="D181">
            <v>66</v>
          </cell>
          <cell r="G181">
            <v>1229.76</v>
          </cell>
        </row>
        <row r="182">
          <cell r="A182" t="str">
            <v>CUS00012</v>
          </cell>
          <cell r="D182">
            <v>65</v>
          </cell>
          <cell r="G182">
            <v>481.99</v>
          </cell>
        </row>
        <row r="183">
          <cell r="A183" t="str">
            <v>CUS00056</v>
          </cell>
          <cell r="D183">
            <v>67</v>
          </cell>
          <cell r="G183">
            <v>638.53</v>
          </cell>
        </row>
        <row r="184">
          <cell r="A184" t="str">
            <v>CUS00156</v>
          </cell>
          <cell r="D184">
            <v>37</v>
          </cell>
          <cell r="G184">
            <v>1509.47</v>
          </cell>
        </row>
        <row r="185">
          <cell r="D185">
            <v>41</v>
          </cell>
          <cell r="G185">
            <v>775.19</v>
          </cell>
        </row>
        <row r="186">
          <cell r="A186" t="str">
            <v>CUS00262</v>
          </cell>
          <cell r="D186">
            <v>67</v>
          </cell>
          <cell r="G186">
            <v>599.34</v>
          </cell>
        </row>
        <row r="187">
          <cell r="A187" t="str">
            <v>CUS00266</v>
          </cell>
          <cell r="D187">
            <v>44</v>
          </cell>
          <cell r="G187">
            <v>175.19</v>
          </cell>
        </row>
        <row r="188">
          <cell r="D188">
            <v>21</v>
          </cell>
          <cell r="G188">
            <v>748.35</v>
          </cell>
        </row>
        <row r="189">
          <cell r="A189" t="str">
            <v>CUS00214</v>
          </cell>
          <cell r="D189">
            <v>56</v>
          </cell>
          <cell r="G189">
            <v>924.95</v>
          </cell>
        </row>
        <row r="190">
          <cell r="A190" t="str">
            <v>CUS00166</v>
          </cell>
          <cell r="D190">
            <v>41</v>
          </cell>
          <cell r="G190">
            <v>853.76</v>
          </cell>
        </row>
        <row r="191">
          <cell r="A191" t="str">
            <v>CUS00006</v>
          </cell>
          <cell r="D191">
            <v>40</v>
          </cell>
          <cell r="G191">
            <v>790.38</v>
          </cell>
        </row>
        <row r="192">
          <cell r="A192" t="str">
            <v>CUS00046</v>
          </cell>
          <cell r="D192">
            <v>38</v>
          </cell>
          <cell r="G192">
            <v>455.83</v>
          </cell>
        </row>
        <row r="193">
          <cell r="A193" t="str">
            <v>CUS00167</v>
          </cell>
          <cell r="D193">
            <v>37</v>
          </cell>
          <cell r="G193">
            <v>810.64</v>
          </cell>
        </row>
        <row r="194">
          <cell r="A194" t="str">
            <v>CUS00188</v>
          </cell>
          <cell r="D194">
            <v>30</v>
          </cell>
          <cell r="G194">
            <v>128.41999999999999</v>
          </cell>
        </row>
        <row r="195">
          <cell r="A195" t="str">
            <v>CUS00010</v>
          </cell>
          <cell r="D195">
            <v>55</v>
          </cell>
          <cell r="G195">
            <v>1956.52</v>
          </cell>
        </row>
        <row r="196">
          <cell r="A196" t="str">
            <v>CUS00136</v>
          </cell>
          <cell r="D196">
            <v>32</v>
          </cell>
          <cell r="G196">
            <v>845.86</v>
          </cell>
        </row>
        <row r="197">
          <cell r="A197" t="str">
            <v>CUS00199</v>
          </cell>
          <cell r="D197">
            <v>65</v>
          </cell>
          <cell r="G197">
            <v>306.45999999999998</v>
          </cell>
        </row>
        <row r="198">
          <cell r="A198" t="str">
            <v>CUS00008</v>
          </cell>
          <cell r="D198">
            <v>60</v>
          </cell>
          <cell r="G198">
            <v>923.87</v>
          </cell>
        </row>
        <row r="199">
          <cell r="A199" t="str">
            <v>CUS00001</v>
          </cell>
          <cell r="D199">
            <v>39</v>
          </cell>
          <cell r="G199">
            <v>923.87</v>
          </cell>
        </row>
        <row r="200">
          <cell r="A200" t="str">
            <v>CUS00157</v>
          </cell>
          <cell r="D200">
            <v>51</v>
          </cell>
          <cell r="G200">
            <v>785.95</v>
          </cell>
        </row>
        <row r="201">
          <cell r="A201" t="str">
            <v>CUS00206</v>
          </cell>
          <cell r="D201">
            <v>20</v>
          </cell>
          <cell r="G201">
            <v>922.87</v>
          </cell>
        </row>
        <row r="202">
          <cell r="A202" t="str">
            <v>CUS00286</v>
          </cell>
          <cell r="D202">
            <v>18</v>
          </cell>
          <cell r="G202">
            <v>728.06</v>
          </cell>
        </row>
        <row r="203">
          <cell r="A203" t="str">
            <v>CUS00189</v>
          </cell>
          <cell r="D203">
            <v>28</v>
          </cell>
          <cell r="G203">
            <v>527.12</v>
          </cell>
        </row>
        <row r="204">
          <cell r="A204" t="str">
            <v>CUS00027</v>
          </cell>
          <cell r="D204">
            <v>44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G205">
            <v>923.87</v>
          </cell>
        </row>
        <row r="206">
          <cell r="A206" t="str">
            <v>CUS00096</v>
          </cell>
          <cell r="D206">
            <v>33</v>
          </cell>
          <cell r="G206">
            <v>508.34</v>
          </cell>
        </row>
        <row r="207">
          <cell r="A207" t="str">
            <v>CUS00130</v>
          </cell>
          <cell r="D207">
            <v>55</v>
          </cell>
          <cell r="G207">
            <v>1067.9000000000001</v>
          </cell>
        </row>
        <row r="208">
          <cell r="A208" t="str">
            <v>CUS00107</v>
          </cell>
          <cell r="D208">
            <v>46</v>
          </cell>
          <cell r="G208">
            <v>528.86</v>
          </cell>
        </row>
        <row r="209">
          <cell r="A209" t="str">
            <v>CUS00197</v>
          </cell>
          <cell r="D209">
            <v>48</v>
          </cell>
          <cell r="G209">
            <v>930.02</v>
          </cell>
        </row>
        <row r="210">
          <cell r="A210" t="str">
            <v>CUS00177</v>
          </cell>
          <cell r="D210">
            <v>57</v>
          </cell>
          <cell r="G210">
            <v>253.15</v>
          </cell>
        </row>
        <row r="211">
          <cell r="A211" t="str">
            <v>CUS00249</v>
          </cell>
          <cell r="D211">
            <v>42</v>
          </cell>
          <cell r="G211">
            <v>855.02</v>
          </cell>
        </row>
        <row r="212">
          <cell r="A212" t="str">
            <v>CUS00164</v>
          </cell>
          <cell r="D212">
            <v>58</v>
          </cell>
          <cell r="G212">
            <v>1281</v>
          </cell>
        </row>
        <row r="213">
          <cell r="A213" t="str">
            <v>CUS00051</v>
          </cell>
          <cell r="D213">
            <v>30</v>
          </cell>
          <cell r="G213">
            <v>1164.05</v>
          </cell>
        </row>
        <row r="214">
          <cell r="A214" t="str">
            <v>CUS00003</v>
          </cell>
          <cell r="D214">
            <v>67</v>
          </cell>
          <cell r="G214">
            <v>1170.92</v>
          </cell>
        </row>
        <row r="215">
          <cell r="A215" t="str">
            <v>CUS00272</v>
          </cell>
          <cell r="D215">
            <v>39</v>
          </cell>
          <cell r="G215">
            <v>1021.22</v>
          </cell>
        </row>
        <row r="216">
          <cell r="A216" t="str">
            <v>CUS00216</v>
          </cell>
          <cell r="D216">
            <v>19</v>
          </cell>
          <cell r="G216">
            <v>1315.27</v>
          </cell>
        </row>
        <row r="217">
          <cell r="A217" t="str">
            <v>CUS00052</v>
          </cell>
          <cell r="D217">
            <v>63</v>
          </cell>
          <cell r="G217">
            <v>644.80999999999995</v>
          </cell>
        </row>
        <row r="218">
          <cell r="A218" t="str">
            <v>CUS00017</v>
          </cell>
          <cell r="D218">
            <v>33</v>
          </cell>
          <cell r="G218">
            <v>854.23</v>
          </cell>
        </row>
        <row r="219">
          <cell r="A219" t="str">
            <v>CUS00285</v>
          </cell>
          <cell r="D219">
            <v>22</v>
          </cell>
          <cell r="G219">
            <v>1371.98</v>
          </cell>
        </row>
        <row r="220">
          <cell r="A220" t="str">
            <v>CUS00106</v>
          </cell>
          <cell r="D220">
            <v>48</v>
          </cell>
          <cell r="G220">
            <v>558.07000000000005</v>
          </cell>
        </row>
        <row r="221">
          <cell r="A221" t="str">
            <v>CUS00178</v>
          </cell>
          <cell r="D221">
            <v>32</v>
          </cell>
          <cell r="G221">
            <v>1069.08</v>
          </cell>
        </row>
        <row r="222">
          <cell r="A222" t="str">
            <v>CUS00163</v>
          </cell>
          <cell r="D222">
            <v>53</v>
          </cell>
          <cell r="G222">
            <v>778.23</v>
          </cell>
        </row>
        <row r="223">
          <cell r="A223" t="str">
            <v>CUS00171</v>
          </cell>
          <cell r="D223">
            <v>39</v>
          </cell>
          <cell r="G223">
            <v>216.93</v>
          </cell>
        </row>
        <row r="224">
          <cell r="A224" t="str">
            <v>CUS00275</v>
          </cell>
          <cell r="D224">
            <v>59</v>
          </cell>
          <cell r="G224">
            <v>794.1</v>
          </cell>
        </row>
        <row r="225">
          <cell r="A225" t="str">
            <v>CUS00013</v>
          </cell>
          <cell r="D225">
            <v>43</v>
          </cell>
          <cell r="G225">
            <v>1377.65</v>
          </cell>
        </row>
        <row r="226">
          <cell r="D226">
            <v>61</v>
          </cell>
          <cell r="G226">
            <v>1321.69</v>
          </cell>
        </row>
        <row r="227">
          <cell r="A227" t="str">
            <v>CUS00209</v>
          </cell>
          <cell r="D227">
            <v>61</v>
          </cell>
          <cell r="G227">
            <v>200.87</v>
          </cell>
        </row>
        <row r="228">
          <cell r="A228" t="str">
            <v>CUS00065</v>
          </cell>
          <cell r="D228">
            <v>52</v>
          </cell>
          <cell r="G228">
            <v>727.81</v>
          </cell>
        </row>
        <row r="229">
          <cell r="A229" t="str">
            <v>CUS00002</v>
          </cell>
          <cell r="D229">
            <v>47</v>
          </cell>
          <cell r="G229">
            <v>644.95000000000005</v>
          </cell>
        </row>
        <row r="230">
          <cell r="A230" t="str">
            <v>CUS00149</v>
          </cell>
          <cell r="D230">
            <v>55</v>
          </cell>
          <cell r="G230">
            <v>1127.6500000000001</v>
          </cell>
        </row>
        <row r="231">
          <cell r="D231">
            <v>38</v>
          </cell>
          <cell r="G231">
            <v>727.06</v>
          </cell>
        </row>
        <row r="232">
          <cell r="A232" t="str">
            <v>CUS00168</v>
          </cell>
          <cell r="D232">
            <v>40</v>
          </cell>
          <cell r="G232">
            <v>1411.64</v>
          </cell>
        </row>
        <row r="233">
          <cell r="A233" t="str">
            <v>CUS00054</v>
          </cell>
          <cell r="D233">
            <v>63</v>
          </cell>
          <cell r="G233">
            <v>891.18</v>
          </cell>
        </row>
        <row r="234">
          <cell r="A234" t="str">
            <v>CUS00194</v>
          </cell>
          <cell r="D234">
            <v>50</v>
          </cell>
          <cell r="G234">
            <v>1155.56</v>
          </cell>
        </row>
        <row r="235">
          <cell r="A235" t="str">
            <v>CUS00059</v>
          </cell>
          <cell r="D235">
            <v>42</v>
          </cell>
          <cell r="G235">
            <v>116.1</v>
          </cell>
        </row>
        <row r="236">
          <cell r="A236" t="str">
            <v>CUS00290</v>
          </cell>
          <cell r="D236">
            <v>36</v>
          </cell>
          <cell r="G236">
            <v>749.33</v>
          </cell>
        </row>
        <row r="237">
          <cell r="D237">
            <v>63</v>
          </cell>
          <cell r="G237">
            <v>732.86</v>
          </cell>
        </row>
        <row r="238">
          <cell r="A238" t="str">
            <v>CUS00109</v>
          </cell>
          <cell r="D238">
            <v>43</v>
          </cell>
          <cell r="G238">
            <v>1263.1099999999999</v>
          </cell>
        </row>
        <row r="239">
          <cell r="A239" t="str">
            <v>CUS00234</v>
          </cell>
          <cell r="D239">
            <v>40</v>
          </cell>
          <cell r="G239">
            <v>721.99</v>
          </cell>
        </row>
        <row r="240">
          <cell r="A240" t="str">
            <v>CUS00067</v>
          </cell>
          <cell r="D240">
            <v>19</v>
          </cell>
          <cell r="G240">
            <v>169.21</v>
          </cell>
        </row>
        <row r="241">
          <cell r="A241" t="str">
            <v>CUS00276</v>
          </cell>
          <cell r="D241">
            <v>20</v>
          </cell>
          <cell r="G241">
            <v>934.22</v>
          </cell>
        </row>
        <row r="242">
          <cell r="A242" t="str">
            <v>CUS00291</v>
          </cell>
          <cell r="D242">
            <v>19</v>
          </cell>
          <cell r="G242">
            <v>857.27</v>
          </cell>
        </row>
        <row r="243">
          <cell r="A243" t="str">
            <v>CUS00015</v>
          </cell>
          <cell r="D243">
            <v>70</v>
          </cell>
          <cell r="G243">
            <v>917.25</v>
          </cell>
        </row>
        <row r="244">
          <cell r="A244" t="str">
            <v>CUS00158</v>
          </cell>
          <cell r="D244">
            <v>24</v>
          </cell>
          <cell r="G244">
            <v>923.87</v>
          </cell>
        </row>
        <row r="245">
          <cell r="A245" t="str">
            <v>CUS00115</v>
          </cell>
          <cell r="D245">
            <v>30</v>
          </cell>
          <cell r="G245">
            <v>746.07</v>
          </cell>
        </row>
        <row r="246">
          <cell r="A246" t="str">
            <v>CUS00213</v>
          </cell>
          <cell r="D246">
            <v>32</v>
          </cell>
          <cell r="G246">
            <v>294.94</v>
          </cell>
        </row>
        <row r="247">
          <cell r="A247" t="str">
            <v>CUS00036</v>
          </cell>
          <cell r="D247">
            <v>45</v>
          </cell>
          <cell r="G247">
            <v>1137.32</v>
          </cell>
        </row>
        <row r="248">
          <cell r="A248" t="str">
            <v>CUS00043</v>
          </cell>
          <cell r="D248">
            <v>43</v>
          </cell>
          <cell r="G248">
            <v>2015.04</v>
          </cell>
        </row>
        <row r="249">
          <cell r="A249" t="str">
            <v>CUS00089</v>
          </cell>
          <cell r="D249">
            <v>40</v>
          </cell>
          <cell r="G249">
            <v>255.08</v>
          </cell>
        </row>
        <row r="250">
          <cell r="A250" t="str">
            <v>CUS00019</v>
          </cell>
          <cell r="D250">
            <v>54</v>
          </cell>
          <cell r="G250">
            <v>1315.07</v>
          </cell>
        </row>
        <row r="251">
          <cell r="A251" t="str">
            <v>CUS00239</v>
          </cell>
          <cell r="D251">
            <v>38</v>
          </cell>
          <cell r="G251">
            <v>923.87</v>
          </cell>
        </row>
        <row r="252">
          <cell r="A252" t="str">
            <v>CUS00259</v>
          </cell>
          <cell r="D252">
            <v>21</v>
          </cell>
          <cell r="G252">
            <v>1143.8399999999999</v>
          </cell>
        </row>
        <row r="253">
          <cell r="A253" t="str">
            <v>CUS00182</v>
          </cell>
          <cell r="D253">
            <v>43</v>
          </cell>
          <cell r="G253">
            <v>1244.97</v>
          </cell>
        </row>
        <row r="254">
          <cell r="A254" t="str">
            <v>CUS00193</v>
          </cell>
          <cell r="D254">
            <v>61</v>
          </cell>
          <cell r="G254">
            <v>149.24</v>
          </cell>
        </row>
        <row r="255">
          <cell r="A255" t="str">
            <v>CUS00250</v>
          </cell>
          <cell r="D255">
            <v>29</v>
          </cell>
          <cell r="G255">
            <v>216.82</v>
          </cell>
        </row>
        <row r="256">
          <cell r="A256" t="str">
            <v>CUS00062</v>
          </cell>
          <cell r="D256">
            <v>47</v>
          </cell>
          <cell r="G256">
            <v>1390.38</v>
          </cell>
        </row>
        <row r="257">
          <cell r="A257" t="str">
            <v>CUS00247</v>
          </cell>
          <cell r="D257">
            <v>39</v>
          </cell>
          <cell r="G257">
            <v>661.3</v>
          </cell>
        </row>
        <row r="258">
          <cell r="A258" t="str">
            <v>CUS00184</v>
          </cell>
          <cell r="D258">
            <v>64</v>
          </cell>
          <cell r="G258">
            <v>1046.17</v>
          </cell>
        </row>
        <row r="259">
          <cell r="A259" t="str">
            <v>CUS00072</v>
          </cell>
          <cell r="D259">
            <v>29</v>
          </cell>
          <cell r="G259">
            <v>742.69</v>
          </cell>
        </row>
        <row r="260">
          <cell r="A260" t="str">
            <v>CUS00031</v>
          </cell>
          <cell r="D260">
            <v>28</v>
          </cell>
          <cell r="G260">
            <v>595.70000000000005</v>
          </cell>
        </row>
        <row r="261">
          <cell r="A261" t="str">
            <v>CUS00165</v>
          </cell>
          <cell r="D261">
            <v>37</v>
          </cell>
          <cell r="G261">
            <v>201.16</v>
          </cell>
        </row>
        <row r="262">
          <cell r="A262" t="str">
            <v>CUS00279</v>
          </cell>
          <cell r="D262">
            <v>18</v>
          </cell>
          <cell r="G262">
            <v>638.6</v>
          </cell>
        </row>
        <row r="263">
          <cell r="A263" t="str">
            <v>CUS00180</v>
          </cell>
          <cell r="D263">
            <v>61</v>
          </cell>
          <cell r="G263">
            <v>2091.58</v>
          </cell>
        </row>
        <row r="264">
          <cell r="A264" t="str">
            <v>CUS00221</v>
          </cell>
          <cell r="D264">
            <v>44</v>
          </cell>
          <cell r="G264">
            <v>2156</v>
          </cell>
        </row>
        <row r="265">
          <cell r="A265" t="str">
            <v>CUS00217</v>
          </cell>
          <cell r="D265">
            <v>56</v>
          </cell>
          <cell r="G265">
            <v>719.42</v>
          </cell>
        </row>
        <row r="266">
          <cell r="A266" t="str">
            <v>CUS00207</v>
          </cell>
          <cell r="D266">
            <v>52</v>
          </cell>
          <cell r="G266">
            <v>239.25</v>
          </cell>
        </row>
        <row r="267">
          <cell r="A267" t="str">
            <v>CUS00129</v>
          </cell>
          <cell r="D267">
            <v>49</v>
          </cell>
          <cell r="G267">
            <v>1071.8599999999999</v>
          </cell>
        </row>
        <row r="268">
          <cell r="A268" t="str">
            <v>CUS00074</v>
          </cell>
          <cell r="D268">
            <v>44</v>
          </cell>
          <cell r="G268">
            <v>176.82</v>
          </cell>
        </row>
        <row r="269">
          <cell r="A269" t="str">
            <v>CUS00192</v>
          </cell>
          <cell r="D269">
            <v>44</v>
          </cell>
          <cell r="G269">
            <v>671.87</v>
          </cell>
        </row>
        <row r="270">
          <cell r="A270" t="str">
            <v>CUS00144</v>
          </cell>
          <cell r="D270">
            <v>20</v>
          </cell>
          <cell r="G270">
            <v>586.78</v>
          </cell>
        </row>
        <row r="271">
          <cell r="A271" t="str">
            <v>CUS00020</v>
          </cell>
          <cell r="D271">
            <v>53</v>
          </cell>
          <cell r="G271">
            <v>901.36</v>
          </cell>
        </row>
        <row r="272">
          <cell r="A272" t="str">
            <v>CUS00284</v>
          </cell>
          <cell r="D272">
            <v>36</v>
          </cell>
          <cell r="G272">
            <v>1315.74</v>
          </cell>
        </row>
        <row r="273">
          <cell r="A273" t="str">
            <v>CUS00196</v>
          </cell>
          <cell r="D273">
            <v>33</v>
          </cell>
          <cell r="G273">
            <v>632.38</v>
          </cell>
        </row>
        <row r="274">
          <cell r="A274" t="str">
            <v>CUS00220</v>
          </cell>
          <cell r="D274">
            <v>60</v>
          </cell>
          <cell r="G274">
            <v>1087.08</v>
          </cell>
        </row>
        <row r="275">
          <cell r="A275" t="str">
            <v>CUS00095</v>
          </cell>
          <cell r="D275">
            <v>28</v>
          </cell>
          <cell r="G275">
            <v>608.08000000000004</v>
          </cell>
        </row>
        <row r="276">
          <cell r="A276" t="str">
            <v>CUS00016</v>
          </cell>
          <cell r="D276">
            <v>33</v>
          </cell>
          <cell r="G276">
            <v>647.6</v>
          </cell>
        </row>
        <row r="277">
          <cell r="A277" t="str">
            <v>CUS00029</v>
          </cell>
          <cell r="D277">
            <v>50</v>
          </cell>
          <cell r="G277">
            <v>1961.76</v>
          </cell>
        </row>
        <row r="278">
          <cell r="A278" t="str">
            <v>CUS00170</v>
          </cell>
          <cell r="D278">
            <v>107</v>
          </cell>
          <cell r="G278">
            <v>964.35</v>
          </cell>
        </row>
        <row r="279">
          <cell r="A279" t="str">
            <v>CUS00185</v>
          </cell>
          <cell r="D279">
            <v>43</v>
          </cell>
          <cell r="G279">
            <v>753.73</v>
          </cell>
        </row>
        <row r="280">
          <cell r="A280" t="str">
            <v>CUS00078</v>
          </cell>
          <cell r="D280">
            <v>69</v>
          </cell>
          <cell r="G280">
            <v>827.25</v>
          </cell>
        </row>
        <row r="281">
          <cell r="A281" t="str">
            <v>CUS00032</v>
          </cell>
          <cell r="D281">
            <v>44</v>
          </cell>
          <cell r="G281">
            <v>442.74</v>
          </cell>
        </row>
        <row r="282">
          <cell r="A282" t="str">
            <v>CUS00211</v>
          </cell>
          <cell r="D282">
            <v>66</v>
          </cell>
          <cell r="G282">
            <v>661.71</v>
          </cell>
        </row>
        <row r="283">
          <cell r="A283" t="str">
            <v>CUS00161</v>
          </cell>
          <cell r="D283">
            <v>20</v>
          </cell>
          <cell r="G283">
            <v>978.74</v>
          </cell>
        </row>
        <row r="284">
          <cell r="A284" t="str">
            <v>CUS00139</v>
          </cell>
          <cell r="D284">
            <v>27</v>
          </cell>
          <cell r="G284">
            <v>645.54999999999995</v>
          </cell>
        </row>
        <row r="285">
          <cell r="A285" t="str">
            <v>CUS00111</v>
          </cell>
          <cell r="D285">
            <v>48</v>
          </cell>
          <cell r="G285">
            <v>759.9</v>
          </cell>
        </row>
        <row r="286">
          <cell r="A286" t="str">
            <v>CUS00133</v>
          </cell>
          <cell r="D286">
            <v>58</v>
          </cell>
          <cell r="G286">
            <v>1828.2</v>
          </cell>
        </row>
        <row r="287">
          <cell r="A287" t="str">
            <v>CUS00024</v>
          </cell>
          <cell r="D287">
            <v>18</v>
          </cell>
          <cell r="G287">
            <v>776.84</v>
          </cell>
        </row>
        <row r="288">
          <cell r="A288" t="str">
            <v>CUS00282</v>
          </cell>
          <cell r="D288">
            <v>34</v>
          </cell>
          <cell r="G288">
            <v>1603.75</v>
          </cell>
        </row>
        <row r="289">
          <cell r="A289" t="str">
            <v>CUS00253</v>
          </cell>
          <cell r="D289">
            <v>67</v>
          </cell>
          <cell r="G289">
            <v>618.42999999999995</v>
          </cell>
        </row>
        <row r="290">
          <cell r="A290" t="str">
            <v>CUS00080</v>
          </cell>
          <cell r="D290">
            <v>32</v>
          </cell>
          <cell r="G290">
            <v>325.43</v>
          </cell>
        </row>
        <row r="291">
          <cell r="A291" t="str">
            <v>CUS00145</v>
          </cell>
          <cell r="D291">
            <v>57</v>
          </cell>
          <cell r="G291">
            <v>502.04</v>
          </cell>
        </row>
        <row r="292">
          <cell r="A292" t="str">
            <v>CUS00049</v>
          </cell>
          <cell r="D292">
            <v>33</v>
          </cell>
          <cell r="G292">
            <v>268.75</v>
          </cell>
        </row>
        <row r="293">
          <cell r="A293" t="str">
            <v>CUS00035</v>
          </cell>
          <cell r="D293">
            <v>41</v>
          </cell>
          <cell r="G293">
            <v>1249.32</v>
          </cell>
        </row>
        <row r="294">
          <cell r="A294" t="str">
            <v>CUS00097</v>
          </cell>
          <cell r="D294">
            <v>49</v>
          </cell>
          <cell r="G294">
            <v>632.26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50.677500347221" createdVersion="6" refreshedVersion="6" minRefreshableVersion="3" recordCount="293">
  <cacheSource type="worksheet">
    <worksheetSource ref="A1:K294" sheet="Clean_Data "/>
  </cacheSource>
  <cacheFields count="11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 count="9">
        <s v="Business Owner"/>
        <s v="Healthcare"/>
        <s v="Engineer"/>
        <s v="Civil Servant"/>
        <s v="student"/>
        <s v="Teacher"/>
        <s v="Self-Employed"/>
        <s v="Missing "/>
        <s v="CS"/>
      </sharedItems>
    </cacheField>
    <cacheField name="Monthly_Income" numFmtId="165">
      <sharedItems containsSemiMixedTypes="0" containsString="0" containsNumber="1" minValue="108.23" maxValue="10013" count="273">
        <n v="1455.22"/>
        <n v="1250.21"/>
        <n v="602"/>
        <n v="789.1"/>
        <n v="1964.48"/>
        <n v="1547.72"/>
        <n v="881.22"/>
        <n v="278.61"/>
        <n v="923.87"/>
        <n v="127.29"/>
        <n v="312.77"/>
        <n v="1015.92"/>
        <n v="1024.44"/>
        <n v="926.65"/>
        <n v="2040.09"/>
        <n v="836.87"/>
        <n v="579.54999999999995"/>
        <n v="954.9"/>
        <n v="526.37"/>
        <n v="1086.56"/>
        <n v="210.96"/>
        <n v="1214.6199999999999"/>
        <n v="1215.9100000000001"/>
        <n v="494.83"/>
        <n v="646.07000000000005"/>
        <n v="409.49"/>
        <n v="835.61"/>
        <n v="675.77"/>
        <n v="1800.86"/>
        <n v="1516.2"/>
        <n v="952.9"/>
        <n v="1144.9100000000001"/>
        <n v="963.66"/>
        <n v="1023.35"/>
        <n v="457.6"/>
        <n v="1300.93"/>
        <n v="707.01"/>
        <n v="265.87"/>
        <n v="523.37"/>
        <n v="1984.53"/>
        <n v="389.22"/>
        <n v="10013"/>
        <n v="1235.8900000000001"/>
        <n v="863.68"/>
        <n v="1091.0999999999999"/>
        <n v="396.11"/>
        <n v="1852.82"/>
        <n v="746.26"/>
        <n v="661.71"/>
        <n v="641.59"/>
        <n v="10006"/>
        <n v="799.53"/>
        <n v="1470.86"/>
        <n v="120.06"/>
        <n v="680.77"/>
        <n v="758.44"/>
        <n v="129.81"/>
        <n v="930.93"/>
        <n v="1318.45"/>
        <n v="920.19"/>
        <n v="998.38"/>
        <n v="622.54999999999995"/>
        <n v="781.63"/>
        <n v="1081.02"/>
        <n v="752.98"/>
        <n v="1436.28"/>
        <n v="1041.8399999999999"/>
        <n v="176.95"/>
        <n v="895.53"/>
        <n v="519"/>
        <n v="267.12"/>
        <n v="890.48"/>
        <n v="836.33"/>
        <n v="790.75"/>
        <n v="868.55"/>
        <n v="1075.0899999999999"/>
        <n v="706.35"/>
        <n v="453.74"/>
        <n v="1316.09"/>
        <n v="921.62"/>
        <n v="870.42"/>
        <n v="453.51"/>
        <n v="1155.3399999999999"/>
        <n v="256.8"/>
        <n v="838.84"/>
        <n v="919.61"/>
        <n v="885.26"/>
        <n v="464.6"/>
        <n v="648.57000000000005"/>
        <n v="756.75"/>
        <n v="660.22"/>
        <n v="275.93"/>
        <n v="1032.69"/>
        <n v="648.44000000000005"/>
        <n v="108.23"/>
        <n v="1137.1600000000001"/>
        <n v="152.91999999999999"/>
        <n v="1421.07"/>
        <n v="444.76"/>
        <n v="691.63"/>
        <n v="785.37"/>
        <n v="856.56"/>
        <n v="167.65"/>
        <n v="1064.4100000000001"/>
        <n v="839.71"/>
        <n v="481.21"/>
        <n v="818.19"/>
        <n v="944.96"/>
        <n v="1672.71"/>
        <n v="665.8"/>
        <n v="183.1"/>
        <n v="961.13"/>
        <n v="1429.26"/>
        <n v="1300.01"/>
        <n v="1610.81"/>
        <n v="508.66"/>
        <n v="712.55"/>
        <n v="1126.8900000000001"/>
        <n v="895.93"/>
        <n v="1386"/>
        <n v="1481.76"/>
        <n v="828.77"/>
        <n v="721.11"/>
        <n v="911.36"/>
        <n v="1614.28"/>
        <n v="1156.93"/>
        <n v="1425.97"/>
        <n v="677.55"/>
        <n v="916.62"/>
        <n v="1013.28"/>
        <n v="656.1"/>
        <n v="667.7"/>
        <n v="969.34"/>
        <n v="843.99"/>
        <n v="1332.38"/>
        <n v="1108.6199999999999"/>
        <n v="897.29"/>
        <n v="265.52"/>
        <n v="316.74"/>
        <n v="438.08"/>
        <n v="1155.95"/>
        <n v="796.52"/>
        <n v="1200.17"/>
        <n v="1996.92"/>
        <n v="896.23"/>
        <n v="295.45"/>
        <n v="862.99"/>
        <n v="947.64"/>
        <n v="265.83999999999997"/>
        <n v="728.45"/>
        <n v="463.46"/>
        <n v="1234.8800000000001"/>
        <n v="790.7"/>
        <n v="415.78"/>
        <n v="872.34"/>
        <n v="395.84"/>
        <n v="247.93"/>
        <n v="1045.8599999999999"/>
        <n v="1396.84"/>
        <n v="1086.6400000000001"/>
        <n v="797.52"/>
        <n v="374.63"/>
        <n v="1651.76"/>
        <n v="853.86"/>
        <n v="1210.32"/>
        <n v="624.91999999999996"/>
        <n v="1229.76"/>
        <n v="481.99"/>
        <n v="638.53"/>
        <n v="1509.47"/>
        <n v="775.19"/>
        <n v="599.34"/>
        <n v="175.19"/>
        <n v="748.35"/>
        <n v="924.95"/>
        <n v="853.76"/>
        <n v="790.38"/>
        <n v="455.83"/>
        <n v="810.64"/>
        <n v="128.41999999999999"/>
        <n v="1956.52"/>
        <n v="845.86"/>
        <n v="306.45999999999998"/>
        <n v="785.95"/>
        <n v="922.87"/>
        <n v="728.06"/>
        <n v="527.12"/>
        <n v="508.34"/>
        <n v="1067.9000000000001"/>
        <n v="528.86"/>
        <n v="930.02"/>
        <n v="253.15"/>
        <n v="855.02"/>
        <n v="1281"/>
        <n v="1164.05"/>
        <n v="1170.92"/>
        <n v="1021.22"/>
        <n v="1315.27"/>
        <n v="644.80999999999995"/>
        <n v="854.23"/>
        <n v="1371.98"/>
        <n v="558.07000000000005"/>
        <n v="1069.08"/>
        <n v="778.23"/>
        <n v="216.93"/>
        <n v="794.1"/>
        <n v="1377.65"/>
        <n v="1321.69"/>
        <n v="200.87"/>
        <n v="727.81"/>
        <n v="644.95000000000005"/>
        <n v="1127.6500000000001"/>
        <n v="727.06"/>
        <n v="1411.64"/>
        <n v="891.18"/>
        <n v="1155.56"/>
        <n v="116.1"/>
        <n v="749.33"/>
        <n v="732.86"/>
        <n v="1263.1099999999999"/>
        <n v="721.99"/>
        <n v="169.21"/>
        <n v="934.22"/>
        <n v="857.27"/>
        <n v="917.25"/>
        <n v="746.07"/>
        <n v="294.94"/>
        <n v="1137.32"/>
        <n v="2015.04"/>
        <n v="255.08"/>
        <n v="1315.07"/>
        <n v="1143.8399999999999"/>
        <n v="1244.97"/>
        <n v="149.24"/>
        <n v="216.82"/>
        <n v="1390.38"/>
        <n v="661.3"/>
        <n v="1046.17"/>
        <n v="742.69"/>
        <n v="595.70000000000005"/>
        <n v="201.16"/>
        <n v="638.6"/>
        <n v="2091.58"/>
        <n v="2156"/>
        <n v="719.42"/>
        <n v="239.25"/>
        <n v="1071.8599999999999"/>
        <n v="176.82"/>
        <n v="671.87"/>
        <n v="586.78"/>
        <n v="901.36"/>
        <n v="1315.74"/>
        <n v="632.38"/>
        <n v="1087.08"/>
        <n v="608.08000000000004"/>
        <n v="647.6"/>
        <n v="1961.76"/>
        <n v="964.35"/>
        <n v="753.73"/>
        <n v="827.25"/>
        <n v="442.74"/>
        <n v="978.74"/>
        <n v="645.54999999999995"/>
        <n v="759.9"/>
        <n v="1828.2"/>
        <n v="776.84"/>
        <n v="1603.75"/>
        <n v="618.42999999999995"/>
        <n v="325.43"/>
        <n v="502.04"/>
        <n v="268.75"/>
        <n v="1249.32"/>
        <n v="632.26"/>
      </sharedItems>
    </cacheField>
    <cacheField name="Gender_Clean" numFmtId="0">
      <sharedItems/>
    </cacheField>
    <cacheField name="City_Clean" numFmtId="0">
      <sharedItems/>
    </cacheField>
    <cacheField name="Occupation_Clean" numFmtId="0">
      <sharedItems count="8">
        <s v="Business Owner"/>
        <s v="Healthcare"/>
        <s v="Engineer"/>
        <s v="Civil Servant"/>
        <s v="Student"/>
        <s v="Teacher"/>
        <s v="Self-Employed"/>
        <s v="Missing"/>
      </sharedItems>
    </cacheField>
    <cacheField name="Income_Level" numFmtId="0">
      <sharedItems count="3">
        <s v="Medium"/>
        <s v="Low"/>
        <s v="Hig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6251.522446990741" createdVersion="6" refreshedVersion="6" minRefreshableVersion="3" recordCount="293">
  <cacheSource type="worksheet">
    <worksheetSource ref="A1:M294" sheet="Clean_Data "/>
  </cacheSource>
  <cacheFields count="13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/>
    </cacheField>
    <cacheField name="Monthly_Income" numFmtId="165">
      <sharedItems containsSemiMixedTypes="0" containsString="0" containsNumber="1" minValue="108.23" maxValue="10013"/>
    </cacheField>
    <cacheField name="Gender_Clean" numFmtId="0">
      <sharedItems/>
    </cacheField>
    <cacheField name="City_Clean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_Clean" numFmtId="0">
      <sharedItems/>
    </cacheField>
    <cacheField name="Income_Level" numFmtId="0">
      <sharedItems count="3">
        <s v="Medium"/>
        <s v="Low"/>
        <s v="High"/>
      </sharedItems>
    </cacheField>
    <cacheField name="Reg_Year" numFmtId="0">
      <sharedItems containsMixedTypes="1" containsNumber="1" containsInteger="1" minValue="2025" maxValue="2026" count="3">
        <n v="2025"/>
        <n v="2026"/>
        <s v=""/>
      </sharedItems>
    </cacheField>
    <cacheField name="Reg_Month" numFmtId="0">
      <sharedItems containsMixedTypes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s v="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x v="0"/>
    <x v="0"/>
    <s v="Female"/>
    <s v="Missing"/>
    <x v="0"/>
    <x v="0"/>
  </r>
  <r>
    <s v="CUS00196"/>
    <d v="2025-01-05T00:00:00"/>
    <x v="1"/>
    <n v="33"/>
    <x v="1"/>
    <x v="1"/>
    <x v="1"/>
    <s v="Male"/>
    <s v="Mogadishu"/>
    <x v="1"/>
    <x v="0"/>
  </r>
  <r>
    <s v="CUS00115"/>
    <d v="2025-01-07T00:00:00"/>
    <x v="1"/>
    <n v="30"/>
    <x v="2"/>
    <x v="2"/>
    <x v="2"/>
    <s v="Male"/>
    <s v="Baidoa"/>
    <x v="2"/>
    <x v="1"/>
  </r>
  <r>
    <s v="CUS00006"/>
    <d v="2025-01-08T00:00:00"/>
    <x v="0"/>
    <n v="40"/>
    <x v="3"/>
    <x v="3"/>
    <x v="3"/>
    <s v="Female"/>
    <s v="Bosaso"/>
    <x v="3"/>
    <x v="1"/>
  </r>
  <r>
    <s v="CUS00103"/>
    <d v="2025-01-08T00:00:00"/>
    <x v="1"/>
    <n v="66"/>
    <x v="4"/>
    <x v="0"/>
    <x v="4"/>
    <s v="Male"/>
    <s v="Hargeisa"/>
    <x v="0"/>
    <x v="2"/>
  </r>
  <r>
    <s v="CUS00157"/>
    <d v="2025-01-10T00:00:00"/>
    <x v="0"/>
    <n v="51"/>
    <x v="1"/>
    <x v="0"/>
    <x v="5"/>
    <s v="Female"/>
    <s v="Mogadishu"/>
    <x v="0"/>
    <x v="2"/>
  </r>
  <r>
    <s v="CUS00076"/>
    <d v="2025-01-10T00:00:00"/>
    <x v="1"/>
    <n v="62"/>
    <x v="1"/>
    <x v="2"/>
    <x v="6"/>
    <s v="Male"/>
    <s v="Mogadishu"/>
    <x v="2"/>
    <x v="0"/>
  </r>
  <r>
    <s v="CUS00067"/>
    <d v="2025-01-13T00:00:00"/>
    <x v="1"/>
    <n v="19"/>
    <x v="5"/>
    <x v="4"/>
    <x v="7"/>
    <s v="Male"/>
    <s v="Kismayo"/>
    <x v="4"/>
    <x v="1"/>
  </r>
  <r>
    <s v="CUS00287"/>
    <d v="2025-01-14T00:00:00"/>
    <x v="0"/>
    <n v="19"/>
    <x v="1"/>
    <x v="4"/>
    <x v="8"/>
    <s v="Female"/>
    <s v="Mogadishu"/>
    <x v="4"/>
    <x v="0"/>
  </r>
  <r>
    <s v="CUS00257"/>
    <d v="2025-01-16T00:00:00"/>
    <x v="1"/>
    <n v="43"/>
    <x v="4"/>
    <x v="4"/>
    <x v="9"/>
    <s v="Male"/>
    <s v="Hargeisa"/>
    <x v="4"/>
    <x v="1"/>
  </r>
  <r>
    <s v="CUS00279"/>
    <d v="2025-01-17T00:00:00"/>
    <x v="2"/>
    <n v="18"/>
    <x v="6"/>
    <x v="4"/>
    <x v="10"/>
    <s v="Missing"/>
    <s v="Garowe"/>
    <x v="4"/>
    <x v="1"/>
  </r>
  <r>
    <s v="CUS00270"/>
    <d v="2025-01-19T00:00:00"/>
    <x v="1"/>
    <n v="44"/>
    <x v="1"/>
    <x v="0"/>
    <x v="11"/>
    <s v="Male"/>
    <s v="Mogadishu"/>
    <x v="0"/>
    <x v="0"/>
  </r>
  <r>
    <s v="CUS00005"/>
    <d v="2025-01-20T00:00:00"/>
    <x v="1"/>
    <n v="49"/>
    <x v="1"/>
    <x v="1"/>
    <x v="12"/>
    <s v="Male"/>
    <s v="Mogadishu"/>
    <x v="1"/>
    <x v="0"/>
  </r>
  <r>
    <s v="CUS00186"/>
    <d v="2025-01-21T00:00:00"/>
    <x v="1"/>
    <n v="53"/>
    <x v="4"/>
    <x v="2"/>
    <x v="13"/>
    <s v="Male"/>
    <s v="Hargeisa"/>
    <x v="2"/>
    <x v="0"/>
  </r>
  <r>
    <s v="CUS00252"/>
    <d v="2025-01-22T00:00:00"/>
    <x v="0"/>
    <n v="70"/>
    <x v="1"/>
    <x v="0"/>
    <x v="14"/>
    <s v="Female"/>
    <s v="Mogadishu"/>
    <x v="0"/>
    <x v="2"/>
  </r>
  <r>
    <s v="CUS00030"/>
    <d v="2025-01-23T00:00:00"/>
    <x v="0"/>
    <n v="28"/>
    <x v="2"/>
    <x v="1"/>
    <x v="15"/>
    <s v="Female"/>
    <s v="Baidoa"/>
    <x v="1"/>
    <x v="0"/>
  </r>
  <r>
    <s v="CUS00235"/>
    <d v="2025-01-24T00:00:00"/>
    <x v="0"/>
    <n v="19"/>
    <x v="6"/>
    <x v="5"/>
    <x v="16"/>
    <s v="Female"/>
    <s v="Garowe"/>
    <x v="5"/>
    <x v="1"/>
  </r>
  <r>
    <s v="CUS00052"/>
    <d v="2025-01-25T00:00:00"/>
    <x v="0"/>
    <n v="63"/>
    <x v="1"/>
    <x v="1"/>
    <x v="17"/>
    <s v="Female"/>
    <s v="Mogadishu"/>
    <x v="1"/>
    <x v="0"/>
  </r>
  <r>
    <s v="CUS00058"/>
    <d v="2025-02-03T00:00:00"/>
    <x v="1"/>
    <n v="20"/>
    <x v="0"/>
    <x v="5"/>
    <x v="18"/>
    <s v="Male"/>
    <s v="Missing"/>
    <x v="5"/>
    <x v="1"/>
  </r>
  <r>
    <s v="CUS00181"/>
    <d v="2025-02-03T00:00:00"/>
    <x v="1"/>
    <n v="26"/>
    <x v="1"/>
    <x v="2"/>
    <x v="19"/>
    <s v="Male"/>
    <s v="Mogadishu"/>
    <x v="2"/>
    <x v="0"/>
  </r>
  <r>
    <s v="CUS00206"/>
    <d v="2025-02-06T00:00:00"/>
    <x v="0"/>
    <n v="20"/>
    <x v="1"/>
    <x v="3"/>
    <x v="8"/>
    <s v="Female"/>
    <s v="Mogadishu"/>
    <x v="3"/>
    <x v="0"/>
  </r>
  <r>
    <s v="CUS00230"/>
    <d v="2025-02-08T00:00:00"/>
    <x v="0"/>
    <n v="62"/>
    <x v="4"/>
    <x v="4"/>
    <x v="20"/>
    <s v="Female"/>
    <s v="Hargeisa"/>
    <x v="4"/>
    <x v="1"/>
  </r>
  <r>
    <s v="CUS00025"/>
    <d v="2025-02-15T00:00:00"/>
    <x v="1"/>
    <n v="52"/>
    <x v="4"/>
    <x v="6"/>
    <x v="21"/>
    <s v="Male"/>
    <s v="Hargeisa"/>
    <x v="6"/>
    <x v="0"/>
  </r>
  <r>
    <s v="CUS00211"/>
    <d v="2025-02-15T00:00:00"/>
    <x v="1"/>
    <n v="66"/>
    <x v="4"/>
    <x v="1"/>
    <x v="22"/>
    <s v="Male"/>
    <s v="Hargeisa"/>
    <x v="1"/>
    <x v="0"/>
  </r>
  <r>
    <s v="CUS00207"/>
    <d v="2025-02-17T00:00:00"/>
    <x v="1"/>
    <n v="52"/>
    <x v="6"/>
    <x v="7"/>
    <x v="23"/>
    <s v="Male"/>
    <s v="Garowe"/>
    <x v="7"/>
    <x v="1"/>
  </r>
  <r>
    <s v="CUS00203"/>
    <d v="2025-02-18T00:00:00"/>
    <x v="0"/>
    <n v="35"/>
    <x v="2"/>
    <x v="3"/>
    <x v="24"/>
    <s v="Female"/>
    <s v="Baidoa"/>
    <x v="3"/>
    <x v="1"/>
  </r>
  <r>
    <s v="CUS00202"/>
    <d v="2025-02-21T00:00:00"/>
    <x v="1"/>
    <n v="44"/>
    <x v="3"/>
    <x v="5"/>
    <x v="25"/>
    <s v="Male"/>
    <s v="Bosaso"/>
    <x v="5"/>
    <x v="1"/>
  </r>
  <r>
    <s v="CUS00223"/>
    <d v="2025-02-27T00:00:00"/>
    <x v="0"/>
    <n v="34"/>
    <x v="5"/>
    <x v="6"/>
    <x v="26"/>
    <s v="Female"/>
    <s v="Kismayo"/>
    <x v="6"/>
    <x v="0"/>
  </r>
  <r>
    <s v="CUS00231"/>
    <d v="2025-02-27T00:00:00"/>
    <x v="1"/>
    <n v="54"/>
    <x v="1"/>
    <x v="0"/>
    <x v="8"/>
    <s v="Male"/>
    <s v="Mogadishu"/>
    <x v="0"/>
    <x v="0"/>
  </r>
  <r>
    <s v="CUS00292"/>
    <d v="2025-03-03T00:00:00"/>
    <x v="1"/>
    <n v="46"/>
    <x v="0"/>
    <x v="5"/>
    <x v="27"/>
    <s v="Male"/>
    <s v="Missing"/>
    <x v="5"/>
    <x v="1"/>
  </r>
  <r>
    <s v="CUS00156"/>
    <d v="2025-03-04T00:00:00"/>
    <x v="0"/>
    <n v="37"/>
    <x v="1"/>
    <x v="0"/>
    <x v="28"/>
    <s v="Female"/>
    <s v="Mogadishu"/>
    <x v="0"/>
    <x v="2"/>
  </r>
  <r>
    <s v="CUS00072"/>
    <d v="2025-03-05T00:00:00"/>
    <x v="2"/>
    <n v="29"/>
    <x v="1"/>
    <x v="2"/>
    <x v="29"/>
    <s v="Missing"/>
    <s v="Mogadishu"/>
    <x v="2"/>
    <x v="2"/>
  </r>
  <r>
    <s v="CUS00173"/>
    <d v="2025-03-07T00:00:00"/>
    <x v="2"/>
    <n v="59"/>
    <x v="4"/>
    <x v="6"/>
    <x v="30"/>
    <s v="Missing"/>
    <s v="Hargeisa"/>
    <x v="6"/>
    <x v="0"/>
  </r>
  <r>
    <m/>
    <d v="2025-03-12T00:00:00"/>
    <x v="1"/>
    <n v="21"/>
    <x v="5"/>
    <x v="1"/>
    <x v="31"/>
    <s v="Male"/>
    <s v="Kismayo"/>
    <x v="1"/>
    <x v="0"/>
  </r>
  <r>
    <s v="CUS00218"/>
    <d v="2025-03-13T00:00:00"/>
    <x v="0"/>
    <n v="44"/>
    <x v="2"/>
    <x v="2"/>
    <x v="32"/>
    <s v="Female"/>
    <s v="Baidoa"/>
    <x v="2"/>
    <x v="0"/>
  </r>
  <r>
    <s v="CUS00137"/>
    <d v="2025-03-15T00:00:00"/>
    <x v="1"/>
    <n v="42"/>
    <x v="1"/>
    <x v="1"/>
    <x v="33"/>
    <s v="Male"/>
    <s v="Mogadishu"/>
    <x v="1"/>
    <x v="0"/>
  </r>
  <r>
    <s v="CUS00208"/>
    <d v="2025-03-15T00:00:00"/>
    <x v="0"/>
    <n v="66"/>
    <x v="4"/>
    <x v="6"/>
    <x v="34"/>
    <s v="Female"/>
    <s v="Hargeisa"/>
    <x v="6"/>
    <x v="1"/>
  </r>
  <r>
    <s v="CUS00259"/>
    <d v="2025-03-16T00:00:00"/>
    <x v="1"/>
    <n v="21"/>
    <x v="1"/>
    <x v="7"/>
    <x v="35"/>
    <s v="Male"/>
    <s v="Mogadishu"/>
    <x v="7"/>
    <x v="0"/>
  </r>
  <r>
    <s v="CUS00136"/>
    <d v="2025-03-18T00:00:00"/>
    <x v="1"/>
    <n v="32"/>
    <x v="2"/>
    <x v="3"/>
    <x v="36"/>
    <s v="Male"/>
    <s v="Baidoa"/>
    <x v="3"/>
    <x v="1"/>
  </r>
  <r>
    <s v="CUS00081"/>
    <d v="2025-03-19T00:00:00"/>
    <x v="0"/>
    <n v="61"/>
    <x v="0"/>
    <x v="4"/>
    <x v="37"/>
    <s v="Female"/>
    <s v="Missing"/>
    <x v="4"/>
    <x v="1"/>
  </r>
  <r>
    <s v="CUS00111"/>
    <d v="2025-03-25T00:00:00"/>
    <x v="0"/>
    <n v="48"/>
    <x v="2"/>
    <x v="3"/>
    <x v="38"/>
    <s v="Female"/>
    <s v="Baidoa"/>
    <x v="3"/>
    <x v="1"/>
  </r>
  <r>
    <s v="CUS00138"/>
    <d v="2025-03-26T00:00:00"/>
    <x v="0"/>
    <n v="22"/>
    <x v="4"/>
    <x v="0"/>
    <x v="39"/>
    <s v="Female"/>
    <s v="Hargeisa"/>
    <x v="0"/>
    <x v="2"/>
  </r>
  <r>
    <s v="CUS00276"/>
    <d v="2025-03-28T00:00:00"/>
    <x v="1"/>
    <n v="20"/>
    <x v="4"/>
    <x v="3"/>
    <x v="40"/>
    <s v="Male"/>
    <s v="Hargeisa"/>
    <x v="3"/>
    <x v="1"/>
  </r>
  <r>
    <s v="CUS00277"/>
    <d v="2025-03-28T00:00:00"/>
    <x v="1"/>
    <n v="39"/>
    <x v="1"/>
    <x v="6"/>
    <x v="41"/>
    <s v="Male"/>
    <s v="Mogadishu"/>
    <x v="6"/>
    <x v="2"/>
  </r>
  <r>
    <s v="CUS00080"/>
    <d v="2025-03-29T00:00:00"/>
    <x v="0"/>
    <n v="32"/>
    <x v="1"/>
    <x v="6"/>
    <x v="42"/>
    <s v="Female"/>
    <s v="Mogadishu"/>
    <x v="6"/>
    <x v="0"/>
  </r>
  <r>
    <s v="CUS00124"/>
    <d v="2025-03-31T00:00:00"/>
    <x v="0"/>
    <n v="27"/>
    <x v="1"/>
    <x v="7"/>
    <x v="43"/>
    <s v="Female"/>
    <s v="Mogadishu"/>
    <x v="7"/>
    <x v="0"/>
  </r>
  <r>
    <s v="CUS00249"/>
    <d v="2025-04-02T00:00:00"/>
    <x v="1"/>
    <n v="42"/>
    <x v="1"/>
    <x v="0"/>
    <x v="44"/>
    <s v="Male"/>
    <s v="Mogadishu"/>
    <x v="0"/>
    <x v="0"/>
  </r>
  <r>
    <s v="CUS00097"/>
    <d v="2025-04-03T00:00:00"/>
    <x v="1"/>
    <n v="49"/>
    <x v="3"/>
    <x v="4"/>
    <x v="8"/>
    <s v="Male"/>
    <s v="Bosaso"/>
    <x v="4"/>
    <x v="0"/>
  </r>
  <r>
    <s v="CUS00247"/>
    <d v="2025-04-05T00:00:00"/>
    <x v="0"/>
    <n v="39"/>
    <x v="6"/>
    <x v="3"/>
    <x v="45"/>
    <s v="Female"/>
    <s v="Garowe"/>
    <x v="3"/>
    <x v="1"/>
  </r>
  <r>
    <s v="CUS00169"/>
    <d v="2025-04-05T00:00:00"/>
    <x v="1"/>
    <n v="44"/>
    <x v="5"/>
    <x v="0"/>
    <x v="46"/>
    <s v="Male"/>
    <s v="Kismayo"/>
    <x v="0"/>
    <x v="2"/>
  </r>
  <r>
    <s v="CUS00271"/>
    <d v="2025-04-06T00:00:00"/>
    <x v="0"/>
    <n v="48"/>
    <x v="6"/>
    <x v="3"/>
    <x v="47"/>
    <s v="Female"/>
    <s v="Garowe"/>
    <x v="3"/>
    <x v="1"/>
  </r>
  <r>
    <s v="CUS00049"/>
    <d v="2025-04-10T00:00:00"/>
    <x v="0"/>
    <n v="33"/>
    <x v="6"/>
    <x v="3"/>
    <x v="48"/>
    <s v="Female"/>
    <s v="Garowe"/>
    <x v="3"/>
    <x v="1"/>
  </r>
  <r>
    <s v="CUS00234"/>
    <d v="2025-04-11T00:00:00"/>
    <x v="2"/>
    <n v="40"/>
    <x v="5"/>
    <x v="3"/>
    <x v="49"/>
    <s v="Missing"/>
    <s v="Kismayo"/>
    <x v="3"/>
    <x v="1"/>
  </r>
  <r>
    <s v="CUS00132"/>
    <d v="2025-04-16T00:00:00"/>
    <x v="2"/>
    <n v="41"/>
    <x v="3"/>
    <x v="1"/>
    <x v="50"/>
    <s v="Missing"/>
    <s v="Bosaso"/>
    <x v="1"/>
    <x v="2"/>
  </r>
  <r>
    <s v="CUS00119"/>
    <d v="2025-04-16T00:00:00"/>
    <x v="0"/>
    <n v="65"/>
    <x v="1"/>
    <x v="5"/>
    <x v="51"/>
    <s v="Female"/>
    <s v="Mogadishu"/>
    <x v="5"/>
    <x v="1"/>
  </r>
  <r>
    <s v="CUS00027"/>
    <d v="2025-04-18T00:00:00"/>
    <x v="1"/>
    <n v="44"/>
    <x v="3"/>
    <x v="6"/>
    <x v="8"/>
    <s v="Male"/>
    <s v="Bosaso"/>
    <x v="6"/>
    <x v="0"/>
  </r>
  <r>
    <s v="CUS00258"/>
    <d v="2025-04-20T00:00:00"/>
    <x v="1"/>
    <n v="37"/>
    <x v="6"/>
    <x v="0"/>
    <x v="52"/>
    <s v="Male"/>
    <s v="Garowe"/>
    <x v="0"/>
    <x v="0"/>
  </r>
  <r>
    <s v="CUS00079"/>
    <d v="2025-04-21T00:00:00"/>
    <x v="1"/>
    <n v="39"/>
    <x v="5"/>
    <x v="4"/>
    <x v="53"/>
    <s v="Male"/>
    <s v="Kismayo"/>
    <x v="4"/>
    <x v="1"/>
  </r>
  <r>
    <s v="CUS00121"/>
    <d v="2025-04-24T00:00:00"/>
    <x v="1"/>
    <n v="38"/>
    <x v="1"/>
    <x v="5"/>
    <x v="54"/>
    <s v="Male"/>
    <s v="Mogadishu"/>
    <x v="5"/>
    <x v="1"/>
  </r>
  <r>
    <s v="CUS00288"/>
    <d v="2025-04-24T00:00:00"/>
    <x v="0"/>
    <n v="44"/>
    <x v="6"/>
    <x v="5"/>
    <x v="55"/>
    <s v="Female"/>
    <s v="Garowe"/>
    <x v="5"/>
    <x v="1"/>
  </r>
  <r>
    <s v="CUS00002"/>
    <d v="2025-04-24T00:00:00"/>
    <x v="1"/>
    <n v="47"/>
    <x v="5"/>
    <x v="4"/>
    <x v="56"/>
    <s v="Male"/>
    <s v="Kismayo"/>
    <x v="4"/>
    <x v="1"/>
  </r>
  <r>
    <s v="CUS00226"/>
    <d v="2025-04-25T00:00:00"/>
    <x v="1"/>
    <n v="25"/>
    <x v="1"/>
    <x v="0"/>
    <x v="57"/>
    <s v="Male"/>
    <s v="Mogadishu"/>
    <x v="0"/>
    <x v="0"/>
  </r>
  <r>
    <s v="CUS00217"/>
    <d v="2025-04-25T00:00:00"/>
    <x v="1"/>
    <n v="56"/>
    <x v="1"/>
    <x v="6"/>
    <x v="58"/>
    <s v="Male"/>
    <s v="Mogadishu"/>
    <x v="6"/>
    <x v="0"/>
  </r>
  <r>
    <m/>
    <d v="2025-04-26T00:00:00"/>
    <x v="1"/>
    <n v="38"/>
    <x v="1"/>
    <x v="5"/>
    <x v="59"/>
    <s v="Male"/>
    <s v="Mogadishu"/>
    <x v="5"/>
    <x v="0"/>
  </r>
  <r>
    <s v="CUS00146"/>
    <d v="2025-04-26T00:00:00"/>
    <x v="0"/>
    <n v="61"/>
    <x v="1"/>
    <x v="2"/>
    <x v="60"/>
    <s v="Female"/>
    <s v="Mogadishu"/>
    <x v="2"/>
    <x v="0"/>
  </r>
  <r>
    <s v="CUS00133"/>
    <d v="2025-04-28T00:00:00"/>
    <x v="0"/>
    <n v="58"/>
    <x v="5"/>
    <x v="2"/>
    <x v="61"/>
    <s v="Female"/>
    <s v="Kismayo"/>
    <x v="2"/>
    <x v="1"/>
  </r>
  <r>
    <s v="CUS00109"/>
    <d v="2025-04-29T00:00:00"/>
    <x v="0"/>
    <n v="43"/>
    <x v="5"/>
    <x v="2"/>
    <x v="62"/>
    <s v="Female"/>
    <s v="Kismayo"/>
    <x v="2"/>
    <x v="1"/>
  </r>
  <r>
    <s v="CUS00246"/>
    <d v="2025-04-30T00:00:00"/>
    <x v="0"/>
    <n v="41"/>
    <x v="0"/>
    <x v="1"/>
    <x v="63"/>
    <s v="Female"/>
    <s v="Missing"/>
    <x v="1"/>
    <x v="0"/>
  </r>
  <r>
    <s v="CUS00261"/>
    <d v="2025-05-01T00:00:00"/>
    <x v="0"/>
    <n v="38"/>
    <x v="0"/>
    <x v="5"/>
    <x v="64"/>
    <s v="Female"/>
    <s v="Missing"/>
    <x v="5"/>
    <x v="1"/>
  </r>
  <r>
    <s v="CUS00149"/>
    <d v="2025-05-01T00:00:00"/>
    <x v="1"/>
    <n v="55"/>
    <x v="0"/>
    <x v="2"/>
    <x v="65"/>
    <s v="Male"/>
    <s v="Missing"/>
    <x v="2"/>
    <x v="0"/>
  </r>
  <r>
    <s v="CUS00227"/>
    <d v="2025-05-03T00:00:00"/>
    <x v="0"/>
    <n v="37"/>
    <x v="1"/>
    <x v="3"/>
    <x v="66"/>
    <s v="Female"/>
    <s v="Mogadishu"/>
    <x v="3"/>
    <x v="0"/>
  </r>
  <r>
    <s v="CUS00262"/>
    <d v="2025-05-03T00:00:00"/>
    <x v="1"/>
    <n v="67"/>
    <x v="1"/>
    <x v="3"/>
    <x v="8"/>
    <s v="Male"/>
    <s v="Mogadishu"/>
    <x v="3"/>
    <x v="0"/>
  </r>
  <r>
    <s v="CUS00245"/>
    <d v="2025-05-04T00:00:00"/>
    <x v="1"/>
    <n v="32"/>
    <x v="1"/>
    <x v="7"/>
    <x v="67"/>
    <s v="Male"/>
    <s v="Mogadishu"/>
    <x v="7"/>
    <x v="1"/>
  </r>
  <r>
    <s v="CUS00091"/>
    <d v="2025-05-14T00:00:00"/>
    <x v="1"/>
    <n v="20"/>
    <x v="1"/>
    <x v="6"/>
    <x v="68"/>
    <s v="Male"/>
    <s v="Mogadishu"/>
    <x v="6"/>
    <x v="0"/>
  </r>
  <r>
    <s v="CUS00017"/>
    <d v="2025-05-15T00:00:00"/>
    <x v="1"/>
    <n v="33"/>
    <x v="1"/>
    <x v="7"/>
    <x v="69"/>
    <s v="Male"/>
    <s v="Mogadishu"/>
    <x v="7"/>
    <x v="1"/>
  </r>
  <r>
    <s v="CUS00187"/>
    <d v="2025-05-18T00:00:00"/>
    <x v="1"/>
    <n v="26"/>
    <x v="5"/>
    <x v="4"/>
    <x v="70"/>
    <s v="Male"/>
    <s v="Kismayo"/>
    <x v="4"/>
    <x v="1"/>
  </r>
  <r>
    <s v="CUS00128"/>
    <d v="2025-05-24T00:00:00"/>
    <x v="1"/>
    <n v="21"/>
    <x v="2"/>
    <x v="2"/>
    <x v="71"/>
    <s v="Male"/>
    <s v="Baidoa"/>
    <x v="2"/>
    <x v="0"/>
  </r>
  <r>
    <s v="CUS00134"/>
    <d v="2025-05-25T00:00:00"/>
    <x v="0"/>
    <n v="38"/>
    <x v="1"/>
    <x v="2"/>
    <x v="72"/>
    <s v="Female"/>
    <s v="Mogadishu"/>
    <x v="2"/>
    <x v="0"/>
  </r>
  <r>
    <s v="CUS00012"/>
    <d v="2025-05-27T00:00:00"/>
    <x v="0"/>
    <n v="65"/>
    <x v="1"/>
    <x v="2"/>
    <x v="73"/>
    <s v="Female"/>
    <s v="Mogadishu"/>
    <x v="2"/>
    <x v="1"/>
  </r>
  <r>
    <s v="CUS00166"/>
    <d v="2025-05-28T00:00:00"/>
    <x v="1"/>
    <n v="41"/>
    <x v="1"/>
    <x v="5"/>
    <x v="74"/>
    <s v="Male"/>
    <s v="Mogadishu"/>
    <x v="5"/>
    <x v="0"/>
  </r>
  <r>
    <s v="CUS00224"/>
    <d v="2025-05-30T00:00:00"/>
    <x v="0"/>
    <n v="48"/>
    <x v="1"/>
    <x v="0"/>
    <x v="75"/>
    <s v="Female"/>
    <s v="Mogadishu"/>
    <x v="0"/>
    <x v="0"/>
  </r>
  <r>
    <s v="CUS00241"/>
    <d v="2025-06-01T00:00:00"/>
    <x v="1"/>
    <n v="24"/>
    <x v="1"/>
    <x v="2"/>
    <x v="76"/>
    <s v="Male"/>
    <s v="Mogadishu"/>
    <x v="2"/>
    <x v="1"/>
  </r>
  <r>
    <s v="CUS00021"/>
    <d v="2025-06-04T00:00:00"/>
    <x v="0"/>
    <n v="19"/>
    <x v="1"/>
    <x v="3"/>
    <x v="8"/>
    <s v="Female"/>
    <s v="Mogadishu"/>
    <x v="3"/>
    <x v="0"/>
  </r>
  <r>
    <s v="CUS00239"/>
    <d v="2025-06-08T00:00:00"/>
    <x v="2"/>
    <n v="38"/>
    <x v="2"/>
    <x v="5"/>
    <x v="77"/>
    <s v="Missing"/>
    <s v="Baidoa"/>
    <x v="5"/>
    <x v="1"/>
  </r>
  <r>
    <s v="CUS00222"/>
    <d v="2025-06-12T00:00:00"/>
    <x v="0"/>
    <n v="58"/>
    <x v="5"/>
    <x v="0"/>
    <x v="78"/>
    <s v="Female"/>
    <s v="Kismayo"/>
    <x v="0"/>
    <x v="0"/>
  </r>
  <r>
    <s v="CUS00197"/>
    <d v="2025-06-13T00:00:00"/>
    <x v="0"/>
    <n v="48"/>
    <x v="1"/>
    <x v="5"/>
    <x v="79"/>
    <s v="Female"/>
    <s v="Mogadishu"/>
    <x v="5"/>
    <x v="0"/>
  </r>
  <r>
    <s v="CUS00083"/>
    <d v="2025-06-14T00:00:00"/>
    <x v="1"/>
    <n v="68"/>
    <x v="1"/>
    <x v="5"/>
    <x v="80"/>
    <s v="Male"/>
    <s v="Mogadishu"/>
    <x v="5"/>
    <x v="0"/>
  </r>
  <r>
    <s v="CUS00273"/>
    <d v="2025-06-16T00:00:00"/>
    <x v="0"/>
    <n v="23"/>
    <x v="1"/>
    <x v="6"/>
    <x v="81"/>
    <s v="Female"/>
    <s v="Mogadishu"/>
    <x v="6"/>
    <x v="1"/>
  </r>
  <r>
    <s v="CUS00219"/>
    <d v="2025-06-19T00:00:00"/>
    <x v="0"/>
    <n v="42"/>
    <x v="4"/>
    <x v="1"/>
    <x v="82"/>
    <s v="Female"/>
    <s v="Hargeisa"/>
    <x v="1"/>
    <x v="0"/>
  </r>
  <r>
    <s v="CUS00048"/>
    <d v="2025-06-20T00:00:00"/>
    <x v="1"/>
    <n v="36"/>
    <x v="1"/>
    <x v="4"/>
    <x v="83"/>
    <s v="Male"/>
    <s v="Mogadishu"/>
    <x v="4"/>
    <x v="1"/>
  </r>
  <r>
    <s v="CUS00003"/>
    <d v="2025-06-22T00:00:00"/>
    <x v="0"/>
    <n v="67"/>
    <x v="1"/>
    <x v="2"/>
    <x v="8"/>
    <s v="Female"/>
    <s v="Mogadishu"/>
    <x v="2"/>
    <x v="0"/>
  </r>
  <r>
    <s v="CUS00272"/>
    <d v="2025-06-24T00:00:00"/>
    <x v="0"/>
    <n v="39"/>
    <x v="5"/>
    <x v="7"/>
    <x v="84"/>
    <s v="Female"/>
    <s v="Kismayo"/>
    <x v="7"/>
    <x v="0"/>
  </r>
  <r>
    <s v="CUS00189"/>
    <d v="2025-06-25T00:00:00"/>
    <x v="1"/>
    <n v="28"/>
    <x v="6"/>
    <x v="5"/>
    <x v="85"/>
    <s v="Male"/>
    <s v="Garowe"/>
    <x v="5"/>
    <x v="0"/>
  </r>
  <r>
    <s v="CUS00043"/>
    <d v="2025-06-25T00:00:00"/>
    <x v="2"/>
    <n v="43"/>
    <x v="1"/>
    <x v="3"/>
    <x v="86"/>
    <s v="Missing"/>
    <s v="Mogadishu"/>
    <x v="3"/>
    <x v="0"/>
  </r>
  <r>
    <s v="CUS00019"/>
    <d v="2025-06-29T00:00:00"/>
    <x v="1"/>
    <n v="54"/>
    <x v="5"/>
    <x v="5"/>
    <x v="87"/>
    <s v="Male"/>
    <s v="Kismayo"/>
    <x v="5"/>
    <x v="1"/>
  </r>
  <r>
    <s v="CUS00042"/>
    <d v="2025-07-01T00:00:00"/>
    <x v="0"/>
    <n v="44"/>
    <x v="4"/>
    <x v="5"/>
    <x v="88"/>
    <s v="Female"/>
    <s v="Hargeisa"/>
    <x v="5"/>
    <x v="1"/>
  </r>
  <r>
    <s v="CUS00152"/>
    <d v="2025-07-02T00:00:00"/>
    <x v="0"/>
    <n v="44"/>
    <x v="4"/>
    <x v="6"/>
    <x v="89"/>
    <s v="Female"/>
    <s v="Hargeisa"/>
    <x v="6"/>
    <x v="1"/>
  </r>
  <r>
    <s v="CUS00214"/>
    <d v="2025-07-07T00:00:00"/>
    <x v="0"/>
    <n v="56"/>
    <x v="5"/>
    <x v="0"/>
    <x v="90"/>
    <s v="Female"/>
    <s v="Kismayo"/>
    <x v="0"/>
    <x v="1"/>
  </r>
  <r>
    <s v="CUS00183"/>
    <d v="2025-07-08T00:00:00"/>
    <x v="0"/>
    <n v="18"/>
    <x v="2"/>
    <x v="4"/>
    <x v="91"/>
    <s v="Female"/>
    <s v="Baidoa"/>
    <x v="4"/>
    <x v="1"/>
  </r>
  <r>
    <s v="CUS00150"/>
    <d v="2025-07-08T00:00:00"/>
    <x v="1"/>
    <n v="62"/>
    <x v="4"/>
    <x v="6"/>
    <x v="92"/>
    <s v="Male"/>
    <s v="Hargeisa"/>
    <x v="6"/>
    <x v="0"/>
  </r>
  <r>
    <s v="CUS00004"/>
    <d v="2025-07-09T00:00:00"/>
    <x v="0"/>
    <n v="42"/>
    <x v="1"/>
    <x v="5"/>
    <x v="93"/>
    <s v="Female"/>
    <s v="Mogadishu"/>
    <x v="5"/>
    <x v="1"/>
  </r>
  <r>
    <s v="CUS00286"/>
    <d v="2025-07-10T00:00:00"/>
    <x v="1"/>
    <n v="18"/>
    <x v="3"/>
    <x v="4"/>
    <x v="94"/>
    <s v="Male"/>
    <s v="Bosaso"/>
    <x v="4"/>
    <x v="1"/>
  </r>
  <r>
    <s v="CUS00135"/>
    <d v="2025-07-12T00:00:00"/>
    <x v="0"/>
    <n v="55"/>
    <x v="1"/>
    <x v="0"/>
    <x v="95"/>
    <s v="Female"/>
    <s v="Mogadishu"/>
    <x v="0"/>
    <x v="0"/>
  </r>
  <r>
    <s v="CUS00254"/>
    <d v="2025-07-19T00:00:00"/>
    <x v="1"/>
    <n v="28"/>
    <x v="2"/>
    <x v="4"/>
    <x v="96"/>
    <s v="Male"/>
    <s v="Baidoa"/>
    <x v="4"/>
    <x v="1"/>
  </r>
  <r>
    <s v="CUS00100"/>
    <d v="2025-07-20T00:00:00"/>
    <x v="0"/>
    <n v="64"/>
    <x v="1"/>
    <x v="2"/>
    <x v="97"/>
    <s v="Female"/>
    <s v="Mogadishu"/>
    <x v="2"/>
    <x v="0"/>
  </r>
  <r>
    <s v="CUS00060"/>
    <d v="2025-07-23T00:00:00"/>
    <x v="0"/>
    <n v="47"/>
    <x v="1"/>
    <x v="6"/>
    <x v="98"/>
    <s v="Female"/>
    <s v="Mogadishu"/>
    <x v="6"/>
    <x v="1"/>
  </r>
  <r>
    <s v="CUS00078"/>
    <d v="2025-07-24T00:00:00"/>
    <x v="0"/>
    <n v="69"/>
    <x v="1"/>
    <x v="7"/>
    <x v="99"/>
    <s v="Female"/>
    <s v="Mogadishu"/>
    <x v="7"/>
    <x v="1"/>
  </r>
  <r>
    <s v="CUS00154"/>
    <d v="2025-07-26T00:00:00"/>
    <x v="0"/>
    <n v="60"/>
    <x v="4"/>
    <x v="0"/>
    <x v="100"/>
    <s v="Female"/>
    <s v="Hargeisa"/>
    <x v="0"/>
    <x v="1"/>
  </r>
  <r>
    <s v="CUS00175"/>
    <d v="2025-07-30T00:00:00"/>
    <x v="0"/>
    <n v="59"/>
    <x v="4"/>
    <x v="5"/>
    <x v="101"/>
    <s v="Female"/>
    <s v="Hargeisa"/>
    <x v="5"/>
    <x v="0"/>
  </r>
  <r>
    <s v="CUS00140"/>
    <d v="2025-08-02T00:00:00"/>
    <x v="1"/>
    <n v="30"/>
    <x v="1"/>
    <x v="4"/>
    <x v="102"/>
    <s v="Male"/>
    <s v="Mogadishu"/>
    <x v="4"/>
    <x v="1"/>
  </r>
  <r>
    <s v="CUS00210"/>
    <d v="2025-08-04T00:00:00"/>
    <x v="1"/>
    <n v="52"/>
    <x v="5"/>
    <x v="1"/>
    <x v="103"/>
    <s v="Male"/>
    <s v="Kismayo"/>
    <x v="1"/>
    <x v="0"/>
  </r>
  <r>
    <s v="CUS00007"/>
    <d v="2025-08-05T00:00:00"/>
    <x v="1"/>
    <n v="45"/>
    <x v="1"/>
    <x v="3"/>
    <x v="104"/>
    <s v="Male"/>
    <s v="Mogadishu"/>
    <x v="3"/>
    <x v="0"/>
  </r>
  <r>
    <s v="CUS00065"/>
    <d v="2025-08-05T00:00:00"/>
    <x v="1"/>
    <n v="52"/>
    <x v="2"/>
    <x v="7"/>
    <x v="105"/>
    <s v="Male"/>
    <s v="Baidoa"/>
    <x v="7"/>
    <x v="1"/>
  </r>
  <r>
    <s v="CUS00106"/>
    <d v="2025-08-06T00:00:00"/>
    <x v="1"/>
    <n v="48"/>
    <x v="4"/>
    <x v="8"/>
    <x v="8"/>
    <s v="Male"/>
    <s v="Hargeisa"/>
    <x v="3"/>
    <x v="0"/>
  </r>
  <r>
    <s v="CUS00228"/>
    <d v="2025-08-06T00:00:00"/>
    <x v="1"/>
    <n v="59"/>
    <x v="3"/>
    <x v="5"/>
    <x v="8"/>
    <s v="Male"/>
    <s v="Bosaso"/>
    <x v="5"/>
    <x v="0"/>
  </r>
  <r>
    <s v="CUS00194"/>
    <d v="2025-08-07T00:00:00"/>
    <x v="1"/>
    <n v="50"/>
    <x v="5"/>
    <x v="5"/>
    <x v="106"/>
    <s v="Male"/>
    <s v="Kismayo"/>
    <x v="5"/>
    <x v="0"/>
  </r>
  <r>
    <s v="CUS00131"/>
    <d v="2025-08-08T00:00:00"/>
    <x v="0"/>
    <n v="29"/>
    <x v="1"/>
    <x v="4"/>
    <x v="8"/>
    <s v="Female"/>
    <s v="Mogadishu"/>
    <x v="4"/>
    <x v="0"/>
  </r>
  <r>
    <m/>
    <d v="2025-08-09T00:00:00"/>
    <x v="1"/>
    <n v="53"/>
    <x v="1"/>
    <x v="6"/>
    <x v="107"/>
    <s v="Male"/>
    <s v="Mogadishu"/>
    <x v="6"/>
    <x v="0"/>
  </r>
  <r>
    <s v="CUS00160"/>
    <d v="2025-08-10T00:00:00"/>
    <x v="1"/>
    <n v="42"/>
    <x v="4"/>
    <x v="0"/>
    <x v="108"/>
    <s v="Male"/>
    <s v="Hargeisa"/>
    <x v="0"/>
    <x v="2"/>
  </r>
  <r>
    <s v="CUS00053"/>
    <d v="2025-08-12T00:00:00"/>
    <x v="1"/>
    <n v="25"/>
    <x v="1"/>
    <x v="5"/>
    <x v="109"/>
    <s v="Male"/>
    <s v="Mogadishu"/>
    <x v="5"/>
    <x v="1"/>
  </r>
  <r>
    <s v="CUS00102"/>
    <d v="2025-08-12T00:00:00"/>
    <x v="1"/>
    <n v="36"/>
    <x v="0"/>
    <x v="4"/>
    <x v="110"/>
    <s v="Male"/>
    <s v="Missing"/>
    <x v="4"/>
    <x v="1"/>
  </r>
  <r>
    <s v="CUS00180"/>
    <d v="2025-08-14T00:00:00"/>
    <x v="1"/>
    <n v="61"/>
    <x v="1"/>
    <x v="6"/>
    <x v="111"/>
    <s v="Male"/>
    <s v="Mogadishu"/>
    <x v="6"/>
    <x v="0"/>
  </r>
  <r>
    <s v="CUS00255"/>
    <d v="2025-08-15T00:00:00"/>
    <x v="1"/>
    <n v="21"/>
    <x v="2"/>
    <x v="2"/>
    <x v="112"/>
    <s v="Male"/>
    <s v="Baidoa"/>
    <x v="2"/>
    <x v="0"/>
  </r>
  <r>
    <s v="CUS00221"/>
    <d v="2025-08-15T00:00:00"/>
    <x v="1"/>
    <n v="44"/>
    <x v="1"/>
    <x v="0"/>
    <x v="113"/>
    <s v="Male"/>
    <s v="Mogadishu"/>
    <x v="0"/>
    <x v="0"/>
  </r>
  <r>
    <s v="CUS00268"/>
    <d v="2025-08-15T00:00:00"/>
    <x v="0"/>
    <n v="49"/>
    <x v="5"/>
    <x v="2"/>
    <x v="114"/>
    <s v="Female"/>
    <s v="Kismayo"/>
    <x v="2"/>
    <x v="2"/>
  </r>
  <r>
    <s v="CUS00275"/>
    <d v="2025-08-15T00:00:00"/>
    <x v="1"/>
    <n v="59"/>
    <x v="4"/>
    <x v="5"/>
    <x v="115"/>
    <s v="Male"/>
    <s v="Hargeisa"/>
    <x v="5"/>
    <x v="1"/>
  </r>
  <r>
    <s v="CUS00122"/>
    <d v="2025-08-17T00:00:00"/>
    <x v="0"/>
    <n v="60"/>
    <x v="4"/>
    <x v="6"/>
    <x v="116"/>
    <s v="Female"/>
    <s v="Hargeisa"/>
    <x v="6"/>
    <x v="1"/>
  </r>
  <r>
    <s v="CUS00118"/>
    <d v="2025-08-21T00:00:00"/>
    <x v="1"/>
    <n v="60"/>
    <x v="0"/>
    <x v="4"/>
    <x v="8"/>
    <s v="Male"/>
    <s v="Missing"/>
    <x v="4"/>
    <x v="0"/>
  </r>
  <r>
    <s v="CUS00182"/>
    <d v="2025-08-23T00:00:00"/>
    <x v="1"/>
    <n v="43"/>
    <x v="5"/>
    <x v="1"/>
    <x v="117"/>
    <s v="Male"/>
    <s v="Kismayo"/>
    <x v="1"/>
    <x v="0"/>
  </r>
  <r>
    <s v="CUS00237"/>
    <d v="2025-08-23T00:00:00"/>
    <x v="1"/>
    <n v="44"/>
    <x v="3"/>
    <x v="0"/>
    <x v="118"/>
    <s v="Male"/>
    <s v="Bosaso"/>
    <x v="0"/>
    <x v="0"/>
  </r>
  <r>
    <s v="CUS00171"/>
    <d v="2025-08-24T00:00:00"/>
    <x v="1"/>
    <n v="39"/>
    <x v="4"/>
    <x v="2"/>
    <x v="119"/>
    <s v="Male"/>
    <s v="Hargeisa"/>
    <x v="2"/>
    <x v="0"/>
  </r>
  <r>
    <s v="CUS00209"/>
    <d v="2025-08-26T00:00:00"/>
    <x v="0"/>
    <n v="61"/>
    <x v="1"/>
    <x v="5"/>
    <x v="8"/>
    <s v="Female"/>
    <s v="Mogadishu"/>
    <x v="5"/>
    <x v="0"/>
  </r>
  <r>
    <s v="CUS00143"/>
    <d v="2025-08-27T00:00:00"/>
    <x v="1"/>
    <n v="26"/>
    <x v="3"/>
    <x v="2"/>
    <x v="120"/>
    <s v="Male"/>
    <s v="Bosaso"/>
    <x v="2"/>
    <x v="0"/>
  </r>
  <r>
    <s v="CUS00056"/>
    <d v="2025-08-30T00:00:00"/>
    <x v="1"/>
    <n v="67"/>
    <x v="5"/>
    <x v="5"/>
    <x v="121"/>
    <s v="Male"/>
    <s v="Kismayo"/>
    <x v="5"/>
    <x v="0"/>
  </r>
  <r>
    <s v="CUS00285"/>
    <d v="2025-08-31T00:00:00"/>
    <x v="0"/>
    <n v="22"/>
    <x v="4"/>
    <x v="7"/>
    <x v="122"/>
    <s v="Female"/>
    <s v="Hargeisa"/>
    <x v="7"/>
    <x v="1"/>
  </r>
  <r>
    <s v="CUS00229"/>
    <d v="2025-09-02T00:00:00"/>
    <x v="0"/>
    <n v="46"/>
    <x v="1"/>
    <x v="7"/>
    <x v="123"/>
    <s v="Female"/>
    <s v="Mogadishu"/>
    <x v="7"/>
    <x v="0"/>
  </r>
  <r>
    <m/>
    <d v="2025-09-08T00:00:00"/>
    <x v="0"/>
    <n v="32"/>
    <x v="6"/>
    <x v="0"/>
    <x v="124"/>
    <s v="Female"/>
    <s v="Garowe"/>
    <x v="0"/>
    <x v="2"/>
  </r>
  <r>
    <s v="CUS00063"/>
    <d v="2025-09-13T00:00:00"/>
    <x v="0"/>
    <n v="62"/>
    <x v="1"/>
    <x v="6"/>
    <x v="125"/>
    <s v="Female"/>
    <s v="Mogadishu"/>
    <x v="6"/>
    <x v="0"/>
  </r>
  <r>
    <s v="CUS00213"/>
    <d v="2025-09-17T00:00:00"/>
    <x v="0"/>
    <n v="32"/>
    <x v="2"/>
    <x v="2"/>
    <x v="126"/>
    <s v="Female"/>
    <s v="Baidoa"/>
    <x v="2"/>
    <x v="0"/>
  </r>
  <r>
    <s v="CUS00112"/>
    <d v="2025-09-18T00:00:00"/>
    <x v="0"/>
    <n v="40"/>
    <x v="5"/>
    <x v="0"/>
    <x v="127"/>
    <s v="Female"/>
    <s v="Kismayo"/>
    <x v="0"/>
    <x v="1"/>
  </r>
  <r>
    <s v="CUS00216"/>
    <d v="2025-09-19T00:00:00"/>
    <x v="0"/>
    <n v="19"/>
    <x v="4"/>
    <x v="3"/>
    <x v="128"/>
    <s v="Female"/>
    <s v="Hargeisa"/>
    <x v="3"/>
    <x v="0"/>
  </r>
  <r>
    <s v="CUS00164"/>
    <d v="2025-09-25T00:00:00"/>
    <x v="0"/>
    <n v="58"/>
    <x v="1"/>
    <x v="0"/>
    <x v="129"/>
    <s v="Female"/>
    <s v="Mogadishu"/>
    <x v="0"/>
    <x v="0"/>
  </r>
  <r>
    <s v="CUS00040"/>
    <d v="2025-09-25T00:00:00"/>
    <x v="0"/>
    <n v="66"/>
    <x v="1"/>
    <x v="3"/>
    <x v="130"/>
    <s v="Female"/>
    <s v="Mogadishu"/>
    <x v="3"/>
    <x v="1"/>
  </r>
  <r>
    <s v="CUS00232"/>
    <d v="2025-09-28T00:00:00"/>
    <x v="0"/>
    <n v="61"/>
    <x v="4"/>
    <x v="7"/>
    <x v="131"/>
    <s v="Female"/>
    <s v="Hargeisa"/>
    <x v="7"/>
    <x v="1"/>
  </r>
  <r>
    <s v="CUS00123"/>
    <d v="2025-09-30T00:00:00"/>
    <x v="0"/>
    <n v="66"/>
    <x v="1"/>
    <x v="0"/>
    <x v="132"/>
    <s v="Female"/>
    <s v="Mogadishu"/>
    <x v="0"/>
    <x v="0"/>
  </r>
  <r>
    <s v="CUS00264"/>
    <d v="2025-10-01T00:00:00"/>
    <x v="1"/>
    <n v="68"/>
    <x v="1"/>
    <x v="7"/>
    <x v="133"/>
    <s v="Male"/>
    <s v="Mogadishu"/>
    <x v="7"/>
    <x v="0"/>
  </r>
  <r>
    <s v="CUS00198"/>
    <d v="2025-10-02T00:00:00"/>
    <x v="0"/>
    <n v="33"/>
    <x v="6"/>
    <x v="1"/>
    <x v="134"/>
    <s v="Female"/>
    <s v="Garowe"/>
    <x v="1"/>
    <x v="0"/>
  </r>
  <r>
    <s v="CUS00033"/>
    <d v="2025-10-02T00:00:00"/>
    <x v="1"/>
    <n v="54"/>
    <x v="5"/>
    <x v="3"/>
    <x v="135"/>
    <s v="Male"/>
    <s v="Kismayo"/>
    <x v="3"/>
    <x v="0"/>
  </r>
  <r>
    <s v="CUS00139"/>
    <d v="2025-10-04T00:00:00"/>
    <x v="1"/>
    <n v="27"/>
    <x v="3"/>
    <x v="3"/>
    <x v="136"/>
    <s v="Male"/>
    <s v="Bosaso"/>
    <x v="3"/>
    <x v="0"/>
  </r>
  <r>
    <s v="CUS00077"/>
    <d v="2025-10-07T00:00:00"/>
    <x v="0"/>
    <n v="44"/>
    <x v="3"/>
    <x v="4"/>
    <x v="137"/>
    <s v="Female"/>
    <s v="Bosaso"/>
    <x v="4"/>
    <x v="1"/>
  </r>
  <r>
    <s v="CUS00153"/>
    <d v="2025-10-08T00:00:00"/>
    <x v="1"/>
    <n v="52"/>
    <x v="5"/>
    <x v="4"/>
    <x v="138"/>
    <s v="Male"/>
    <s v="Kismayo"/>
    <x v="4"/>
    <x v="1"/>
  </r>
  <r>
    <s v="CUS00144"/>
    <d v="2025-10-11T00:00:00"/>
    <x v="1"/>
    <n v="20"/>
    <x v="4"/>
    <x v="6"/>
    <x v="139"/>
    <s v="Male"/>
    <s v="Hargeisa"/>
    <x v="6"/>
    <x v="1"/>
  </r>
  <r>
    <s v="CUS00069"/>
    <d v="2025-10-12T00:00:00"/>
    <x v="2"/>
    <n v="24"/>
    <x v="3"/>
    <x v="2"/>
    <x v="140"/>
    <s v="Missing"/>
    <s v="Bosaso"/>
    <x v="2"/>
    <x v="0"/>
  </r>
  <r>
    <s v="CUS00086"/>
    <d v="2025-10-13T00:00:00"/>
    <x v="1"/>
    <n v="123"/>
    <x v="1"/>
    <x v="2"/>
    <x v="141"/>
    <s v="Male"/>
    <s v="Mogadishu"/>
    <x v="2"/>
    <x v="1"/>
  </r>
  <r>
    <m/>
    <d v="2025-10-15T00:00:00"/>
    <x v="0"/>
    <n v="41"/>
    <x v="3"/>
    <x v="1"/>
    <x v="142"/>
    <s v="Female"/>
    <s v="Bosaso"/>
    <x v="1"/>
    <x v="0"/>
  </r>
  <r>
    <s v="CUS00256"/>
    <d v="2025-10-20T00:00:00"/>
    <x v="2"/>
    <n v="21"/>
    <x v="1"/>
    <x v="0"/>
    <x v="143"/>
    <s v="Missing"/>
    <s v="Mogadishu"/>
    <x v="0"/>
    <x v="2"/>
  </r>
  <r>
    <s v="CUS00088"/>
    <d v="2025-10-21T00:00:00"/>
    <x v="0"/>
    <n v="26"/>
    <x v="1"/>
    <x v="5"/>
    <x v="144"/>
    <s v="Female"/>
    <s v="Mogadishu"/>
    <x v="5"/>
    <x v="0"/>
  </r>
  <r>
    <s v="CUS00026"/>
    <d v="2025-10-24T00:00:00"/>
    <x v="0"/>
    <n v="20"/>
    <x v="1"/>
    <x v="4"/>
    <x v="145"/>
    <s v="Female"/>
    <s v="Mogadishu"/>
    <x v="4"/>
    <x v="1"/>
  </r>
  <r>
    <s v="CUS00282"/>
    <d v="2025-10-26T00:00:00"/>
    <x v="1"/>
    <n v="34"/>
    <x v="3"/>
    <x v="3"/>
    <x v="146"/>
    <s v="Male"/>
    <s v="Bosaso"/>
    <x v="3"/>
    <x v="0"/>
  </r>
  <r>
    <m/>
    <d v="2025-10-27T00:00:00"/>
    <x v="1"/>
    <n v="68"/>
    <x v="4"/>
    <x v="1"/>
    <x v="147"/>
    <s v="Male"/>
    <s v="Hargeisa"/>
    <x v="1"/>
    <x v="0"/>
  </r>
  <r>
    <s v="CUS00114"/>
    <d v="2025-10-28T00:00:00"/>
    <x v="1"/>
    <n v="63"/>
    <x v="3"/>
    <x v="4"/>
    <x v="148"/>
    <s v="Male"/>
    <s v="Bosaso"/>
    <x v="4"/>
    <x v="1"/>
  </r>
  <r>
    <s v="CUS00051"/>
    <d v="2025-10-30T00:00:00"/>
    <x v="0"/>
    <n v="30"/>
    <x v="4"/>
    <x v="6"/>
    <x v="149"/>
    <s v="Female"/>
    <s v="Hargeisa"/>
    <x v="6"/>
    <x v="1"/>
  </r>
  <r>
    <s v="CUS00089"/>
    <d v="2025-11-02T00:00:00"/>
    <x v="0"/>
    <n v="40"/>
    <x v="3"/>
    <x v="6"/>
    <x v="150"/>
    <s v="Female"/>
    <s v="Bosaso"/>
    <x v="6"/>
    <x v="1"/>
  </r>
  <r>
    <s v="CUS00242"/>
    <d v="2025-11-05T00:00:00"/>
    <x v="0"/>
    <n v="20"/>
    <x v="3"/>
    <x v="6"/>
    <x v="151"/>
    <s v="Female"/>
    <s v="Bosaso"/>
    <x v="6"/>
    <x v="0"/>
  </r>
  <r>
    <s v="CUS00105"/>
    <d v="2025-11-07T00:00:00"/>
    <x v="0"/>
    <n v="32"/>
    <x v="1"/>
    <x v="6"/>
    <x v="152"/>
    <s v="Female"/>
    <s v="Mogadishu"/>
    <x v="6"/>
    <x v="1"/>
  </r>
  <r>
    <s v="CUS00172"/>
    <d v="2025-11-09T00:00:00"/>
    <x v="0"/>
    <n v="70"/>
    <x v="3"/>
    <x v="5"/>
    <x v="153"/>
    <s v="Female"/>
    <s v="Bosaso"/>
    <x v="5"/>
    <x v="1"/>
  </r>
  <r>
    <s v="CUS00161"/>
    <d v="2025-11-12T00:00:00"/>
    <x v="1"/>
    <n v="20"/>
    <x v="5"/>
    <x v="3"/>
    <x v="154"/>
    <s v="Male"/>
    <s v="Kismayo"/>
    <x v="3"/>
    <x v="0"/>
  </r>
  <r>
    <s v="CUS00225"/>
    <d v="2025-11-14T00:00:00"/>
    <x v="2"/>
    <n v="70"/>
    <x v="1"/>
    <x v="3"/>
    <x v="155"/>
    <s v="Missing"/>
    <s v="Mogadishu"/>
    <x v="3"/>
    <x v="1"/>
  </r>
  <r>
    <s v="CUS00028"/>
    <d v="2025-11-15T00:00:00"/>
    <x v="1"/>
    <n v="53"/>
    <x v="1"/>
    <x v="4"/>
    <x v="156"/>
    <s v="Male"/>
    <s v="Mogadishu"/>
    <x v="4"/>
    <x v="1"/>
  </r>
  <r>
    <s v="CUS00126"/>
    <d v="2025-11-17T00:00:00"/>
    <x v="2"/>
    <n v="26"/>
    <x v="2"/>
    <x v="2"/>
    <x v="157"/>
    <s v="Missing"/>
    <s v="Baidoa"/>
    <x v="2"/>
    <x v="0"/>
  </r>
  <r>
    <m/>
    <d v="2025-11-21T00:00:00"/>
    <x v="1"/>
    <n v="30"/>
    <x v="2"/>
    <x v="1"/>
    <x v="158"/>
    <s v="Male"/>
    <s v="Baidoa"/>
    <x v="1"/>
    <x v="0"/>
  </r>
  <r>
    <s v="CUS00125"/>
    <d v="2025-11-21T00:00:00"/>
    <x v="1"/>
    <n v="35"/>
    <x v="1"/>
    <x v="0"/>
    <x v="159"/>
    <s v="Male"/>
    <s v="Mogadishu"/>
    <x v="0"/>
    <x v="0"/>
  </r>
  <r>
    <s v="CUS00110"/>
    <d v="2025-11-22T00:00:00"/>
    <x v="0"/>
    <n v="50"/>
    <x v="1"/>
    <x v="0"/>
    <x v="8"/>
    <s v="Female"/>
    <s v="Mogadishu"/>
    <x v="0"/>
    <x v="0"/>
  </r>
  <r>
    <s v="CUS00001"/>
    <d v="2025-11-23T00:00:00"/>
    <x v="0"/>
    <n v="39"/>
    <x v="5"/>
    <x v="2"/>
    <x v="160"/>
    <s v="Female"/>
    <s v="Kismayo"/>
    <x v="2"/>
    <x v="1"/>
  </r>
  <r>
    <s v="CUS00289"/>
    <d v="2025-11-30T00:00:00"/>
    <x v="1"/>
    <n v="41"/>
    <x v="1"/>
    <x v="5"/>
    <x v="161"/>
    <s v="Male"/>
    <s v="Mogadishu"/>
    <x v="5"/>
    <x v="1"/>
  </r>
  <r>
    <s v="CUS00274"/>
    <d v="2025-12-07T00:00:00"/>
    <x v="0"/>
    <n v="32"/>
    <x v="1"/>
    <x v="0"/>
    <x v="162"/>
    <s v="Female"/>
    <s v="Mogadishu"/>
    <x v="0"/>
    <x v="2"/>
  </r>
  <r>
    <s v="CUS00167"/>
    <d v="2025-12-07T00:00:00"/>
    <x v="0"/>
    <n v="37"/>
    <x v="6"/>
    <x v="5"/>
    <x v="163"/>
    <s v="Female"/>
    <s v="Garowe"/>
    <x v="5"/>
    <x v="0"/>
  </r>
  <r>
    <s v="CUS00260"/>
    <d v="2025-12-07T00:00:00"/>
    <x v="0"/>
    <n v="40"/>
    <x v="5"/>
    <x v="0"/>
    <x v="164"/>
    <s v="Female"/>
    <s v="Kismayo"/>
    <x v="0"/>
    <x v="0"/>
  </r>
  <r>
    <s v="CUS00047"/>
    <d v="2025-12-09T00:00:00"/>
    <x v="0"/>
    <n v="43"/>
    <x v="1"/>
    <x v="2"/>
    <x v="165"/>
    <s v="Female"/>
    <s v="Mogadishu"/>
    <x v="2"/>
    <x v="1"/>
  </r>
  <r>
    <s v="CUS00094"/>
    <d v="2025-12-10T00:00:00"/>
    <x v="1"/>
    <n v="55"/>
    <x v="5"/>
    <x v="2"/>
    <x v="166"/>
    <s v="Male"/>
    <s v="Kismayo"/>
    <x v="2"/>
    <x v="0"/>
  </r>
  <r>
    <s v="CUS00195"/>
    <d v="2025-12-15T00:00:00"/>
    <x v="1"/>
    <n v="31"/>
    <x v="3"/>
    <x v="6"/>
    <x v="167"/>
    <s v="Male"/>
    <s v="Bosaso"/>
    <x v="6"/>
    <x v="1"/>
  </r>
  <r>
    <s v="CUS00184"/>
    <d v="2025-12-17T00:00:00"/>
    <x v="2"/>
    <n v="64"/>
    <x v="3"/>
    <x v="6"/>
    <x v="168"/>
    <s v="Missing"/>
    <s v="Bosaso"/>
    <x v="6"/>
    <x v="1"/>
  </r>
  <r>
    <s v="CUS00107"/>
    <d v="2025-12-23T00:00:00"/>
    <x v="1"/>
    <n v="46"/>
    <x v="0"/>
    <x v="0"/>
    <x v="169"/>
    <s v="Male"/>
    <s v="Missing"/>
    <x v="0"/>
    <x v="2"/>
  </r>
  <r>
    <s v="CUS00010"/>
    <d v="2025-12-23T00:00:00"/>
    <x v="1"/>
    <n v="55"/>
    <x v="4"/>
    <x v="1"/>
    <x v="170"/>
    <s v="Male"/>
    <s v="Hargeisa"/>
    <x v="1"/>
    <x v="1"/>
  </r>
  <r>
    <s v="CUS00008"/>
    <d v="2025-12-23T00:00:00"/>
    <x v="0"/>
    <n v="60"/>
    <x v="2"/>
    <x v="2"/>
    <x v="171"/>
    <s v="Female"/>
    <s v="Baidoa"/>
    <x v="2"/>
    <x v="1"/>
  </r>
  <r>
    <s v="CUS00045"/>
    <d v="2025-12-26T00:00:00"/>
    <x v="1"/>
    <n v="60"/>
    <x v="1"/>
    <x v="4"/>
    <x v="172"/>
    <s v="Male"/>
    <s v="Mogadishu"/>
    <x v="4"/>
    <x v="1"/>
  </r>
  <r>
    <s v="CUS00046"/>
    <d v="2025-12-28T00:00:00"/>
    <x v="0"/>
    <n v="38"/>
    <x v="1"/>
    <x v="6"/>
    <x v="173"/>
    <s v="Female"/>
    <s v="Mogadishu"/>
    <x v="6"/>
    <x v="1"/>
  </r>
  <r>
    <s v="CUS00116"/>
    <d v="2025-12-29T00:00:00"/>
    <x v="0"/>
    <n v="70"/>
    <x v="3"/>
    <x v="0"/>
    <x v="174"/>
    <s v="Female"/>
    <s v="Bosaso"/>
    <x v="0"/>
    <x v="0"/>
  </r>
  <r>
    <s v="CUS00266"/>
    <d v="2025-12-30T00:00:00"/>
    <x v="1"/>
    <n v="44"/>
    <x v="6"/>
    <x v="1"/>
    <x v="175"/>
    <s v="Male"/>
    <s v="Garowe"/>
    <x v="1"/>
    <x v="0"/>
  </r>
  <r>
    <s v="CUS00016"/>
    <d v="2025-12-31T00:00:00"/>
    <x v="2"/>
    <n v="33"/>
    <x v="1"/>
    <x v="5"/>
    <x v="176"/>
    <s v="Missing"/>
    <s v="Mogadishu"/>
    <x v="5"/>
    <x v="1"/>
  </r>
  <r>
    <s v="CUS00035"/>
    <d v="2025-12-31T00:00:00"/>
    <x v="0"/>
    <n v="41"/>
    <x v="2"/>
    <x v="6"/>
    <x v="177"/>
    <s v="Female"/>
    <s v="Baidoa"/>
    <x v="6"/>
    <x v="1"/>
  </r>
  <r>
    <s v="CUS00269"/>
    <d v="2026-01-04T00:00:00"/>
    <x v="0"/>
    <n v="65"/>
    <x v="0"/>
    <x v="6"/>
    <x v="178"/>
    <s v="Female"/>
    <s v="Missing"/>
    <x v="6"/>
    <x v="0"/>
  </r>
  <r>
    <s v="CUS00141"/>
    <d v="2026-01-09T00:00:00"/>
    <x v="0"/>
    <n v="57"/>
    <x v="2"/>
    <x v="4"/>
    <x v="179"/>
    <s v="Female"/>
    <s v="Baidoa"/>
    <x v="4"/>
    <x v="1"/>
  </r>
  <r>
    <s v="CUS00087"/>
    <d v="2026-01-11T00:00:00"/>
    <x v="0"/>
    <n v="70"/>
    <x v="3"/>
    <x v="0"/>
    <x v="180"/>
    <s v="Female"/>
    <s v="Bosaso"/>
    <x v="0"/>
    <x v="2"/>
  </r>
  <r>
    <s v="CUS00200"/>
    <d v="2026-01-15T00:00:00"/>
    <x v="0"/>
    <n v="21"/>
    <x v="2"/>
    <x v="1"/>
    <x v="181"/>
    <s v="Female"/>
    <s v="Baidoa"/>
    <x v="1"/>
    <x v="0"/>
  </r>
  <r>
    <s v="CUS00054"/>
    <d v="2026-01-15T00:00:00"/>
    <x v="1"/>
    <n v="63"/>
    <x v="6"/>
    <x v="5"/>
    <x v="182"/>
    <s v="Male"/>
    <s v="Garowe"/>
    <x v="5"/>
    <x v="1"/>
  </r>
  <r>
    <m/>
    <d v="2026-01-16T00:00:00"/>
    <x v="0"/>
    <n v="44"/>
    <x v="1"/>
    <x v="6"/>
    <x v="8"/>
    <s v="Female"/>
    <s v="Mogadishu"/>
    <x v="6"/>
    <x v="0"/>
  </r>
  <r>
    <s v="CUS00165"/>
    <d v="2026-01-17T00:00:00"/>
    <x v="0"/>
    <n v="37"/>
    <x v="3"/>
    <x v="4"/>
    <x v="8"/>
    <s v="Female"/>
    <s v="Bosaso"/>
    <x v="4"/>
    <x v="0"/>
  </r>
  <r>
    <s v="CUS00095"/>
    <d v="2026-01-19T00:00:00"/>
    <x v="0"/>
    <n v="28"/>
    <x v="0"/>
    <x v="6"/>
    <x v="183"/>
    <s v="Female"/>
    <s v="Missing"/>
    <x v="6"/>
    <x v="1"/>
  </r>
  <r>
    <s v="CUS00284"/>
    <d v="2026-01-19T00:00:00"/>
    <x v="0"/>
    <n v="36"/>
    <x v="0"/>
    <x v="5"/>
    <x v="184"/>
    <s v="Female"/>
    <s v="Missing"/>
    <x v="5"/>
    <x v="0"/>
  </r>
  <r>
    <s v="CUS00098"/>
    <d v="2026-01-26T00:00:00"/>
    <x v="0"/>
    <n v="47"/>
    <x v="0"/>
    <x v="6"/>
    <x v="185"/>
    <s v="Female"/>
    <s v="Missing"/>
    <x v="6"/>
    <x v="1"/>
  </r>
  <r>
    <s v="CUS00014"/>
    <d v="2026-01-30T00:00:00"/>
    <x v="0"/>
    <n v="49"/>
    <x v="1"/>
    <x v="6"/>
    <x v="186"/>
    <s v="Female"/>
    <s v="Mogadishu"/>
    <x v="6"/>
    <x v="1"/>
  </r>
  <r>
    <s v="CUS00283"/>
    <d v="2026-02-01T00:00:00"/>
    <x v="1"/>
    <n v="55"/>
    <x v="5"/>
    <x v="2"/>
    <x v="8"/>
    <s v="Male"/>
    <s v="Kismayo"/>
    <x v="2"/>
    <x v="0"/>
  </r>
  <r>
    <s v="CUS00062"/>
    <d v="2026-02-04T00:00:00"/>
    <x v="1"/>
    <n v="47"/>
    <x v="1"/>
    <x v="2"/>
    <x v="8"/>
    <s v="Male"/>
    <s v="Mogadishu"/>
    <x v="2"/>
    <x v="0"/>
  </r>
  <r>
    <s v="CUS00147"/>
    <d v="2026-02-06T00:00:00"/>
    <x v="1"/>
    <n v="36"/>
    <x v="4"/>
    <x v="1"/>
    <x v="187"/>
    <s v="Male"/>
    <s v="Hargeisa"/>
    <x v="1"/>
    <x v="1"/>
  </r>
  <r>
    <s v="CUS00191"/>
    <d v="2026-02-06T00:00:00"/>
    <x v="0"/>
    <n v="65"/>
    <x v="4"/>
    <x v="3"/>
    <x v="188"/>
    <s v="Female"/>
    <s v="Hargeisa"/>
    <x v="3"/>
    <x v="0"/>
  </r>
  <r>
    <m/>
    <d v="2026-02-07T00:00:00"/>
    <x v="1"/>
    <n v="23"/>
    <x v="5"/>
    <x v="3"/>
    <x v="189"/>
    <s v="Male"/>
    <s v="Kismayo"/>
    <x v="3"/>
    <x v="1"/>
  </r>
  <r>
    <s v="CUS00096"/>
    <d v="2026-02-07T00:00:00"/>
    <x v="2"/>
    <n v="33"/>
    <x v="1"/>
    <x v="3"/>
    <x v="190"/>
    <s v="Missing"/>
    <s v="Mogadishu"/>
    <x v="3"/>
    <x v="0"/>
  </r>
  <r>
    <s v="CUS00073"/>
    <d v="2026-02-08T00:00:00"/>
    <x v="0"/>
    <n v="46"/>
    <x v="1"/>
    <x v="4"/>
    <x v="191"/>
    <s v="Female"/>
    <s v="Mogadishu"/>
    <x v="4"/>
    <x v="1"/>
  </r>
  <r>
    <s v="CUS00248"/>
    <d v="2026-02-11T00:00:00"/>
    <x v="0"/>
    <n v="30"/>
    <x v="0"/>
    <x v="5"/>
    <x v="192"/>
    <s v="Female"/>
    <s v="Missing"/>
    <x v="5"/>
    <x v="0"/>
  </r>
  <r>
    <s v="CUS00240"/>
    <d v="2026-02-12T00:00:00"/>
    <x v="0"/>
    <n v="22"/>
    <x v="1"/>
    <x v="6"/>
    <x v="193"/>
    <s v="Female"/>
    <s v="Mogadishu"/>
    <x v="6"/>
    <x v="0"/>
  </r>
  <r>
    <s v="CUS00236"/>
    <d v="2026-02-14T00:00:00"/>
    <x v="0"/>
    <n v="22"/>
    <x v="4"/>
    <x v="3"/>
    <x v="194"/>
    <s v="Female"/>
    <s v="Hargeisa"/>
    <x v="3"/>
    <x v="0"/>
  </r>
  <r>
    <s v="CUS00190"/>
    <d v="2026-02-15T00:00:00"/>
    <x v="0"/>
    <n v="58"/>
    <x v="3"/>
    <x v="2"/>
    <x v="195"/>
    <s v="Female"/>
    <s v="Bosaso"/>
    <x v="2"/>
    <x v="0"/>
  </r>
  <r>
    <s v="CUS00201"/>
    <d v="2026-02-17T00:00:00"/>
    <x v="0"/>
    <n v="55"/>
    <x v="4"/>
    <x v="3"/>
    <x v="196"/>
    <s v="Female"/>
    <s v="Hargeisa"/>
    <x v="3"/>
    <x v="0"/>
  </r>
  <r>
    <s v="CUS00188"/>
    <d v="2026-02-20T00:00:00"/>
    <x v="1"/>
    <n v="30"/>
    <x v="3"/>
    <x v="1"/>
    <x v="197"/>
    <s v="Male"/>
    <s v="Bosaso"/>
    <x v="1"/>
    <x v="0"/>
  </r>
  <r>
    <s v="CUS00029"/>
    <d v="2026-02-24T00:00:00"/>
    <x v="1"/>
    <n v="50"/>
    <x v="6"/>
    <x v="2"/>
    <x v="198"/>
    <s v="Male"/>
    <s v="Garowe"/>
    <x v="2"/>
    <x v="1"/>
  </r>
  <r>
    <s v="CUS00220"/>
    <d v="2026-02-27T00:00:00"/>
    <x v="0"/>
    <n v="60"/>
    <x v="3"/>
    <x v="1"/>
    <x v="199"/>
    <s v="Female"/>
    <s v="Bosaso"/>
    <x v="1"/>
    <x v="0"/>
  </r>
  <r>
    <s v="CUS00085"/>
    <d v="2026-02-28T00:00:00"/>
    <x v="0"/>
    <n v="62"/>
    <x v="1"/>
    <x v="2"/>
    <x v="200"/>
    <s v="Female"/>
    <s v="Mogadishu"/>
    <x v="2"/>
    <x v="0"/>
  </r>
  <r>
    <s v="CUS00023"/>
    <d v="2026-03-01T00:00:00"/>
    <x v="0"/>
    <n v="32"/>
    <x v="5"/>
    <x v="3"/>
    <x v="201"/>
    <s v="Female"/>
    <s v="Kismayo"/>
    <x v="3"/>
    <x v="1"/>
  </r>
  <r>
    <s v="CUS00185"/>
    <d v="2026-03-08T00:00:00"/>
    <x v="0"/>
    <n v="43"/>
    <x v="1"/>
    <x v="1"/>
    <x v="202"/>
    <s v="Female"/>
    <s v="Mogadishu"/>
    <x v="1"/>
    <x v="0"/>
  </r>
  <r>
    <s v="CUS00013"/>
    <d v="2026-03-09T00:00:00"/>
    <x v="0"/>
    <n v="43"/>
    <x v="1"/>
    <x v="5"/>
    <x v="203"/>
    <s v="Female"/>
    <s v="Mogadishu"/>
    <x v="5"/>
    <x v="1"/>
  </r>
  <r>
    <s v="CUS00108"/>
    <d v="2026-03-12T00:00:00"/>
    <x v="0"/>
    <n v="52"/>
    <x v="1"/>
    <x v="7"/>
    <x v="204"/>
    <s v="Female"/>
    <s v="Mogadishu"/>
    <x v="7"/>
    <x v="1"/>
  </r>
  <r>
    <s v="CUS00162"/>
    <d v="2026-03-13T00:00:00"/>
    <x v="0"/>
    <n v="29"/>
    <x v="3"/>
    <x v="5"/>
    <x v="205"/>
    <s v="Female"/>
    <s v="Bosaso"/>
    <x v="5"/>
    <x v="1"/>
  </r>
  <r>
    <s v="CUS00104"/>
    <d v="2026-03-13T00:00:00"/>
    <x v="1"/>
    <n v="43"/>
    <x v="1"/>
    <x v="0"/>
    <x v="206"/>
    <s v="Male"/>
    <s v="Mogadishu"/>
    <x v="0"/>
    <x v="0"/>
  </r>
  <r>
    <s v="CUS00018"/>
    <d v="2026-03-13T00:00:00"/>
    <x v="0"/>
    <n v="44"/>
    <x v="1"/>
    <x v="6"/>
    <x v="207"/>
    <s v="Female"/>
    <s v="Mogadishu"/>
    <x v="6"/>
    <x v="0"/>
  </r>
  <r>
    <s v="CUS00068"/>
    <d v="2026-03-18T00:00:00"/>
    <x v="1"/>
    <n v="45"/>
    <x v="2"/>
    <x v="4"/>
    <x v="208"/>
    <s v="Male"/>
    <s v="Baidoa"/>
    <x v="4"/>
    <x v="1"/>
  </r>
  <r>
    <s v="CUS00064"/>
    <d v="2026-03-22T00:00:00"/>
    <x v="1"/>
    <n v="64"/>
    <x v="3"/>
    <x v="0"/>
    <x v="209"/>
    <s v="Male"/>
    <s v="Bosaso"/>
    <x v="0"/>
    <x v="1"/>
  </r>
  <r>
    <s v="CUS00278"/>
    <d v="2026-03-28T00:00:00"/>
    <x v="0"/>
    <n v="40"/>
    <x v="4"/>
    <x v="1"/>
    <x v="210"/>
    <s v="Female"/>
    <s v="Hargeisa"/>
    <x v="1"/>
    <x v="1"/>
  </r>
  <r>
    <s v="CUS00039"/>
    <d v="2026-03-28T00:00:00"/>
    <x v="0"/>
    <n v="63"/>
    <x v="3"/>
    <x v="0"/>
    <x v="211"/>
    <s v="Female"/>
    <s v="Bosaso"/>
    <x v="0"/>
    <x v="0"/>
  </r>
  <r>
    <s v="CUS00168"/>
    <d v="2026-04-04T00:00:00"/>
    <x v="0"/>
    <n v="40"/>
    <x v="0"/>
    <x v="6"/>
    <x v="212"/>
    <s v="Female"/>
    <s v="Missing"/>
    <x v="6"/>
    <x v="1"/>
  </r>
  <r>
    <s v="CUS00142"/>
    <d v="2026-04-12T00:00:00"/>
    <x v="1"/>
    <n v="24"/>
    <x v="1"/>
    <x v="2"/>
    <x v="213"/>
    <s v="Male"/>
    <s v="Mogadishu"/>
    <x v="2"/>
    <x v="0"/>
  </r>
  <r>
    <s v="CUS00015"/>
    <d v="2026-04-15T00:00:00"/>
    <x v="1"/>
    <n v="70"/>
    <x v="5"/>
    <x v="0"/>
    <x v="214"/>
    <s v="Male"/>
    <s v="Kismayo"/>
    <x v="0"/>
    <x v="0"/>
  </r>
  <r>
    <s v="CUS00024"/>
    <d v="2026-04-17T00:00:00"/>
    <x v="0"/>
    <n v="18"/>
    <x v="1"/>
    <x v="3"/>
    <x v="215"/>
    <s v="Female"/>
    <s v="Mogadishu"/>
    <x v="3"/>
    <x v="0"/>
  </r>
  <r>
    <s v="CUS00127"/>
    <d v="2026-04-21T00:00:00"/>
    <x v="0"/>
    <n v="46"/>
    <x v="4"/>
    <x v="4"/>
    <x v="216"/>
    <s v="Female"/>
    <s v="Hargeisa"/>
    <x v="4"/>
    <x v="1"/>
  </r>
  <r>
    <s v="CUS00145"/>
    <d v="2026-04-24T00:00:00"/>
    <x v="0"/>
    <n v="57"/>
    <x v="5"/>
    <x v="0"/>
    <x v="217"/>
    <s v="Female"/>
    <s v="Kismayo"/>
    <x v="0"/>
    <x v="1"/>
  </r>
  <r>
    <s v="CUS00243"/>
    <d v="2026-04-25T00:00:00"/>
    <x v="0"/>
    <n v="28"/>
    <x v="5"/>
    <x v="5"/>
    <x v="218"/>
    <s v="Female"/>
    <s v="Kismayo"/>
    <x v="5"/>
    <x v="1"/>
  </r>
  <r>
    <s v="CUS00032"/>
    <d v="2026-04-25T00:00:00"/>
    <x v="1"/>
    <n v="44"/>
    <x v="4"/>
    <x v="1"/>
    <x v="219"/>
    <s v="Male"/>
    <s v="Hargeisa"/>
    <x v="1"/>
    <x v="0"/>
  </r>
  <r>
    <s v="CUS00050"/>
    <d v="2026-05-04T00:00:00"/>
    <x v="0"/>
    <n v="18"/>
    <x v="1"/>
    <x v="0"/>
    <x v="220"/>
    <s v="Female"/>
    <s v="Mogadishu"/>
    <x v="0"/>
    <x v="1"/>
  </r>
  <r>
    <s v="CUS00267"/>
    <d v="2026-05-04T00:00:00"/>
    <x v="0"/>
    <n v="43"/>
    <x v="3"/>
    <x v="4"/>
    <x v="221"/>
    <s v="Female"/>
    <s v="Bosaso"/>
    <x v="4"/>
    <x v="1"/>
  </r>
  <r>
    <s v="CUS00066"/>
    <d v="2026-05-06T00:00:00"/>
    <x v="1"/>
    <n v="52"/>
    <x v="1"/>
    <x v="1"/>
    <x v="222"/>
    <s v="Male"/>
    <s v="Mogadishu"/>
    <x v="1"/>
    <x v="0"/>
  </r>
  <r>
    <s v="CUS00253"/>
    <d v="2026-05-08T00:00:00"/>
    <x v="1"/>
    <n v="67"/>
    <x v="1"/>
    <x v="3"/>
    <x v="223"/>
    <s v="Male"/>
    <s v="Mogadishu"/>
    <x v="3"/>
    <x v="0"/>
  </r>
  <r>
    <m/>
    <d v="2026-05-09T00:00:00"/>
    <x v="0"/>
    <n v="50"/>
    <x v="1"/>
    <x v="6"/>
    <x v="224"/>
    <s v="Female"/>
    <s v="Mogadishu"/>
    <x v="6"/>
    <x v="0"/>
  </r>
  <r>
    <s v="CUS00059"/>
    <d v="2026-05-15T00:00:00"/>
    <x v="1"/>
    <n v="42"/>
    <x v="3"/>
    <x v="0"/>
    <x v="8"/>
    <s v="Male"/>
    <s v="Bosaso"/>
    <x v="0"/>
    <x v="0"/>
  </r>
  <r>
    <s v="CUS00074"/>
    <d v="2026-05-15T00:00:00"/>
    <x v="0"/>
    <n v="44"/>
    <x v="4"/>
    <x v="0"/>
    <x v="225"/>
    <s v="Female"/>
    <s v="Hargeisa"/>
    <x v="0"/>
    <x v="1"/>
  </r>
  <r>
    <s v="CUS00037"/>
    <d v="2026-05-15T00:00:00"/>
    <x v="0"/>
    <n v="61"/>
    <x v="4"/>
    <x v="4"/>
    <x v="226"/>
    <s v="Female"/>
    <s v="Hargeisa"/>
    <x v="4"/>
    <x v="1"/>
  </r>
  <r>
    <s v="CUS00041"/>
    <d v="2026-05-15T00:00:00"/>
    <x v="2"/>
    <n v="65"/>
    <x v="2"/>
    <x v="0"/>
    <x v="227"/>
    <s v="Missing"/>
    <s v="Baidoa"/>
    <x v="0"/>
    <x v="0"/>
  </r>
  <r>
    <s v="CUS00082"/>
    <d v="2026-05-16T00:00:00"/>
    <x v="0"/>
    <n v="30"/>
    <x v="1"/>
    <x v="0"/>
    <x v="228"/>
    <s v="Female"/>
    <s v="Mogadishu"/>
    <x v="0"/>
    <x v="2"/>
  </r>
  <r>
    <s v="CUS00155"/>
    <d v="2026-05-17T00:00:00"/>
    <x v="0"/>
    <n v="27"/>
    <x v="4"/>
    <x v="7"/>
    <x v="229"/>
    <s v="Female"/>
    <s v="Hargeisa"/>
    <x v="7"/>
    <x v="1"/>
  </r>
  <r>
    <s v="CUS00233"/>
    <d v="2026-05-17T00:00:00"/>
    <x v="0"/>
    <n v="39"/>
    <x v="3"/>
    <x v="1"/>
    <x v="230"/>
    <s v="Female"/>
    <s v="Bosaso"/>
    <x v="1"/>
    <x v="0"/>
  </r>
  <r>
    <s v="CUS00061"/>
    <d v="2026-05-19T00:00:00"/>
    <x v="0"/>
    <n v="53"/>
    <x v="1"/>
    <x v="2"/>
    <x v="8"/>
    <s v="Female"/>
    <s v="Mogadishu"/>
    <x v="2"/>
    <x v="0"/>
  </r>
  <r>
    <s v="CUS00250"/>
    <d v="2026-05-21T00:00:00"/>
    <x v="0"/>
    <n v="29"/>
    <x v="1"/>
    <x v="6"/>
    <x v="231"/>
    <s v="Female"/>
    <s v="Mogadishu"/>
    <x v="6"/>
    <x v="0"/>
  </r>
  <r>
    <s v="CUS00092"/>
    <d v="2026-05-24T00:00:00"/>
    <x v="1"/>
    <n v="69"/>
    <x v="1"/>
    <x v="1"/>
    <x v="232"/>
    <s v="Male"/>
    <s v="Mogadishu"/>
    <x v="1"/>
    <x v="0"/>
  </r>
  <r>
    <s v="CUS00192"/>
    <d v="2026-05-26T00:00:00"/>
    <x v="1"/>
    <n v="44"/>
    <x v="4"/>
    <x v="4"/>
    <x v="233"/>
    <s v="Male"/>
    <s v="Hargeisa"/>
    <x v="4"/>
    <x v="1"/>
  </r>
  <r>
    <s v="CUS00290"/>
    <d v="2026-05-27T00:00:00"/>
    <x v="0"/>
    <n v="36"/>
    <x v="4"/>
    <x v="7"/>
    <x v="234"/>
    <s v="Female"/>
    <s v="Hargeisa"/>
    <x v="7"/>
    <x v="1"/>
  </r>
  <r>
    <s v="CUS00281"/>
    <d v="2026-05-31T00:00:00"/>
    <x v="0"/>
    <n v="34"/>
    <x v="4"/>
    <x v="2"/>
    <x v="235"/>
    <s v="Female"/>
    <s v="Hargeisa"/>
    <x v="2"/>
    <x v="0"/>
  </r>
  <r>
    <s v="CUS00176"/>
    <d v="2026-05-31T00:00:00"/>
    <x v="1"/>
    <n v="44"/>
    <x v="4"/>
    <x v="5"/>
    <x v="236"/>
    <s v="Male"/>
    <s v="Hargeisa"/>
    <x v="5"/>
    <x v="1"/>
  </r>
  <r>
    <s v="CUS00129"/>
    <d v="2026-05-31T00:00:00"/>
    <x v="2"/>
    <n v="49"/>
    <x v="5"/>
    <x v="6"/>
    <x v="237"/>
    <s v="Missing"/>
    <s v="Kismayo"/>
    <x v="6"/>
    <x v="0"/>
  </r>
  <r>
    <s v="CUS00199"/>
    <d v="2026-06-10T00:00:00"/>
    <x v="1"/>
    <n v="65"/>
    <x v="1"/>
    <x v="1"/>
    <x v="238"/>
    <s v="Male"/>
    <s v="Mogadishu"/>
    <x v="1"/>
    <x v="1"/>
  </r>
  <r>
    <s v="CUS00238"/>
    <d v="2026-06-11T00:00:00"/>
    <x v="1"/>
    <n v="62"/>
    <x v="6"/>
    <x v="3"/>
    <x v="239"/>
    <s v="Male"/>
    <s v="Garowe"/>
    <x v="3"/>
    <x v="1"/>
  </r>
  <r>
    <s v="CUS00280"/>
    <d v="2026-06-14T00:00:00"/>
    <x v="1"/>
    <n v="32"/>
    <x v="5"/>
    <x v="4"/>
    <x v="240"/>
    <s v="Male"/>
    <s v="Kismayo"/>
    <x v="4"/>
    <x v="1"/>
  </r>
  <r>
    <s v="CUS00212"/>
    <d v="2026-06-16T00:00:00"/>
    <x v="1"/>
    <n v="31"/>
    <x v="1"/>
    <x v="5"/>
    <x v="241"/>
    <s v="Male"/>
    <s v="Mogadishu"/>
    <x v="5"/>
    <x v="1"/>
  </r>
  <r>
    <s v="CUS00178"/>
    <d v="2026-06-17T00:00:00"/>
    <x v="1"/>
    <n v="32"/>
    <x v="6"/>
    <x v="0"/>
    <x v="242"/>
    <s v="Male"/>
    <s v="Garowe"/>
    <x v="0"/>
    <x v="2"/>
  </r>
  <r>
    <s v="CUS00075"/>
    <d v="2026-06-17T00:00:00"/>
    <x v="0"/>
    <n v="47"/>
    <x v="2"/>
    <x v="0"/>
    <x v="243"/>
    <s v="Female"/>
    <s v="Baidoa"/>
    <x v="0"/>
    <x v="2"/>
  </r>
  <r>
    <s v="CUS00070"/>
    <d v="2026-06-24T00:00:00"/>
    <x v="1"/>
    <n v="38"/>
    <x v="1"/>
    <x v="5"/>
    <x v="244"/>
    <s v="Male"/>
    <s v="Mogadishu"/>
    <x v="5"/>
    <x v="1"/>
  </r>
  <r>
    <s v="CUS00093"/>
    <d v="2026-07-02T00:00:00"/>
    <x v="1"/>
    <n v="59"/>
    <x v="2"/>
    <x v="4"/>
    <x v="245"/>
    <s v="Male"/>
    <s v="Baidoa"/>
    <x v="4"/>
    <x v="1"/>
  </r>
  <r>
    <s v="CUS00193"/>
    <d v="2026-07-07T00:00:00"/>
    <x v="1"/>
    <n v="61"/>
    <x v="1"/>
    <x v="3"/>
    <x v="246"/>
    <s v="Male"/>
    <s v="Mogadishu"/>
    <x v="3"/>
    <x v="0"/>
  </r>
  <r>
    <m/>
    <d v="2026-07-08T00:00:00"/>
    <x v="0"/>
    <n v="61"/>
    <x v="4"/>
    <x v="4"/>
    <x v="247"/>
    <s v="Female"/>
    <s v="Hargeisa"/>
    <x v="4"/>
    <x v="1"/>
  </r>
  <r>
    <s v="CUS00036"/>
    <d v="2026-07-09T00:00:00"/>
    <x v="0"/>
    <n v="45"/>
    <x v="3"/>
    <x v="6"/>
    <x v="248"/>
    <s v="Female"/>
    <s v="Bosaso"/>
    <x v="6"/>
    <x v="1"/>
  </r>
  <r>
    <m/>
    <d v="2026-07-19T00:00:00"/>
    <x v="1"/>
    <n v="22"/>
    <x v="1"/>
    <x v="5"/>
    <x v="249"/>
    <s v="Male"/>
    <s v="Mogadishu"/>
    <x v="5"/>
    <x v="1"/>
  </r>
  <r>
    <s v="CUS00163"/>
    <d v="2026-07-22T00:00:00"/>
    <x v="1"/>
    <n v="53"/>
    <x v="4"/>
    <x v="0"/>
    <x v="250"/>
    <s v="Male"/>
    <s v="Hargeisa"/>
    <x v="0"/>
    <x v="0"/>
  </r>
  <r>
    <s v="CUS00291"/>
    <d v="2026-07-23T00:00:00"/>
    <x v="1"/>
    <n v="19"/>
    <x v="1"/>
    <x v="2"/>
    <x v="251"/>
    <s v="Male"/>
    <s v="Mogadishu"/>
    <x v="2"/>
    <x v="0"/>
  </r>
  <r>
    <s v="CUS00084"/>
    <d v="2026-07-25T00:00:00"/>
    <x v="1"/>
    <n v="62"/>
    <x v="4"/>
    <x v="2"/>
    <x v="252"/>
    <s v="Male"/>
    <s v="Hargeisa"/>
    <x v="2"/>
    <x v="1"/>
  </r>
  <r>
    <s v="CUS00011"/>
    <d v="2026-07-27T00:00:00"/>
    <x v="2"/>
    <n v="70"/>
    <x v="1"/>
    <x v="1"/>
    <x v="253"/>
    <s v="Missing"/>
    <s v="Mogadishu"/>
    <x v="1"/>
    <x v="0"/>
  </r>
  <r>
    <s v="CUS00158"/>
    <s v="Missing"/>
    <x v="1"/>
    <n v="24"/>
    <x v="3"/>
    <x v="2"/>
    <x v="254"/>
    <s v="Male"/>
    <s v="Bosaso"/>
    <x v="2"/>
    <x v="1"/>
  </r>
  <r>
    <s v="CUS00031"/>
    <s v="Missing"/>
    <x v="0"/>
    <n v="28"/>
    <x v="2"/>
    <x v="3"/>
    <x v="255"/>
    <s v="Female"/>
    <s v="Baidoa"/>
    <x v="3"/>
    <x v="1"/>
  </r>
  <r>
    <s v="CUS00215"/>
    <s v="Missing"/>
    <x v="1"/>
    <n v="31"/>
    <x v="1"/>
    <x v="0"/>
    <x v="256"/>
    <s v="Male"/>
    <s v="Mogadishu"/>
    <x v="0"/>
    <x v="2"/>
  </r>
  <r>
    <s v="CUS00265"/>
    <s v="Missing"/>
    <x v="0"/>
    <n v="33"/>
    <x v="1"/>
    <x v="8"/>
    <x v="257"/>
    <s v="Female"/>
    <s v="Mogadishu"/>
    <x v="3"/>
    <x v="0"/>
  </r>
  <r>
    <s v="CUS00090"/>
    <s v="Missing"/>
    <x v="1"/>
    <n v="33"/>
    <x v="5"/>
    <x v="6"/>
    <x v="258"/>
    <s v="Male"/>
    <s v="Kismayo"/>
    <x v="6"/>
    <x v="1"/>
  </r>
  <r>
    <s v="CUS00034"/>
    <s v="Missing"/>
    <x v="1"/>
    <n v="39"/>
    <x v="2"/>
    <x v="5"/>
    <x v="259"/>
    <s v="Male"/>
    <s v="Baidoa"/>
    <x v="5"/>
    <x v="0"/>
  </r>
  <r>
    <s v="CUS00205"/>
    <s v="Missing"/>
    <x v="0"/>
    <n v="40"/>
    <x v="1"/>
    <x v="6"/>
    <x v="260"/>
    <s v="Female"/>
    <s v="Mogadishu"/>
    <x v="6"/>
    <x v="1"/>
  </r>
  <r>
    <s v="CUS00049"/>
    <s v="Missing"/>
    <x v="0"/>
    <n v="44"/>
    <x v="6"/>
    <x v="3"/>
    <x v="48"/>
    <s v="Female"/>
    <s v="Garowe"/>
    <x v="3"/>
    <x v="1"/>
  </r>
  <r>
    <s v="CUS00055"/>
    <s v="Missing"/>
    <x v="0"/>
    <n v="45"/>
    <x v="6"/>
    <x v="1"/>
    <x v="261"/>
    <s v="Female"/>
    <s v="Garowe"/>
    <x v="1"/>
    <x v="0"/>
  </r>
  <r>
    <s v="CUS00057"/>
    <s v="Missing"/>
    <x v="1"/>
    <n v="46"/>
    <x v="5"/>
    <x v="5"/>
    <x v="262"/>
    <s v="Male"/>
    <s v="Kismayo"/>
    <x v="5"/>
    <x v="1"/>
  </r>
  <r>
    <s v="CUS00071"/>
    <s v="Missing"/>
    <x v="0"/>
    <n v="48"/>
    <x v="6"/>
    <x v="3"/>
    <x v="263"/>
    <s v="Female"/>
    <s v="Garowe"/>
    <x v="3"/>
    <x v="1"/>
  </r>
  <r>
    <m/>
    <s v="Missing"/>
    <x v="1"/>
    <n v="50"/>
    <x v="4"/>
    <x v="0"/>
    <x v="264"/>
    <s v="Male"/>
    <s v="Hargeisa"/>
    <x v="0"/>
    <x v="2"/>
  </r>
  <r>
    <s v="CUS00020"/>
    <s v="Missing"/>
    <x v="0"/>
    <n v="53"/>
    <x v="3"/>
    <x v="2"/>
    <x v="265"/>
    <s v="Female"/>
    <s v="Bosaso"/>
    <x v="2"/>
    <x v="1"/>
  </r>
  <r>
    <s v="CUS00130"/>
    <s v="Missing"/>
    <x v="0"/>
    <n v="55"/>
    <x v="5"/>
    <x v="2"/>
    <x v="266"/>
    <s v="Female"/>
    <s v="Kismayo"/>
    <x v="2"/>
    <x v="2"/>
  </r>
  <r>
    <s v="CUS00022"/>
    <s v="Missing"/>
    <x v="0"/>
    <n v="55"/>
    <x v="1"/>
    <x v="3"/>
    <x v="267"/>
    <s v="Female"/>
    <s v="Mogadishu"/>
    <x v="3"/>
    <x v="1"/>
  </r>
  <r>
    <s v="CUS00174"/>
    <s v="Missing"/>
    <x v="1"/>
    <n v="55"/>
    <x v="6"/>
    <x v="5"/>
    <x v="268"/>
    <s v="Male"/>
    <s v="Garowe"/>
    <x v="5"/>
    <x v="1"/>
  </r>
  <r>
    <s v="CUS00177"/>
    <s v="Missing"/>
    <x v="1"/>
    <n v="57"/>
    <x v="1"/>
    <x v="1"/>
    <x v="269"/>
    <s v="Male"/>
    <s v="Mogadishu"/>
    <x v="1"/>
    <x v="1"/>
  </r>
  <r>
    <m/>
    <s v="Missing"/>
    <x v="1"/>
    <n v="63"/>
    <x v="4"/>
    <x v="4"/>
    <x v="270"/>
    <s v="Male"/>
    <s v="Hargeisa"/>
    <x v="4"/>
    <x v="1"/>
  </r>
  <r>
    <s v="CUS00099"/>
    <s v="Missing"/>
    <x v="1"/>
    <n v="70"/>
    <x v="3"/>
    <x v="0"/>
    <x v="271"/>
    <s v="Male"/>
    <s v="Bosaso"/>
    <x v="0"/>
    <x v="0"/>
  </r>
  <r>
    <s v="CUS00170"/>
    <s v="Missing"/>
    <x v="1"/>
    <n v="107"/>
    <x v="6"/>
    <x v="2"/>
    <x v="272"/>
    <s v="Male"/>
    <s v="Garowe"/>
    <x v="2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s v="Business Owner"/>
    <n v="1455.22"/>
    <s v="Female"/>
    <x v="0"/>
    <s v="Business Owner"/>
    <x v="0"/>
    <x v="0"/>
    <x v="0"/>
  </r>
  <r>
    <s v="CUS00196"/>
    <d v="2025-01-05T00:00:00"/>
    <x v="1"/>
    <n v="33"/>
    <x v="1"/>
    <s v="Healthcare"/>
    <n v="1250.21"/>
    <s v="Male"/>
    <x v="1"/>
    <s v="Healthcare"/>
    <x v="0"/>
    <x v="0"/>
    <x v="0"/>
  </r>
  <r>
    <s v="CUS00115"/>
    <d v="2025-01-07T00:00:00"/>
    <x v="1"/>
    <n v="30"/>
    <x v="2"/>
    <s v="Engineer"/>
    <n v="602"/>
    <s v="Male"/>
    <x v="2"/>
    <s v="Engineer"/>
    <x v="1"/>
    <x v="0"/>
    <x v="0"/>
  </r>
  <r>
    <s v="CUS00006"/>
    <d v="2025-01-08T00:00:00"/>
    <x v="0"/>
    <n v="40"/>
    <x v="3"/>
    <s v="Civil Servant"/>
    <n v="789.1"/>
    <s v="Female"/>
    <x v="3"/>
    <s v="Civil Servant"/>
    <x v="1"/>
    <x v="0"/>
    <x v="0"/>
  </r>
  <r>
    <s v="CUS00103"/>
    <d v="2025-01-08T00:00:00"/>
    <x v="1"/>
    <n v="66"/>
    <x v="4"/>
    <s v="Business Owner"/>
    <n v="1964.48"/>
    <s v="Male"/>
    <x v="4"/>
    <s v="Business Owner"/>
    <x v="2"/>
    <x v="0"/>
    <x v="0"/>
  </r>
  <r>
    <s v="CUS00157"/>
    <d v="2025-01-10T00:00:00"/>
    <x v="0"/>
    <n v="51"/>
    <x v="1"/>
    <s v="Business Owner"/>
    <n v="1547.72"/>
    <s v="Female"/>
    <x v="1"/>
    <s v="Business Owner"/>
    <x v="2"/>
    <x v="0"/>
    <x v="0"/>
  </r>
  <r>
    <s v="CUS00076"/>
    <d v="2025-01-10T00:00:00"/>
    <x v="1"/>
    <n v="62"/>
    <x v="1"/>
    <s v="Engineer"/>
    <n v="881.22"/>
    <s v="Male"/>
    <x v="1"/>
    <s v="Engineer"/>
    <x v="0"/>
    <x v="0"/>
    <x v="0"/>
  </r>
  <r>
    <s v="CUS00067"/>
    <d v="2025-01-13T00:00:00"/>
    <x v="1"/>
    <n v="19"/>
    <x v="5"/>
    <s v="student"/>
    <n v="278.61"/>
    <s v="Male"/>
    <x v="5"/>
    <s v="Student"/>
    <x v="1"/>
    <x v="0"/>
    <x v="0"/>
  </r>
  <r>
    <s v="CUS00287"/>
    <d v="2025-01-14T00:00:00"/>
    <x v="0"/>
    <n v="19"/>
    <x v="1"/>
    <s v="student"/>
    <n v="923.87"/>
    <s v="Female"/>
    <x v="1"/>
    <s v="Student"/>
    <x v="0"/>
    <x v="0"/>
    <x v="0"/>
  </r>
  <r>
    <s v="CUS00257"/>
    <d v="2025-01-16T00:00:00"/>
    <x v="1"/>
    <n v="43"/>
    <x v="4"/>
    <s v="student"/>
    <n v="127.29"/>
    <s v="Male"/>
    <x v="4"/>
    <s v="Student"/>
    <x v="1"/>
    <x v="0"/>
    <x v="0"/>
  </r>
  <r>
    <s v="CUS00279"/>
    <d v="2025-01-17T00:00:00"/>
    <x v="2"/>
    <n v="18"/>
    <x v="6"/>
    <s v="student"/>
    <n v="312.77"/>
    <s v="Missing"/>
    <x v="6"/>
    <s v="Student"/>
    <x v="1"/>
    <x v="0"/>
    <x v="0"/>
  </r>
  <r>
    <s v="CUS00270"/>
    <d v="2025-01-19T00:00:00"/>
    <x v="1"/>
    <n v="44"/>
    <x v="1"/>
    <s v="Business Owner"/>
    <n v="1015.92"/>
    <s v="Male"/>
    <x v="1"/>
    <s v="Business Owner"/>
    <x v="0"/>
    <x v="0"/>
    <x v="0"/>
  </r>
  <r>
    <s v="CUS00005"/>
    <d v="2025-01-20T00:00:00"/>
    <x v="1"/>
    <n v="49"/>
    <x v="1"/>
    <s v="Healthcare"/>
    <n v="1024.44"/>
    <s v="Male"/>
    <x v="1"/>
    <s v="Healthcare"/>
    <x v="0"/>
    <x v="0"/>
    <x v="0"/>
  </r>
  <r>
    <s v="CUS00186"/>
    <d v="2025-01-21T00:00:00"/>
    <x v="1"/>
    <n v="53"/>
    <x v="4"/>
    <s v="Engineer"/>
    <n v="926.65"/>
    <s v="Male"/>
    <x v="4"/>
    <s v="Engineer"/>
    <x v="0"/>
    <x v="0"/>
    <x v="0"/>
  </r>
  <r>
    <s v="CUS00252"/>
    <d v="2025-01-22T00:00:00"/>
    <x v="0"/>
    <n v="70"/>
    <x v="1"/>
    <s v="Business Owner"/>
    <n v="2040.09"/>
    <s v="Female"/>
    <x v="1"/>
    <s v="Business Owner"/>
    <x v="2"/>
    <x v="0"/>
    <x v="0"/>
  </r>
  <r>
    <s v="CUS00030"/>
    <d v="2025-01-23T00:00:00"/>
    <x v="0"/>
    <n v="28"/>
    <x v="2"/>
    <s v="Healthcare"/>
    <n v="836.87"/>
    <s v="Female"/>
    <x v="2"/>
    <s v="Healthcare"/>
    <x v="0"/>
    <x v="0"/>
    <x v="0"/>
  </r>
  <r>
    <s v="CUS00235"/>
    <d v="2025-01-24T00:00:00"/>
    <x v="0"/>
    <n v="19"/>
    <x v="6"/>
    <s v="Teacher"/>
    <n v="579.54999999999995"/>
    <s v="Female"/>
    <x v="6"/>
    <s v="Teacher"/>
    <x v="1"/>
    <x v="0"/>
    <x v="0"/>
  </r>
  <r>
    <s v="CUS00052"/>
    <d v="2025-01-25T00:00:00"/>
    <x v="0"/>
    <n v="63"/>
    <x v="1"/>
    <s v="Healthcare"/>
    <n v="954.9"/>
    <s v="Female"/>
    <x v="1"/>
    <s v="Healthcare"/>
    <x v="0"/>
    <x v="0"/>
    <x v="0"/>
  </r>
  <r>
    <s v="CUS00058"/>
    <d v="2025-02-03T00:00:00"/>
    <x v="1"/>
    <n v="20"/>
    <x v="0"/>
    <s v="Teacher"/>
    <n v="526.37"/>
    <s v="Male"/>
    <x v="0"/>
    <s v="Teacher"/>
    <x v="1"/>
    <x v="0"/>
    <x v="1"/>
  </r>
  <r>
    <s v="CUS00181"/>
    <d v="2025-02-03T00:00:00"/>
    <x v="1"/>
    <n v="26"/>
    <x v="1"/>
    <s v="Engineer"/>
    <n v="1086.56"/>
    <s v="Male"/>
    <x v="1"/>
    <s v="Engineer"/>
    <x v="0"/>
    <x v="0"/>
    <x v="1"/>
  </r>
  <r>
    <s v="CUS00206"/>
    <d v="2025-02-06T00:00:00"/>
    <x v="0"/>
    <n v="20"/>
    <x v="1"/>
    <s v="Civil Servant"/>
    <n v="923.87"/>
    <s v="Female"/>
    <x v="1"/>
    <s v="Civil Servant"/>
    <x v="0"/>
    <x v="0"/>
    <x v="1"/>
  </r>
  <r>
    <s v="CUS00230"/>
    <d v="2025-02-08T00:00:00"/>
    <x v="0"/>
    <n v="62"/>
    <x v="4"/>
    <s v="student"/>
    <n v="210.96"/>
    <s v="Female"/>
    <x v="4"/>
    <s v="Student"/>
    <x v="1"/>
    <x v="0"/>
    <x v="1"/>
  </r>
  <r>
    <s v="CUS00025"/>
    <d v="2025-02-15T00:00:00"/>
    <x v="1"/>
    <n v="52"/>
    <x v="4"/>
    <s v="Self-Employed"/>
    <n v="1214.6199999999999"/>
    <s v="Male"/>
    <x v="4"/>
    <s v="Self-Employed"/>
    <x v="0"/>
    <x v="0"/>
    <x v="1"/>
  </r>
  <r>
    <s v="CUS00211"/>
    <d v="2025-02-15T00:00:00"/>
    <x v="1"/>
    <n v="66"/>
    <x v="4"/>
    <s v="Healthcare"/>
    <n v="1215.9100000000001"/>
    <s v="Male"/>
    <x v="4"/>
    <s v="Healthcare"/>
    <x v="0"/>
    <x v="0"/>
    <x v="1"/>
  </r>
  <r>
    <s v="CUS00207"/>
    <d v="2025-02-17T00:00:00"/>
    <x v="1"/>
    <n v="52"/>
    <x v="6"/>
    <s v="Missing "/>
    <n v="494.83"/>
    <s v="Male"/>
    <x v="6"/>
    <s v="Missing"/>
    <x v="1"/>
    <x v="0"/>
    <x v="1"/>
  </r>
  <r>
    <s v="CUS00203"/>
    <d v="2025-02-18T00:00:00"/>
    <x v="0"/>
    <n v="35"/>
    <x v="2"/>
    <s v="Civil Servant"/>
    <n v="646.07000000000005"/>
    <s v="Female"/>
    <x v="2"/>
    <s v="Civil Servant"/>
    <x v="1"/>
    <x v="0"/>
    <x v="1"/>
  </r>
  <r>
    <s v="CUS00202"/>
    <d v="2025-02-21T00:00:00"/>
    <x v="1"/>
    <n v="44"/>
    <x v="3"/>
    <s v="Teacher"/>
    <n v="409.49"/>
    <s v="Male"/>
    <x v="3"/>
    <s v="Teacher"/>
    <x v="1"/>
    <x v="0"/>
    <x v="1"/>
  </r>
  <r>
    <s v="CUS00223"/>
    <d v="2025-02-27T00:00:00"/>
    <x v="0"/>
    <n v="34"/>
    <x v="5"/>
    <s v="Self-Employed"/>
    <n v="835.61"/>
    <s v="Female"/>
    <x v="5"/>
    <s v="Self-Employed"/>
    <x v="0"/>
    <x v="0"/>
    <x v="1"/>
  </r>
  <r>
    <s v="CUS00231"/>
    <d v="2025-02-27T00:00:00"/>
    <x v="1"/>
    <n v="54"/>
    <x v="1"/>
    <s v="Business Owner"/>
    <n v="923.87"/>
    <s v="Male"/>
    <x v="1"/>
    <s v="Business Owner"/>
    <x v="0"/>
    <x v="0"/>
    <x v="1"/>
  </r>
  <r>
    <s v="CUS00292"/>
    <d v="2025-03-03T00:00:00"/>
    <x v="1"/>
    <n v="46"/>
    <x v="0"/>
    <s v="Teacher"/>
    <n v="675.77"/>
    <s v="Male"/>
    <x v="0"/>
    <s v="Teacher"/>
    <x v="1"/>
    <x v="0"/>
    <x v="2"/>
  </r>
  <r>
    <s v="CUS00156"/>
    <d v="2025-03-04T00:00:00"/>
    <x v="0"/>
    <n v="37"/>
    <x v="1"/>
    <s v="Business Owner"/>
    <n v="1800.86"/>
    <s v="Female"/>
    <x v="1"/>
    <s v="Business Owner"/>
    <x v="2"/>
    <x v="0"/>
    <x v="2"/>
  </r>
  <r>
    <s v="CUS00072"/>
    <d v="2025-03-05T00:00:00"/>
    <x v="2"/>
    <n v="29"/>
    <x v="1"/>
    <s v="Engineer"/>
    <n v="1516.2"/>
    <s v="Missing"/>
    <x v="1"/>
    <s v="Engineer"/>
    <x v="2"/>
    <x v="0"/>
    <x v="2"/>
  </r>
  <r>
    <s v="CUS00173"/>
    <d v="2025-03-07T00:00:00"/>
    <x v="2"/>
    <n v="59"/>
    <x v="4"/>
    <s v="Self-Employed"/>
    <n v="952.9"/>
    <s v="Missing"/>
    <x v="4"/>
    <s v="Self-Employed"/>
    <x v="0"/>
    <x v="0"/>
    <x v="2"/>
  </r>
  <r>
    <m/>
    <d v="2025-03-12T00:00:00"/>
    <x v="1"/>
    <n v="21"/>
    <x v="5"/>
    <s v="Healthcare"/>
    <n v="1144.9100000000001"/>
    <s v="Male"/>
    <x v="5"/>
    <s v="Healthcare"/>
    <x v="0"/>
    <x v="0"/>
    <x v="2"/>
  </r>
  <r>
    <s v="CUS00218"/>
    <d v="2025-03-13T00:00:00"/>
    <x v="0"/>
    <n v="44"/>
    <x v="2"/>
    <s v="Engineer"/>
    <n v="963.66"/>
    <s v="Female"/>
    <x v="2"/>
    <s v="Engineer"/>
    <x v="0"/>
    <x v="0"/>
    <x v="2"/>
  </r>
  <r>
    <s v="CUS00137"/>
    <d v="2025-03-15T00:00:00"/>
    <x v="1"/>
    <n v="42"/>
    <x v="1"/>
    <s v="Healthcare"/>
    <n v="1023.35"/>
    <s v="Male"/>
    <x v="1"/>
    <s v="Healthcare"/>
    <x v="0"/>
    <x v="0"/>
    <x v="2"/>
  </r>
  <r>
    <s v="CUS00208"/>
    <d v="2025-03-15T00:00:00"/>
    <x v="0"/>
    <n v="66"/>
    <x v="4"/>
    <s v="Self-Employed"/>
    <n v="457.6"/>
    <s v="Female"/>
    <x v="4"/>
    <s v="Self-Employed"/>
    <x v="1"/>
    <x v="0"/>
    <x v="2"/>
  </r>
  <r>
    <s v="CUS00259"/>
    <d v="2025-03-16T00:00:00"/>
    <x v="1"/>
    <n v="21"/>
    <x v="1"/>
    <s v="Missing "/>
    <n v="1300.93"/>
    <s v="Male"/>
    <x v="1"/>
    <s v="Missing"/>
    <x v="0"/>
    <x v="0"/>
    <x v="2"/>
  </r>
  <r>
    <s v="CUS00136"/>
    <d v="2025-03-18T00:00:00"/>
    <x v="1"/>
    <n v="32"/>
    <x v="2"/>
    <s v="Civil Servant"/>
    <n v="707.01"/>
    <s v="Male"/>
    <x v="2"/>
    <s v="Civil Servant"/>
    <x v="1"/>
    <x v="0"/>
    <x v="2"/>
  </r>
  <r>
    <s v="CUS00081"/>
    <d v="2025-03-19T00:00:00"/>
    <x v="0"/>
    <n v="61"/>
    <x v="0"/>
    <s v="student"/>
    <n v="265.87"/>
    <s v="Female"/>
    <x v="0"/>
    <s v="Student"/>
    <x v="1"/>
    <x v="0"/>
    <x v="2"/>
  </r>
  <r>
    <s v="CUS00111"/>
    <d v="2025-03-25T00:00:00"/>
    <x v="0"/>
    <n v="48"/>
    <x v="2"/>
    <s v="Civil Servant"/>
    <n v="523.37"/>
    <s v="Female"/>
    <x v="2"/>
    <s v="Civil Servant"/>
    <x v="1"/>
    <x v="0"/>
    <x v="2"/>
  </r>
  <r>
    <s v="CUS00138"/>
    <d v="2025-03-26T00:00:00"/>
    <x v="0"/>
    <n v="22"/>
    <x v="4"/>
    <s v="Business Owner"/>
    <n v="1984.53"/>
    <s v="Female"/>
    <x v="4"/>
    <s v="Business Owner"/>
    <x v="2"/>
    <x v="0"/>
    <x v="2"/>
  </r>
  <r>
    <s v="CUS00276"/>
    <d v="2025-03-28T00:00:00"/>
    <x v="1"/>
    <n v="20"/>
    <x v="4"/>
    <s v="Civil Servant"/>
    <n v="389.22"/>
    <s v="Male"/>
    <x v="4"/>
    <s v="Civil Servant"/>
    <x v="1"/>
    <x v="0"/>
    <x v="2"/>
  </r>
  <r>
    <s v="CUS00277"/>
    <d v="2025-03-28T00:00:00"/>
    <x v="1"/>
    <n v="39"/>
    <x v="1"/>
    <s v="Self-Employed"/>
    <n v="10013"/>
    <s v="Male"/>
    <x v="1"/>
    <s v="Self-Employed"/>
    <x v="2"/>
    <x v="0"/>
    <x v="2"/>
  </r>
  <r>
    <s v="CUS00080"/>
    <d v="2025-03-29T00:00:00"/>
    <x v="0"/>
    <n v="32"/>
    <x v="1"/>
    <s v="Self-Employed"/>
    <n v="1235.8900000000001"/>
    <s v="Female"/>
    <x v="1"/>
    <s v="Self-Employed"/>
    <x v="0"/>
    <x v="0"/>
    <x v="2"/>
  </r>
  <r>
    <s v="CUS00124"/>
    <d v="2025-03-31T00:00:00"/>
    <x v="0"/>
    <n v="27"/>
    <x v="1"/>
    <s v="Missing "/>
    <n v="863.68"/>
    <s v="Female"/>
    <x v="1"/>
    <s v="Missing"/>
    <x v="0"/>
    <x v="0"/>
    <x v="2"/>
  </r>
  <r>
    <s v="CUS00249"/>
    <d v="2025-04-02T00:00:00"/>
    <x v="1"/>
    <n v="42"/>
    <x v="1"/>
    <s v="Business Owner"/>
    <n v="1091.0999999999999"/>
    <s v="Male"/>
    <x v="1"/>
    <s v="Business Owner"/>
    <x v="0"/>
    <x v="0"/>
    <x v="3"/>
  </r>
  <r>
    <s v="CUS00097"/>
    <d v="2025-04-03T00:00:00"/>
    <x v="1"/>
    <n v="49"/>
    <x v="3"/>
    <s v="student"/>
    <n v="923.87"/>
    <s v="Male"/>
    <x v="3"/>
    <s v="Student"/>
    <x v="0"/>
    <x v="0"/>
    <x v="3"/>
  </r>
  <r>
    <s v="CUS00247"/>
    <d v="2025-04-05T00:00:00"/>
    <x v="0"/>
    <n v="39"/>
    <x v="6"/>
    <s v="Civil Servant"/>
    <n v="396.11"/>
    <s v="Female"/>
    <x v="6"/>
    <s v="Civil Servant"/>
    <x v="1"/>
    <x v="0"/>
    <x v="3"/>
  </r>
  <r>
    <s v="CUS00169"/>
    <d v="2025-04-05T00:00:00"/>
    <x v="1"/>
    <n v="44"/>
    <x v="5"/>
    <s v="Business Owner"/>
    <n v="1852.82"/>
    <s v="Male"/>
    <x v="5"/>
    <s v="Business Owner"/>
    <x v="2"/>
    <x v="0"/>
    <x v="3"/>
  </r>
  <r>
    <s v="CUS00271"/>
    <d v="2025-04-06T00:00:00"/>
    <x v="0"/>
    <n v="48"/>
    <x v="6"/>
    <s v="Civil Servant"/>
    <n v="746.26"/>
    <s v="Female"/>
    <x v="6"/>
    <s v="Civil Servant"/>
    <x v="1"/>
    <x v="0"/>
    <x v="3"/>
  </r>
  <r>
    <s v="CUS00049"/>
    <d v="2025-04-10T00:00:00"/>
    <x v="0"/>
    <n v="33"/>
    <x v="6"/>
    <s v="Civil Servant"/>
    <n v="661.71"/>
    <s v="Female"/>
    <x v="6"/>
    <s v="Civil Servant"/>
    <x v="1"/>
    <x v="0"/>
    <x v="3"/>
  </r>
  <r>
    <s v="CUS00234"/>
    <d v="2025-04-11T00:00:00"/>
    <x v="2"/>
    <n v="40"/>
    <x v="5"/>
    <s v="Civil Servant"/>
    <n v="641.59"/>
    <s v="Missing"/>
    <x v="5"/>
    <s v="Civil Servant"/>
    <x v="1"/>
    <x v="0"/>
    <x v="3"/>
  </r>
  <r>
    <s v="CUS00132"/>
    <d v="2025-04-16T00:00:00"/>
    <x v="2"/>
    <n v="41"/>
    <x v="3"/>
    <s v="Healthcare"/>
    <n v="10006"/>
    <s v="Missing"/>
    <x v="3"/>
    <s v="Healthcare"/>
    <x v="2"/>
    <x v="0"/>
    <x v="3"/>
  </r>
  <r>
    <s v="CUS00119"/>
    <d v="2025-04-16T00:00:00"/>
    <x v="0"/>
    <n v="65"/>
    <x v="1"/>
    <s v="Teacher"/>
    <n v="799.53"/>
    <s v="Female"/>
    <x v="1"/>
    <s v="Teacher"/>
    <x v="1"/>
    <x v="0"/>
    <x v="3"/>
  </r>
  <r>
    <s v="CUS00027"/>
    <d v="2025-04-18T00:00:00"/>
    <x v="1"/>
    <n v="44"/>
    <x v="3"/>
    <s v="Self-Employed"/>
    <n v="923.87"/>
    <s v="Male"/>
    <x v="3"/>
    <s v="Self-Employed"/>
    <x v="0"/>
    <x v="0"/>
    <x v="3"/>
  </r>
  <r>
    <s v="CUS00258"/>
    <d v="2025-04-20T00:00:00"/>
    <x v="1"/>
    <n v="37"/>
    <x v="6"/>
    <s v="Business Owner"/>
    <n v="1470.86"/>
    <s v="Male"/>
    <x v="6"/>
    <s v="Business Owner"/>
    <x v="0"/>
    <x v="0"/>
    <x v="3"/>
  </r>
  <r>
    <s v="CUS00079"/>
    <d v="2025-04-21T00:00:00"/>
    <x v="1"/>
    <n v="39"/>
    <x v="5"/>
    <s v="student"/>
    <n v="120.06"/>
    <s v="Male"/>
    <x v="5"/>
    <s v="Student"/>
    <x v="1"/>
    <x v="0"/>
    <x v="3"/>
  </r>
  <r>
    <s v="CUS00121"/>
    <d v="2025-04-24T00:00:00"/>
    <x v="1"/>
    <n v="38"/>
    <x v="1"/>
    <s v="Teacher"/>
    <n v="680.77"/>
    <s v="Male"/>
    <x v="1"/>
    <s v="Teacher"/>
    <x v="1"/>
    <x v="0"/>
    <x v="3"/>
  </r>
  <r>
    <s v="CUS00288"/>
    <d v="2025-04-24T00:00:00"/>
    <x v="0"/>
    <n v="44"/>
    <x v="6"/>
    <s v="Teacher"/>
    <n v="758.44"/>
    <s v="Female"/>
    <x v="6"/>
    <s v="Teacher"/>
    <x v="1"/>
    <x v="0"/>
    <x v="3"/>
  </r>
  <r>
    <s v="CUS00002"/>
    <d v="2025-04-24T00:00:00"/>
    <x v="1"/>
    <n v="47"/>
    <x v="5"/>
    <s v="student"/>
    <n v="129.81"/>
    <s v="Male"/>
    <x v="5"/>
    <s v="Student"/>
    <x v="1"/>
    <x v="0"/>
    <x v="3"/>
  </r>
  <r>
    <s v="CUS00226"/>
    <d v="2025-04-25T00:00:00"/>
    <x v="1"/>
    <n v="25"/>
    <x v="1"/>
    <s v="Business Owner"/>
    <n v="930.93"/>
    <s v="Male"/>
    <x v="1"/>
    <s v="Business Owner"/>
    <x v="0"/>
    <x v="0"/>
    <x v="3"/>
  </r>
  <r>
    <s v="CUS00217"/>
    <d v="2025-04-25T00:00:00"/>
    <x v="1"/>
    <n v="56"/>
    <x v="1"/>
    <s v="Self-Employed"/>
    <n v="1318.45"/>
    <s v="Male"/>
    <x v="1"/>
    <s v="Self-Employed"/>
    <x v="0"/>
    <x v="0"/>
    <x v="3"/>
  </r>
  <r>
    <m/>
    <d v="2025-04-26T00:00:00"/>
    <x v="1"/>
    <n v="38"/>
    <x v="1"/>
    <s v="Teacher"/>
    <n v="920.19"/>
    <s v="Male"/>
    <x v="1"/>
    <s v="Teacher"/>
    <x v="0"/>
    <x v="0"/>
    <x v="3"/>
  </r>
  <r>
    <s v="CUS00146"/>
    <d v="2025-04-26T00:00:00"/>
    <x v="0"/>
    <n v="61"/>
    <x v="1"/>
    <s v="Engineer"/>
    <n v="998.38"/>
    <s v="Female"/>
    <x v="1"/>
    <s v="Engineer"/>
    <x v="0"/>
    <x v="0"/>
    <x v="3"/>
  </r>
  <r>
    <s v="CUS00133"/>
    <d v="2025-04-28T00:00:00"/>
    <x v="0"/>
    <n v="58"/>
    <x v="5"/>
    <s v="Engineer"/>
    <n v="622.54999999999995"/>
    <s v="Female"/>
    <x v="5"/>
    <s v="Engineer"/>
    <x v="1"/>
    <x v="0"/>
    <x v="3"/>
  </r>
  <r>
    <s v="CUS00109"/>
    <d v="2025-04-29T00:00:00"/>
    <x v="0"/>
    <n v="43"/>
    <x v="5"/>
    <s v="Engineer"/>
    <n v="781.63"/>
    <s v="Female"/>
    <x v="5"/>
    <s v="Engineer"/>
    <x v="1"/>
    <x v="0"/>
    <x v="3"/>
  </r>
  <r>
    <s v="CUS00246"/>
    <d v="2025-04-30T00:00:00"/>
    <x v="0"/>
    <n v="41"/>
    <x v="0"/>
    <s v="Healthcare"/>
    <n v="1081.02"/>
    <s v="Female"/>
    <x v="0"/>
    <s v="Healthcare"/>
    <x v="0"/>
    <x v="0"/>
    <x v="3"/>
  </r>
  <r>
    <s v="CUS00261"/>
    <d v="2025-05-01T00:00:00"/>
    <x v="0"/>
    <n v="38"/>
    <x v="0"/>
    <s v="Teacher"/>
    <n v="752.98"/>
    <s v="Female"/>
    <x v="0"/>
    <s v="Teacher"/>
    <x v="1"/>
    <x v="0"/>
    <x v="4"/>
  </r>
  <r>
    <s v="CUS00149"/>
    <d v="2025-05-01T00:00:00"/>
    <x v="1"/>
    <n v="55"/>
    <x v="0"/>
    <s v="Engineer"/>
    <n v="1436.28"/>
    <s v="Male"/>
    <x v="0"/>
    <s v="Engineer"/>
    <x v="0"/>
    <x v="0"/>
    <x v="4"/>
  </r>
  <r>
    <s v="CUS00227"/>
    <d v="2025-05-03T00:00:00"/>
    <x v="0"/>
    <n v="37"/>
    <x v="1"/>
    <s v="Civil Servant"/>
    <n v="1041.8399999999999"/>
    <s v="Female"/>
    <x v="1"/>
    <s v="Civil Servant"/>
    <x v="0"/>
    <x v="0"/>
    <x v="4"/>
  </r>
  <r>
    <s v="CUS00262"/>
    <d v="2025-05-03T00:00:00"/>
    <x v="1"/>
    <n v="67"/>
    <x v="1"/>
    <s v="Civil Servant"/>
    <n v="923.87"/>
    <s v="Male"/>
    <x v="1"/>
    <s v="Civil Servant"/>
    <x v="0"/>
    <x v="0"/>
    <x v="4"/>
  </r>
  <r>
    <s v="CUS00245"/>
    <d v="2025-05-04T00:00:00"/>
    <x v="1"/>
    <n v="32"/>
    <x v="1"/>
    <s v="Missing "/>
    <n v="176.95"/>
    <s v="Male"/>
    <x v="1"/>
    <s v="Missing"/>
    <x v="1"/>
    <x v="0"/>
    <x v="4"/>
  </r>
  <r>
    <s v="CUS00091"/>
    <d v="2025-05-14T00:00:00"/>
    <x v="1"/>
    <n v="20"/>
    <x v="1"/>
    <s v="Self-Employed"/>
    <n v="895.53"/>
    <s v="Male"/>
    <x v="1"/>
    <s v="Self-Employed"/>
    <x v="0"/>
    <x v="0"/>
    <x v="4"/>
  </r>
  <r>
    <s v="CUS00017"/>
    <d v="2025-05-15T00:00:00"/>
    <x v="1"/>
    <n v="33"/>
    <x v="1"/>
    <s v="Missing "/>
    <n v="519"/>
    <s v="Male"/>
    <x v="1"/>
    <s v="Missing"/>
    <x v="1"/>
    <x v="0"/>
    <x v="4"/>
  </r>
  <r>
    <s v="CUS00187"/>
    <d v="2025-05-18T00:00:00"/>
    <x v="1"/>
    <n v="26"/>
    <x v="5"/>
    <s v="student"/>
    <n v="267.12"/>
    <s v="Male"/>
    <x v="5"/>
    <s v="Student"/>
    <x v="1"/>
    <x v="0"/>
    <x v="4"/>
  </r>
  <r>
    <s v="CUS00128"/>
    <d v="2025-05-24T00:00:00"/>
    <x v="1"/>
    <n v="21"/>
    <x v="2"/>
    <s v="Engineer"/>
    <n v="890.48"/>
    <s v="Male"/>
    <x v="2"/>
    <s v="Engineer"/>
    <x v="0"/>
    <x v="0"/>
    <x v="4"/>
  </r>
  <r>
    <s v="CUS00134"/>
    <d v="2025-05-25T00:00:00"/>
    <x v="0"/>
    <n v="38"/>
    <x v="1"/>
    <s v="Engineer"/>
    <n v="836.33"/>
    <s v="Female"/>
    <x v="1"/>
    <s v="Engineer"/>
    <x v="0"/>
    <x v="0"/>
    <x v="4"/>
  </r>
  <r>
    <s v="CUS00012"/>
    <d v="2025-05-27T00:00:00"/>
    <x v="0"/>
    <n v="65"/>
    <x v="1"/>
    <s v="Engineer"/>
    <n v="790.75"/>
    <s v="Female"/>
    <x v="1"/>
    <s v="Engineer"/>
    <x v="1"/>
    <x v="0"/>
    <x v="4"/>
  </r>
  <r>
    <s v="CUS00166"/>
    <d v="2025-05-28T00:00:00"/>
    <x v="1"/>
    <n v="41"/>
    <x v="1"/>
    <s v="Teacher"/>
    <n v="868.55"/>
    <s v="Male"/>
    <x v="1"/>
    <s v="Teacher"/>
    <x v="0"/>
    <x v="0"/>
    <x v="4"/>
  </r>
  <r>
    <s v="CUS00224"/>
    <d v="2025-05-30T00:00:00"/>
    <x v="0"/>
    <n v="48"/>
    <x v="1"/>
    <s v="Business Owner"/>
    <n v="1075.0899999999999"/>
    <s v="Female"/>
    <x v="1"/>
    <s v="Business Owner"/>
    <x v="0"/>
    <x v="0"/>
    <x v="4"/>
  </r>
  <r>
    <s v="CUS00241"/>
    <d v="2025-06-01T00:00:00"/>
    <x v="1"/>
    <n v="24"/>
    <x v="1"/>
    <s v="Engineer"/>
    <n v="706.35"/>
    <s v="Male"/>
    <x v="1"/>
    <s v="Engineer"/>
    <x v="1"/>
    <x v="0"/>
    <x v="5"/>
  </r>
  <r>
    <s v="CUS00021"/>
    <d v="2025-06-04T00:00:00"/>
    <x v="0"/>
    <n v="19"/>
    <x v="1"/>
    <s v="Civil Servant"/>
    <n v="923.87"/>
    <s v="Female"/>
    <x v="1"/>
    <s v="Civil Servant"/>
    <x v="0"/>
    <x v="0"/>
    <x v="5"/>
  </r>
  <r>
    <s v="CUS00239"/>
    <d v="2025-06-08T00:00:00"/>
    <x v="2"/>
    <n v="38"/>
    <x v="2"/>
    <s v="Teacher"/>
    <n v="453.74"/>
    <s v="Missing"/>
    <x v="2"/>
    <s v="Teacher"/>
    <x v="1"/>
    <x v="0"/>
    <x v="5"/>
  </r>
  <r>
    <s v="CUS00222"/>
    <d v="2025-06-12T00:00:00"/>
    <x v="0"/>
    <n v="58"/>
    <x v="5"/>
    <s v="Business Owner"/>
    <n v="1316.09"/>
    <s v="Female"/>
    <x v="5"/>
    <s v="Business Owner"/>
    <x v="0"/>
    <x v="0"/>
    <x v="5"/>
  </r>
  <r>
    <s v="CUS00197"/>
    <d v="2025-06-13T00:00:00"/>
    <x v="0"/>
    <n v="48"/>
    <x v="1"/>
    <s v="Teacher"/>
    <n v="921.62"/>
    <s v="Female"/>
    <x v="1"/>
    <s v="Teacher"/>
    <x v="0"/>
    <x v="0"/>
    <x v="5"/>
  </r>
  <r>
    <s v="CUS00083"/>
    <d v="2025-06-14T00:00:00"/>
    <x v="1"/>
    <n v="68"/>
    <x v="1"/>
    <s v="Teacher"/>
    <n v="870.42"/>
    <s v="Male"/>
    <x v="1"/>
    <s v="Teacher"/>
    <x v="0"/>
    <x v="0"/>
    <x v="5"/>
  </r>
  <r>
    <s v="CUS00273"/>
    <d v="2025-06-16T00:00:00"/>
    <x v="0"/>
    <n v="23"/>
    <x v="1"/>
    <s v="Self-Employed"/>
    <n v="453.51"/>
    <s v="Female"/>
    <x v="1"/>
    <s v="Self-Employed"/>
    <x v="1"/>
    <x v="0"/>
    <x v="5"/>
  </r>
  <r>
    <s v="CUS00219"/>
    <d v="2025-06-19T00:00:00"/>
    <x v="0"/>
    <n v="42"/>
    <x v="4"/>
    <s v="Healthcare"/>
    <n v="1155.3399999999999"/>
    <s v="Female"/>
    <x v="4"/>
    <s v="Healthcare"/>
    <x v="0"/>
    <x v="0"/>
    <x v="5"/>
  </r>
  <r>
    <s v="CUS00048"/>
    <d v="2025-06-20T00:00:00"/>
    <x v="1"/>
    <n v="36"/>
    <x v="1"/>
    <s v="student"/>
    <n v="256.8"/>
    <s v="Male"/>
    <x v="1"/>
    <s v="Student"/>
    <x v="1"/>
    <x v="0"/>
    <x v="5"/>
  </r>
  <r>
    <s v="CUS00003"/>
    <d v="2025-06-22T00:00:00"/>
    <x v="0"/>
    <n v="67"/>
    <x v="1"/>
    <s v="Engineer"/>
    <n v="923.87"/>
    <s v="Female"/>
    <x v="1"/>
    <s v="Engineer"/>
    <x v="0"/>
    <x v="0"/>
    <x v="5"/>
  </r>
  <r>
    <s v="CUS00272"/>
    <d v="2025-06-24T00:00:00"/>
    <x v="0"/>
    <n v="39"/>
    <x v="5"/>
    <s v="Missing "/>
    <n v="838.84"/>
    <s v="Female"/>
    <x v="5"/>
    <s v="Missing"/>
    <x v="0"/>
    <x v="0"/>
    <x v="5"/>
  </r>
  <r>
    <s v="CUS00189"/>
    <d v="2025-06-25T00:00:00"/>
    <x v="1"/>
    <n v="28"/>
    <x v="6"/>
    <s v="Teacher"/>
    <n v="919.61"/>
    <s v="Male"/>
    <x v="6"/>
    <s v="Teacher"/>
    <x v="0"/>
    <x v="0"/>
    <x v="5"/>
  </r>
  <r>
    <s v="CUS00043"/>
    <d v="2025-06-25T00:00:00"/>
    <x v="2"/>
    <n v="43"/>
    <x v="1"/>
    <s v="Civil Servant"/>
    <n v="885.26"/>
    <s v="Missing"/>
    <x v="1"/>
    <s v="Civil Servant"/>
    <x v="0"/>
    <x v="0"/>
    <x v="5"/>
  </r>
  <r>
    <s v="CUS00019"/>
    <d v="2025-06-29T00:00:00"/>
    <x v="1"/>
    <n v="54"/>
    <x v="5"/>
    <s v="Teacher"/>
    <n v="464.6"/>
    <s v="Male"/>
    <x v="5"/>
    <s v="Teacher"/>
    <x v="1"/>
    <x v="0"/>
    <x v="5"/>
  </r>
  <r>
    <s v="CUS00042"/>
    <d v="2025-07-01T00:00:00"/>
    <x v="0"/>
    <n v="44"/>
    <x v="4"/>
    <s v="Teacher"/>
    <n v="648.57000000000005"/>
    <s v="Female"/>
    <x v="4"/>
    <s v="Teacher"/>
    <x v="1"/>
    <x v="0"/>
    <x v="6"/>
  </r>
  <r>
    <s v="CUS00152"/>
    <d v="2025-07-02T00:00:00"/>
    <x v="0"/>
    <n v="44"/>
    <x v="4"/>
    <s v="Self-Employed"/>
    <n v="756.75"/>
    <s v="Female"/>
    <x v="4"/>
    <s v="Self-Employed"/>
    <x v="1"/>
    <x v="0"/>
    <x v="6"/>
  </r>
  <r>
    <s v="CUS00214"/>
    <d v="2025-07-07T00:00:00"/>
    <x v="0"/>
    <n v="56"/>
    <x v="5"/>
    <s v="Business Owner"/>
    <n v="660.22"/>
    <s v="Female"/>
    <x v="5"/>
    <s v="Business Owner"/>
    <x v="1"/>
    <x v="0"/>
    <x v="6"/>
  </r>
  <r>
    <s v="CUS00183"/>
    <d v="2025-07-08T00:00:00"/>
    <x v="0"/>
    <n v="18"/>
    <x v="2"/>
    <s v="student"/>
    <n v="275.93"/>
    <s v="Female"/>
    <x v="2"/>
    <s v="Student"/>
    <x v="1"/>
    <x v="0"/>
    <x v="6"/>
  </r>
  <r>
    <s v="CUS00150"/>
    <d v="2025-07-08T00:00:00"/>
    <x v="1"/>
    <n v="62"/>
    <x v="4"/>
    <s v="Self-Employed"/>
    <n v="1032.69"/>
    <s v="Male"/>
    <x v="4"/>
    <s v="Self-Employed"/>
    <x v="0"/>
    <x v="0"/>
    <x v="6"/>
  </r>
  <r>
    <s v="CUS00004"/>
    <d v="2025-07-09T00:00:00"/>
    <x v="0"/>
    <n v="42"/>
    <x v="1"/>
    <s v="Teacher"/>
    <n v="648.44000000000005"/>
    <s v="Female"/>
    <x v="1"/>
    <s v="Teacher"/>
    <x v="1"/>
    <x v="0"/>
    <x v="6"/>
  </r>
  <r>
    <s v="CUS00286"/>
    <d v="2025-07-10T00:00:00"/>
    <x v="1"/>
    <n v="18"/>
    <x v="3"/>
    <s v="student"/>
    <n v="108.23"/>
    <s v="Male"/>
    <x v="3"/>
    <s v="Student"/>
    <x v="1"/>
    <x v="0"/>
    <x v="6"/>
  </r>
  <r>
    <s v="CUS00135"/>
    <d v="2025-07-12T00:00:00"/>
    <x v="0"/>
    <n v="55"/>
    <x v="1"/>
    <s v="Business Owner"/>
    <n v="1137.1600000000001"/>
    <s v="Female"/>
    <x v="1"/>
    <s v="Business Owner"/>
    <x v="0"/>
    <x v="0"/>
    <x v="6"/>
  </r>
  <r>
    <s v="CUS00254"/>
    <d v="2025-07-19T00:00:00"/>
    <x v="1"/>
    <n v="28"/>
    <x v="2"/>
    <s v="student"/>
    <n v="152.91999999999999"/>
    <s v="Male"/>
    <x v="2"/>
    <s v="Student"/>
    <x v="1"/>
    <x v="0"/>
    <x v="6"/>
  </r>
  <r>
    <s v="CUS00100"/>
    <d v="2025-07-20T00:00:00"/>
    <x v="0"/>
    <n v="64"/>
    <x v="1"/>
    <s v="Engineer"/>
    <n v="1421.07"/>
    <s v="Female"/>
    <x v="1"/>
    <s v="Engineer"/>
    <x v="0"/>
    <x v="0"/>
    <x v="6"/>
  </r>
  <r>
    <s v="CUS00060"/>
    <d v="2025-07-23T00:00:00"/>
    <x v="0"/>
    <n v="47"/>
    <x v="1"/>
    <s v="Self-Employed"/>
    <n v="444.76"/>
    <s v="Female"/>
    <x v="1"/>
    <s v="Self-Employed"/>
    <x v="1"/>
    <x v="0"/>
    <x v="6"/>
  </r>
  <r>
    <s v="CUS00078"/>
    <d v="2025-07-24T00:00:00"/>
    <x v="0"/>
    <n v="69"/>
    <x v="1"/>
    <s v="Missing "/>
    <n v="691.63"/>
    <s v="Female"/>
    <x v="1"/>
    <s v="Missing"/>
    <x v="1"/>
    <x v="0"/>
    <x v="6"/>
  </r>
  <r>
    <s v="CUS00154"/>
    <d v="2025-07-26T00:00:00"/>
    <x v="0"/>
    <n v="60"/>
    <x v="4"/>
    <s v="Business Owner"/>
    <n v="785.37"/>
    <s v="Female"/>
    <x v="4"/>
    <s v="Business Owner"/>
    <x v="1"/>
    <x v="0"/>
    <x v="6"/>
  </r>
  <r>
    <s v="CUS00175"/>
    <d v="2025-07-30T00:00:00"/>
    <x v="0"/>
    <n v="59"/>
    <x v="4"/>
    <s v="Teacher"/>
    <n v="856.56"/>
    <s v="Female"/>
    <x v="4"/>
    <s v="Teacher"/>
    <x v="0"/>
    <x v="0"/>
    <x v="6"/>
  </r>
  <r>
    <s v="CUS00140"/>
    <d v="2025-08-02T00:00:00"/>
    <x v="1"/>
    <n v="30"/>
    <x v="1"/>
    <s v="student"/>
    <n v="167.65"/>
    <s v="Male"/>
    <x v="1"/>
    <s v="Student"/>
    <x v="1"/>
    <x v="0"/>
    <x v="7"/>
  </r>
  <r>
    <s v="CUS00210"/>
    <d v="2025-08-04T00:00:00"/>
    <x v="1"/>
    <n v="52"/>
    <x v="5"/>
    <s v="Healthcare"/>
    <n v="1064.4100000000001"/>
    <s v="Male"/>
    <x v="5"/>
    <s v="Healthcare"/>
    <x v="0"/>
    <x v="0"/>
    <x v="7"/>
  </r>
  <r>
    <s v="CUS00007"/>
    <d v="2025-08-05T00:00:00"/>
    <x v="1"/>
    <n v="45"/>
    <x v="1"/>
    <s v="Civil Servant"/>
    <n v="839.71"/>
    <s v="Male"/>
    <x v="1"/>
    <s v="Civil Servant"/>
    <x v="0"/>
    <x v="0"/>
    <x v="7"/>
  </r>
  <r>
    <s v="CUS00065"/>
    <d v="2025-08-05T00:00:00"/>
    <x v="1"/>
    <n v="52"/>
    <x v="2"/>
    <s v="Missing "/>
    <n v="481.21"/>
    <s v="Male"/>
    <x v="2"/>
    <s v="Missing"/>
    <x v="1"/>
    <x v="0"/>
    <x v="7"/>
  </r>
  <r>
    <s v="CUS00106"/>
    <d v="2025-08-06T00:00:00"/>
    <x v="1"/>
    <n v="48"/>
    <x v="4"/>
    <s v="CS"/>
    <n v="923.87"/>
    <s v="Male"/>
    <x v="4"/>
    <s v="Civil Servant"/>
    <x v="0"/>
    <x v="0"/>
    <x v="7"/>
  </r>
  <r>
    <s v="CUS00228"/>
    <d v="2025-08-06T00:00:00"/>
    <x v="1"/>
    <n v="59"/>
    <x v="3"/>
    <s v="Teacher"/>
    <n v="923.87"/>
    <s v="Male"/>
    <x v="3"/>
    <s v="Teacher"/>
    <x v="0"/>
    <x v="0"/>
    <x v="7"/>
  </r>
  <r>
    <s v="CUS00194"/>
    <d v="2025-08-07T00:00:00"/>
    <x v="1"/>
    <n v="50"/>
    <x v="5"/>
    <s v="Teacher"/>
    <n v="818.19"/>
    <s v="Male"/>
    <x v="5"/>
    <s v="Teacher"/>
    <x v="0"/>
    <x v="0"/>
    <x v="7"/>
  </r>
  <r>
    <s v="CUS00131"/>
    <d v="2025-08-08T00:00:00"/>
    <x v="0"/>
    <n v="29"/>
    <x v="1"/>
    <s v="student"/>
    <n v="923.87"/>
    <s v="Female"/>
    <x v="1"/>
    <s v="Student"/>
    <x v="0"/>
    <x v="0"/>
    <x v="7"/>
  </r>
  <r>
    <m/>
    <d v="2025-08-09T00:00:00"/>
    <x v="1"/>
    <n v="53"/>
    <x v="1"/>
    <s v="Self-Employed"/>
    <n v="944.96"/>
    <s v="Male"/>
    <x v="1"/>
    <s v="Self-Employed"/>
    <x v="0"/>
    <x v="0"/>
    <x v="7"/>
  </r>
  <r>
    <s v="CUS00160"/>
    <d v="2025-08-10T00:00:00"/>
    <x v="1"/>
    <n v="42"/>
    <x v="4"/>
    <s v="Business Owner"/>
    <n v="1672.71"/>
    <s v="Male"/>
    <x v="4"/>
    <s v="Business Owner"/>
    <x v="2"/>
    <x v="0"/>
    <x v="7"/>
  </r>
  <r>
    <s v="CUS00053"/>
    <d v="2025-08-12T00:00:00"/>
    <x v="1"/>
    <n v="25"/>
    <x v="1"/>
    <s v="Teacher"/>
    <n v="665.8"/>
    <s v="Male"/>
    <x v="1"/>
    <s v="Teacher"/>
    <x v="1"/>
    <x v="0"/>
    <x v="7"/>
  </r>
  <r>
    <s v="CUS00102"/>
    <d v="2025-08-12T00:00:00"/>
    <x v="1"/>
    <n v="36"/>
    <x v="0"/>
    <s v="student"/>
    <n v="183.1"/>
    <s v="Male"/>
    <x v="0"/>
    <s v="Student"/>
    <x v="1"/>
    <x v="0"/>
    <x v="7"/>
  </r>
  <r>
    <s v="CUS00180"/>
    <d v="2025-08-14T00:00:00"/>
    <x v="1"/>
    <n v="61"/>
    <x v="1"/>
    <s v="Self-Employed"/>
    <n v="961.13"/>
    <s v="Male"/>
    <x v="1"/>
    <s v="Self-Employed"/>
    <x v="0"/>
    <x v="0"/>
    <x v="7"/>
  </r>
  <r>
    <s v="CUS00255"/>
    <d v="2025-08-15T00:00:00"/>
    <x v="1"/>
    <n v="21"/>
    <x v="2"/>
    <s v="Engineer"/>
    <n v="1429.26"/>
    <s v="Male"/>
    <x v="2"/>
    <s v="Engineer"/>
    <x v="0"/>
    <x v="0"/>
    <x v="7"/>
  </r>
  <r>
    <s v="CUS00221"/>
    <d v="2025-08-15T00:00:00"/>
    <x v="1"/>
    <n v="44"/>
    <x v="1"/>
    <s v="Business Owner"/>
    <n v="1300.01"/>
    <s v="Male"/>
    <x v="1"/>
    <s v="Business Owner"/>
    <x v="0"/>
    <x v="0"/>
    <x v="7"/>
  </r>
  <r>
    <s v="CUS00268"/>
    <d v="2025-08-15T00:00:00"/>
    <x v="0"/>
    <n v="49"/>
    <x v="5"/>
    <s v="Engineer"/>
    <n v="1610.81"/>
    <s v="Female"/>
    <x v="5"/>
    <s v="Engineer"/>
    <x v="2"/>
    <x v="0"/>
    <x v="7"/>
  </r>
  <r>
    <s v="CUS00275"/>
    <d v="2025-08-15T00:00:00"/>
    <x v="1"/>
    <n v="59"/>
    <x v="4"/>
    <s v="Teacher"/>
    <n v="508.66"/>
    <s v="Male"/>
    <x v="4"/>
    <s v="Teacher"/>
    <x v="1"/>
    <x v="0"/>
    <x v="7"/>
  </r>
  <r>
    <s v="CUS00122"/>
    <d v="2025-08-17T00:00:00"/>
    <x v="0"/>
    <n v="60"/>
    <x v="4"/>
    <s v="Self-Employed"/>
    <n v="712.55"/>
    <s v="Female"/>
    <x v="4"/>
    <s v="Self-Employed"/>
    <x v="1"/>
    <x v="0"/>
    <x v="7"/>
  </r>
  <r>
    <s v="CUS00118"/>
    <d v="2025-08-21T00:00:00"/>
    <x v="1"/>
    <n v="60"/>
    <x v="0"/>
    <s v="student"/>
    <n v="923.87"/>
    <s v="Male"/>
    <x v="0"/>
    <s v="Student"/>
    <x v="0"/>
    <x v="0"/>
    <x v="7"/>
  </r>
  <r>
    <s v="CUS00182"/>
    <d v="2025-08-23T00:00:00"/>
    <x v="1"/>
    <n v="43"/>
    <x v="5"/>
    <s v="Healthcare"/>
    <n v="1126.8900000000001"/>
    <s v="Male"/>
    <x v="5"/>
    <s v="Healthcare"/>
    <x v="0"/>
    <x v="0"/>
    <x v="7"/>
  </r>
  <r>
    <s v="CUS00237"/>
    <d v="2025-08-23T00:00:00"/>
    <x v="1"/>
    <n v="44"/>
    <x v="3"/>
    <s v="Business Owner"/>
    <n v="895.93"/>
    <s v="Male"/>
    <x v="3"/>
    <s v="Business Owner"/>
    <x v="0"/>
    <x v="0"/>
    <x v="7"/>
  </r>
  <r>
    <s v="CUS00171"/>
    <d v="2025-08-24T00:00:00"/>
    <x v="1"/>
    <n v="39"/>
    <x v="4"/>
    <s v="Engineer"/>
    <n v="1386"/>
    <s v="Male"/>
    <x v="4"/>
    <s v="Engineer"/>
    <x v="0"/>
    <x v="0"/>
    <x v="7"/>
  </r>
  <r>
    <s v="CUS00209"/>
    <d v="2025-08-26T00:00:00"/>
    <x v="0"/>
    <n v="61"/>
    <x v="1"/>
    <s v="Teacher"/>
    <n v="923.87"/>
    <s v="Female"/>
    <x v="1"/>
    <s v="Teacher"/>
    <x v="0"/>
    <x v="0"/>
    <x v="7"/>
  </r>
  <r>
    <s v="CUS00143"/>
    <d v="2025-08-27T00:00:00"/>
    <x v="1"/>
    <n v="26"/>
    <x v="3"/>
    <s v="Engineer"/>
    <n v="1481.76"/>
    <s v="Male"/>
    <x v="3"/>
    <s v="Engineer"/>
    <x v="0"/>
    <x v="0"/>
    <x v="7"/>
  </r>
  <r>
    <s v="CUS00056"/>
    <d v="2025-08-30T00:00:00"/>
    <x v="1"/>
    <n v="67"/>
    <x v="5"/>
    <s v="Teacher"/>
    <n v="828.77"/>
    <s v="Male"/>
    <x v="5"/>
    <s v="Teacher"/>
    <x v="0"/>
    <x v="0"/>
    <x v="7"/>
  </r>
  <r>
    <s v="CUS00285"/>
    <d v="2025-08-31T00:00:00"/>
    <x v="0"/>
    <n v="22"/>
    <x v="4"/>
    <s v="Missing "/>
    <n v="721.11"/>
    <s v="Female"/>
    <x v="4"/>
    <s v="Missing"/>
    <x v="1"/>
    <x v="0"/>
    <x v="7"/>
  </r>
  <r>
    <s v="CUS00229"/>
    <d v="2025-09-02T00:00:00"/>
    <x v="0"/>
    <n v="46"/>
    <x v="1"/>
    <s v="Missing "/>
    <n v="911.36"/>
    <s v="Female"/>
    <x v="1"/>
    <s v="Missing"/>
    <x v="0"/>
    <x v="0"/>
    <x v="8"/>
  </r>
  <r>
    <m/>
    <d v="2025-09-08T00:00:00"/>
    <x v="0"/>
    <n v="32"/>
    <x v="6"/>
    <s v="Business Owner"/>
    <n v="1614.28"/>
    <s v="Female"/>
    <x v="6"/>
    <s v="Business Owner"/>
    <x v="2"/>
    <x v="0"/>
    <x v="8"/>
  </r>
  <r>
    <s v="CUS00063"/>
    <d v="2025-09-13T00:00:00"/>
    <x v="0"/>
    <n v="62"/>
    <x v="1"/>
    <s v="Self-Employed"/>
    <n v="1156.93"/>
    <s v="Female"/>
    <x v="1"/>
    <s v="Self-Employed"/>
    <x v="0"/>
    <x v="0"/>
    <x v="8"/>
  </r>
  <r>
    <s v="CUS00213"/>
    <d v="2025-09-17T00:00:00"/>
    <x v="0"/>
    <n v="32"/>
    <x v="2"/>
    <s v="Engineer"/>
    <n v="1425.97"/>
    <s v="Female"/>
    <x v="2"/>
    <s v="Engineer"/>
    <x v="0"/>
    <x v="0"/>
    <x v="8"/>
  </r>
  <r>
    <s v="CUS00112"/>
    <d v="2025-09-18T00:00:00"/>
    <x v="0"/>
    <n v="40"/>
    <x v="5"/>
    <s v="Business Owner"/>
    <n v="677.55"/>
    <s v="Female"/>
    <x v="5"/>
    <s v="Business Owner"/>
    <x v="1"/>
    <x v="0"/>
    <x v="8"/>
  </r>
  <r>
    <s v="CUS00216"/>
    <d v="2025-09-19T00:00:00"/>
    <x v="0"/>
    <n v="19"/>
    <x v="4"/>
    <s v="Civil Servant"/>
    <n v="916.62"/>
    <s v="Female"/>
    <x v="4"/>
    <s v="Civil Servant"/>
    <x v="0"/>
    <x v="0"/>
    <x v="8"/>
  </r>
  <r>
    <s v="CUS00164"/>
    <d v="2025-09-25T00:00:00"/>
    <x v="0"/>
    <n v="58"/>
    <x v="1"/>
    <s v="Business Owner"/>
    <n v="1013.28"/>
    <s v="Female"/>
    <x v="1"/>
    <s v="Business Owner"/>
    <x v="0"/>
    <x v="0"/>
    <x v="8"/>
  </r>
  <r>
    <s v="CUS00040"/>
    <d v="2025-09-25T00:00:00"/>
    <x v="0"/>
    <n v="66"/>
    <x v="1"/>
    <s v="Civil Servant"/>
    <n v="656.1"/>
    <s v="Female"/>
    <x v="1"/>
    <s v="Civil Servant"/>
    <x v="1"/>
    <x v="0"/>
    <x v="8"/>
  </r>
  <r>
    <s v="CUS00232"/>
    <d v="2025-09-28T00:00:00"/>
    <x v="0"/>
    <n v="61"/>
    <x v="4"/>
    <s v="Missing "/>
    <n v="667.7"/>
    <s v="Female"/>
    <x v="4"/>
    <s v="Missing"/>
    <x v="1"/>
    <x v="0"/>
    <x v="8"/>
  </r>
  <r>
    <s v="CUS00123"/>
    <d v="2025-09-30T00:00:00"/>
    <x v="0"/>
    <n v="66"/>
    <x v="1"/>
    <s v="Business Owner"/>
    <n v="969.34"/>
    <s v="Female"/>
    <x v="1"/>
    <s v="Business Owner"/>
    <x v="0"/>
    <x v="0"/>
    <x v="8"/>
  </r>
  <r>
    <s v="CUS00264"/>
    <d v="2025-10-01T00:00:00"/>
    <x v="1"/>
    <n v="68"/>
    <x v="1"/>
    <s v="Missing "/>
    <n v="843.99"/>
    <s v="Male"/>
    <x v="1"/>
    <s v="Missing"/>
    <x v="0"/>
    <x v="0"/>
    <x v="9"/>
  </r>
  <r>
    <s v="CUS00198"/>
    <d v="2025-10-02T00:00:00"/>
    <x v="0"/>
    <n v="33"/>
    <x v="6"/>
    <s v="Healthcare"/>
    <n v="1332.38"/>
    <s v="Female"/>
    <x v="6"/>
    <s v="Healthcare"/>
    <x v="0"/>
    <x v="0"/>
    <x v="9"/>
  </r>
  <r>
    <s v="CUS00033"/>
    <d v="2025-10-02T00:00:00"/>
    <x v="1"/>
    <n v="54"/>
    <x v="5"/>
    <s v="Civil Servant"/>
    <n v="1108.6199999999999"/>
    <s v="Male"/>
    <x v="5"/>
    <s v="Civil Servant"/>
    <x v="0"/>
    <x v="0"/>
    <x v="9"/>
  </r>
  <r>
    <s v="CUS00139"/>
    <d v="2025-10-04T00:00:00"/>
    <x v="1"/>
    <n v="27"/>
    <x v="3"/>
    <s v="Civil Servant"/>
    <n v="897.29"/>
    <s v="Male"/>
    <x v="3"/>
    <s v="Civil Servant"/>
    <x v="0"/>
    <x v="0"/>
    <x v="9"/>
  </r>
  <r>
    <s v="CUS00077"/>
    <d v="2025-10-07T00:00:00"/>
    <x v="0"/>
    <n v="44"/>
    <x v="3"/>
    <s v="student"/>
    <n v="265.52"/>
    <s v="Female"/>
    <x v="3"/>
    <s v="Student"/>
    <x v="1"/>
    <x v="0"/>
    <x v="9"/>
  </r>
  <r>
    <s v="CUS00153"/>
    <d v="2025-10-08T00:00:00"/>
    <x v="1"/>
    <n v="52"/>
    <x v="5"/>
    <s v="student"/>
    <n v="316.74"/>
    <s v="Male"/>
    <x v="5"/>
    <s v="Student"/>
    <x v="1"/>
    <x v="0"/>
    <x v="9"/>
  </r>
  <r>
    <s v="CUS00144"/>
    <d v="2025-10-11T00:00:00"/>
    <x v="1"/>
    <n v="20"/>
    <x v="4"/>
    <s v="Self-Employed"/>
    <n v="438.08"/>
    <s v="Male"/>
    <x v="4"/>
    <s v="Self-Employed"/>
    <x v="1"/>
    <x v="0"/>
    <x v="9"/>
  </r>
  <r>
    <s v="CUS00069"/>
    <d v="2025-10-12T00:00:00"/>
    <x v="2"/>
    <n v="24"/>
    <x v="3"/>
    <s v="Engineer"/>
    <n v="1155.95"/>
    <s v="Missing"/>
    <x v="3"/>
    <s v="Engineer"/>
    <x v="0"/>
    <x v="0"/>
    <x v="9"/>
  </r>
  <r>
    <s v="CUS00086"/>
    <d v="2025-10-13T00:00:00"/>
    <x v="1"/>
    <n v="123"/>
    <x v="1"/>
    <s v="Engineer"/>
    <n v="796.52"/>
    <s v="Male"/>
    <x v="1"/>
    <s v="Engineer"/>
    <x v="1"/>
    <x v="0"/>
    <x v="9"/>
  </r>
  <r>
    <m/>
    <d v="2025-10-15T00:00:00"/>
    <x v="0"/>
    <n v="41"/>
    <x v="3"/>
    <s v="Healthcare"/>
    <n v="1200.17"/>
    <s v="Female"/>
    <x v="3"/>
    <s v="Healthcare"/>
    <x v="0"/>
    <x v="0"/>
    <x v="9"/>
  </r>
  <r>
    <s v="CUS00256"/>
    <d v="2025-10-20T00:00:00"/>
    <x v="2"/>
    <n v="21"/>
    <x v="1"/>
    <s v="Business Owner"/>
    <n v="1996.92"/>
    <s v="Missing"/>
    <x v="1"/>
    <s v="Business Owner"/>
    <x v="2"/>
    <x v="0"/>
    <x v="9"/>
  </r>
  <r>
    <s v="CUS00088"/>
    <d v="2025-10-21T00:00:00"/>
    <x v="0"/>
    <n v="26"/>
    <x v="1"/>
    <s v="Teacher"/>
    <n v="896.23"/>
    <s v="Female"/>
    <x v="1"/>
    <s v="Teacher"/>
    <x v="0"/>
    <x v="0"/>
    <x v="9"/>
  </r>
  <r>
    <s v="CUS00026"/>
    <d v="2025-10-24T00:00:00"/>
    <x v="0"/>
    <n v="20"/>
    <x v="1"/>
    <s v="student"/>
    <n v="295.45"/>
    <s v="Female"/>
    <x v="1"/>
    <s v="Student"/>
    <x v="1"/>
    <x v="0"/>
    <x v="9"/>
  </r>
  <r>
    <s v="CUS00282"/>
    <d v="2025-10-26T00:00:00"/>
    <x v="1"/>
    <n v="34"/>
    <x v="3"/>
    <s v="Civil Servant"/>
    <n v="862.99"/>
    <s v="Male"/>
    <x v="3"/>
    <s v="Civil Servant"/>
    <x v="0"/>
    <x v="0"/>
    <x v="9"/>
  </r>
  <r>
    <m/>
    <d v="2025-10-27T00:00:00"/>
    <x v="1"/>
    <n v="68"/>
    <x v="4"/>
    <s v="Healthcare"/>
    <n v="947.64"/>
    <s v="Male"/>
    <x v="4"/>
    <s v="Healthcare"/>
    <x v="0"/>
    <x v="0"/>
    <x v="9"/>
  </r>
  <r>
    <s v="CUS00114"/>
    <d v="2025-10-28T00:00:00"/>
    <x v="1"/>
    <n v="63"/>
    <x v="3"/>
    <s v="student"/>
    <n v="265.83999999999997"/>
    <s v="Male"/>
    <x v="3"/>
    <s v="Student"/>
    <x v="1"/>
    <x v="0"/>
    <x v="9"/>
  </r>
  <r>
    <s v="CUS00051"/>
    <d v="2025-10-30T00:00:00"/>
    <x v="0"/>
    <n v="30"/>
    <x v="4"/>
    <s v="Self-Employed"/>
    <n v="728.45"/>
    <s v="Female"/>
    <x v="4"/>
    <s v="Self-Employed"/>
    <x v="1"/>
    <x v="0"/>
    <x v="9"/>
  </r>
  <r>
    <s v="CUS00089"/>
    <d v="2025-11-02T00:00:00"/>
    <x v="0"/>
    <n v="40"/>
    <x v="3"/>
    <s v="Self-Employed"/>
    <n v="463.46"/>
    <s v="Female"/>
    <x v="3"/>
    <s v="Self-Employed"/>
    <x v="1"/>
    <x v="0"/>
    <x v="10"/>
  </r>
  <r>
    <s v="CUS00242"/>
    <d v="2025-11-05T00:00:00"/>
    <x v="0"/>
    <n v="20"/>
    <x v="3"/>
    <s v="Self-Employed"/>
    <n v="1234.8800000000001"/>
    <s v="Female"/>
    <x v="3"/>
    <s v="Self-Employed"/>
    <x v="0"/>
    <x v="0"/>
    <x v="10"/>
  </r>
  <r>
    <s v="CUS00105"/>
    <d v="2025-11-07T00:00:00"/>
    <x v="0"/>
    <n v="32"/>
    <x v="1"/>
    <s v="Self-Employed"/>
    <n v="790.7"/>
    <s v="Female"/>
    <x v="1"/>
    <s v="Self-Employed"/>
    <x v="1"/>
    <x v="0"/>
    <x v="10"/>
  </r>
  <r>
    <s v="CUS00172"/>
    <d v="2025-11-09T00:00:00"/>
    <x v="0"/>
    <n v="70"/>
    <x v="3"/>
    <s v="Teacher"/>
    <n v="415.78"/>
    <s v="Female"/>
    <x v="3"/>
    <s v="Teacher"/>
    <x v="1"/>
    <x v="0"/>
    <x v="10"/>
  </r>
  <r>
    <s v="CUS00161"/>
    <d v="2025-11-12T00:00:00"/>
    <x v="1"/>
    <n v="20"/>
    <x v="5"/>
    <s v="Civil Servant"/>
    <n v="872.34"/>
    <s v="Male"/>
    <x v="5"/>
    <s v="Civil Servant"/>
    <x v="0"/>
    <x v="0"/>
    <x v="10"/>
  </r>
  <r>
    <s v="CUS00225"/>
    <d v="2025-11-14T00:00:00"/>
    <x v="2"/>
    <n v="70"/>
    <x v="1"/>
    <s v="Civil Servant"/>
    <n v="395.84"/>
    <s v="Missing"/>
    <x v="1"/>
    <s v="Civil Servant"/>
    <x v="1"/>
    <x v="0"/>
    <x v="10"/>
  </r>
  <r>
    <s v="CUS00028"/>
    <d v="2025-11-15T00:00:00"/>
    <x v="1"/>
    <n v="53"/>
    <x v="1"/>
    <s v="student"/>
    <n v="247.93"/>
    <s v="Male"/>
    <x v="1"/>
    <s v="Student"/>
    <x v="1"/>
    <x v="0"/>
    <x v="10"/>
  </r>
  <r>
    <s v="CUS00126"/>
    <d v="2025-11-17T00:00:00"/>
    <x v="2"/>
    <n v="26"/>
    <x v="2"/>
    <s v="Engineer"/>
    <n v="1045.8599999999999"/>
    <s v="Missing"/>
    <x v="2"/>
    <s v="Engineer"/>
    <x v="0"/>
    <x v="0"/>
    <x v="10"/>
  </r>
  <r>
    <m/>
    <d v="2025-11-21T00:00:00"/>
    <x v="1"/>
    <n v="30"/>
    <x v="2"/>
    <s v="Healthcare"/>
    <n v="1396.84"/>
    <s v="Male"/>
    <x v="2"/>
    <s v="Healthcare"/>
    <x v="0"/>
    <x v="0"/>
    <x v="10"/>
  </r>
  <r>
    <s v="CUS00125"/>
    <d v="2025-11-21T00:00:00"/>
    <x v="1"/>
    <n v="35"/>
    <x v="1"/>
    <s v="Business Owner"/>
    <n v="1086.6400000000001"/>
    <s v="Male"/>
    <x v="1"/>
    <s v="Business Owner"/>
    <x v="0"/>
    <x v="0"/>
    <x v="10"/>
  </r>
  <r>
    <s v="CUS00110"/>
    <d v="2025-11-22T00:00:00"/>
    <x v="0"/>
    <n v="50"/>
    <x v="1"/>
    <s v="Business Owner"/>
    <n v="923.87"/>
    <s v="Female"/>
    <x v="1"/>
    <s v="Business Owner"/>
    <x v="0"/>
    <x v="0"/>
    <x v="10"/>
  </r>
  <r>
    <s v="CUS00001"/>
    <d v="2025-11-23T00:00:00"/>
    <x v="0"/>
    <n v="39"/>
    <x v="5"/>
    <s v="Engineer"/>
    <n v="797.52"/>
    <s v="Female"/>
    <x v="5"/>
    <s v="Engineer"/>
    <x v="1"/>
    <x v="0"/>
    <x v="10"/>
  </r>
  <r>
    <s v="CUS00289"/>
    <d v="2025-11-30T00:00:00"/>
    <x v="1"/>
    <n v="41"/>
    <x v="1"/>
    <s v="Teacher"/>
    <n v="374.63"/>
    <s v="Male"/>
    <x v="1"/>
    <s v="Teacher"/>
    <x v="1"/>
    <x v="0"/>
    <x v="10"/>
  </r>
  <r>
    <s v="CUS00274"/>
    <d v="2025-12-07T00:00:00"/>
    <x v="0"/>
    <n v="32"/>
    <x v="1"/>
    <s v="Business Owner"/>
    <n v="1651.76"/>
    <s v="Female"/>
    <x v="1"/>
    <s v="Business Owner"/>
    <x v="2"/>
    <x v="0"/>
    <x v="11"/>
  </r>
  <r>
    <s v="CUS00167"/>
    <d v="2025-12-07T00:00:00"/>
    <x v="0"/>
    <n v="37"/>
    <x v="6"/>
    <s v="Teacher"/>
    <n v="853.86"/>
    <s v="Female"/>
    <x v="6"/>
    <s v="Teacher"/>
    <x v="0"/>
    <x v="0"/>
    <x v="11"/>
  </r>
  <r>
    <s v="CUS00260"/>
    <d v="2025-12-07T00:00:00"/>
    <x v="0"/>
    <n v="40"/>
    <x v="5"/>
    <s v="Business Owner"/>
    <n v="1210.32"/>
    <s v="Female"/>
    <x v="5"/>
    <s v="Business Owner"/>
    <x v="0"/>
    <x v="0"/>
    <x v="11"/>
  </r>
  <r>
    <s v="CUS00047"/>
    <d v="2025-12-09T00:00:00"/>
    <x v="0"/>
    <n v="43"/>
    <x v="1"/>
    <s v="Engineer"/>
    <n v="624.91999999999996"/>
    <s v="Female"/>
    <x v="1"/>
    <s v="Engineer"/>
    <x v="1"/>
    <x v="0"/>
    <x v="11"/>
  </r>
  <r>
    <s v="CUS00094"/>
    <d v="2025-12-10T00:00:00"/>
    <x v="1"/>
    <n v="55"/>
    <x v="5"/>
    <s v="Engineer"/>
    <n v="1229.76"/>
    <s v="Male"/>
    <x v="5"/>
    <s v="Engineer"/>
    <x v="0"/>
    <x v="0"/>
    <x v="11"/>
  </r>
  <r>
    <s v="CUS00195"/>
    <d v="2025-12-15T00:00:00"/>
    <x v="1"/>
    <n v="31"/>
    <x v="3"/>
    <s v="Self-Employed"/>
    <n v="481.99"/>
    <s v="Male"/>
    <x v="3"/>
    <s v="Self-Employed"/>
    <x v="1"/>
    <x v="0"/>
    <x v="11"/>
  </r>
  <r>
    <s v="CUS00184"/>
    <d v="2025-12-17T00:00:00"/>
    <x v="2"/>
    <n v="64"/>
    <x v="3"/>
    <s v="Self-Employed"/>
    <n v="638.53"/>
    <s v="Missing"/>
    <x v="3"/>
    <s v="Self-Employed"/>
    <x v="1"/>
    <x v="0"/>
    <x v="11"/>
  </r>
  <r>
    <s v="CUS00107"/>
    <d v="2025-12-23T00:00:00"/>
    <x v="1"/>
    <n v="46"/>
    <x v="0"/>
    <s v="Business Owner"/>
    <n v="1509.47"/>
    <s v="Male"/>
    <x v="0"/>
    <s v="Business Owner"/>
    <x v="2"/>
    <x v="0"/>
    <x v="11"/>
  </r>
  <r>
    <s v="CUS00010"/>
    <d v="2025-12-23T00:00:00"/>
    <x v="1"/>
    <n v="55"/>
    <x v="4"/>
    <s v="Healthcare"/>
    <n v="775.19"/>
    <s v="Male"/>
    <x v="4"/>
    <s v="Healthcare"/>
    <x v="1"/>
    <x v="0"/>
    <x v="11"/>
  </r>
  <r>
    <s v="CUS00008"/>
    <d v="2025-12-23T00:00:00"/>
    <x v="0"/>
    <n v="60"/>
    <x v="2"/>
    <s v="Engineer"/>
    <n v="599.34"/>
    <s v="Female"/>
    <x v="2"/>
    <s v="Engineer"/>
    <x v="1"/>
    <x v="0"/>
    <x v="11"/>
  </r>
  <r>
    <s v="CUS00045"/>
    <d v="2025-12-26T00:00:00"/>
    <x v="1"/>
    <n v="60"/>
    <x v="1"/>
    <s v="student"/>
    <n v="175.19"/>
    <s v="Male"/>
    <x v="1"/>
    <s v="Student"/>
    <x v="1"/>
    <x v="0"/>
    <x v="11"/>
  </r>
  <r>
    <s v="CUS00046"/>
    <d v="2025-12-28T00:00:00"/>
    <x v="0"/>
    <n v="38"/>
    <x v="1"/>
    <s v="Self-Employed"/>
    <n v="748.35"/>
    <s v="Female"/>
    <x v="1"/>
    <s v="Self-Employed"/>
    <x v="1"/>
    <x v="0"/>
    <x v="11"/>
  </r>
  <r>
    <s v="CUS00116"/>
    <d v="2025-12-29T00:00:00"/>
    <x v="0"/>
    <n v="70"/>
    <x v="3"/>
    <s v="Business Owner"/>
    <n v="924.95"/>
    <s v="Female"/>
    <x v="3"/>
    <s v="Business Owner"/>
    <x v="0"/>
    <x v="0"/>
    <x v="11"/>
  </r>
  <r>
    <s v="CUS00266"/>
    <d v="2025-12-30T00:00:00"/>
    <x v="1"/>
    <n v="44"/>
    <x v="6"/>
    <s v="Healthcare"/>
    <n v="853.76"/>
    <s v="Male"/>
    <x v="6"/>
    <s v="Healthcare"/>
    <x v="0"/>
    <x v="0"/>
    <x v="11"/>
  </r>
  <r>
    <s v="CUS00016"/>
    <d v="2025-12-31T00:00:00"/>
    <x v="2"/>
    <n v="33"/>
    <x v="1"/>
    <s v="Teacher"/>
    <n v="790.38"/>
    <s v="Missing"/>
    <x v="1"/>
    <s v="Teacher"/>
    <x v="1"/>
    <x v="0"/>
    <x v="11"/>
  </r>
  <r>
    <s v="CUS00035"/>
    <d v="2025-12-31T00:00:00"/>
    <x v="0"/>
    <n v="41"/>
    <x v="2"/>
    <s v="Self-Employed"/>
    <n v="455.83"/>
    <s v="Female"/>
    <x v="2"/>
    <s v="Self-Employed"/>
    <x v="1"/>
    <x v="0"/>
    <x v="11"/>
  </r>
  <r>
    <s v="CUS00269"/>
    <d v="2026-01-04T00:00:00"/>
    <x v="0"/>
    <n v="65"/>
    <x v="0"/>
    <s v="Self-Employed"/>
    <n v="810.64"/>
    <s v="Female"/>
    <x v="0"/>
    <s v="Self-Employed"/>
    <x v="0"/>
    <x v="1"/>
    <x v="0"/>
  </r>
  <r>
    <s v="CUS00141"/>
    <d v="2026-01-09T00:00:00"/>
    <x v="0"/>
    <n v="57"/>
    <x v="2"/>
    <s v="student"/>
    <n v="128.41999999999999"/>
    <s v="Female"/>
    <x v="2"/>
    <s v="Student"/>
    <x v="1"/>
    <x v="1"/>
    <x v="0"/>
  </r>
  <r>
    <s v="CUS00087"/>
    <d v="2026-01-11T00:00:00"/>
    <x v="0"/>
    <n v="70"/>
    <x v="3"/>
    <s v="Business Owner"/>
    <n v="1956.52"/>
    <s v="Female"/>
    <x v="3"/>
    <s v="Business Owner"/>
    <x v="2"/>
    <x v="1"/>
    <x v="0"/>
  </r>
  <r>
    <s v="CUS00200"/>
    <d v="2026-01-15T00:00:00"/>
    <x v="0"/>
    <n v="21"/>
    <x v="2"/>
    <s v="Healthcare"/>
    <n v="845.86"/>
    <s v="Female"/>
    <x v="2"/>
    <s v="Healthcare"/>
    <x v="0"/>
    <x v="1"/>
    <x v="0"/>
  </r>
  <r>
    <s v="CUS00054"/>
    <d v="2026-01-15T00:00:00"/>
    <x v="1"/>
    <n v="63"/>
    <x v="6"/>
    <s v="Teacher"/>
    <n v="306.45999999999998"/>
    <s v="Male"/>
    <x v="6"/>
    <s v="Teacher"/>
    <x v="1"/>
    <x v="1"/>
    <x v="0"/>
  </r>
  <r>
    <m/>
    <d v="2026-01-16T00:00:00"/>
    <x v="0"/>
    <n v="44"/>
    <x v="1"/>
    <s v="Self-Employed"/>
    <n v="923.87"/>
    <s v="Female"/>
    <x v="1"/>
    <s v="Self-Employed"/>
    <x v="0"/>
    <x v="1"/>
    <x v="0"/>
  </r>
  <r>
    <s v="CUS00165"/>
    <d v="2026-01-17T00:00:00"/>
    <x v="0"/>
    <n v="37"/>
    <x v="3"/>
    <s v="student"/>
    <n v="923.87"/>
    <s v="Female"/>
    <x v="3"/>
    <s v="Student"/>
    <x v="0"/>
    <x v="1"/>
    <x v="0"/>
  </r>
  <r>
    <s v="CUS00095"/>
    <d v="2026-01-19T00:00:00"/>
    <x v="0"/>
    <n v="28"/>
    <x v="0"/>
    <s v="Self-Employed"/>
    <n v="785.95"/>
    <s v="Female"/>
    <x v="0"/>
    <s v="Self-Employed"/>
    <x v="1"/>
    <x v="1"/>
    <x v="0"/>
  </r>
  <r>
    <s v="CUS00284"/>
    <d v="2026-01-19T00:00:00"/>
    <x v="0"/>
    <n v="36"/>
    <x v="0"/>
    <s v="Teacher"/>
    <n v="922.87"/>
    <s v="Female"/>
    <x v="0"/>
    <s v="Teacher"/>
    <x v="0"/>
    <x v="1"/>
    <x v="0"/>
  </r>
  <r>
    <s v="CUS00098"/>
    <d v="2026-01-26T00:00:00"/>
    <x v="0"/>
    <n v="47"/>
    <x v="0"/>
    <s v="Self-Employed"/>
    <n v="728.06"/>
    <s v="Female"/>
    <x v="0"/>
    <s v="Self-Employed"/>
    <x v="1"/>
    <x v="1"/>
    <x v="0"/>
  </r>
  <r>
    <s v="CUS00014"/>
    <d v="2026-01-30T00:00:00"/>
    <x v="0"/>
    <n v="49"/>
    <x v="1"/>
    <s v="Self-Employed"/>
    <n v="527.12"/>
    <s v="Female"/>
    <x v="1"/>
    <s v="Self-Employed"/>
    <x v="1"/>
    <x v="1"/>
    <x v="0"/>
  </r>
  <r>
    <s v="CUS00283"/>
    <d v="2026-02-01T00:00:00"/>
    <x v="1"/>
    <n v="55"/>
    <x v="5"/>
    <s v="Engineer"/>
    <n v="923.87"/>
    <s v="Male"/>
    <x v="5"/>
    <s v="Engineer"/>
    <x v="0"/>
    <x v="1"/>
    <x v="1"/>
  </r>
  <r>
    <s v="CUS00062"/>
    <d v="2026-02-04T00:00:00"/>
    <x v="1"/>
    <n v="47"/>
    <x v="1"/>
    <s v="Engineer"/>
    <n v="923.87"/>
    <s v="Male"/>
    <x v="1"/>
    <s v="Engineer"/>
    <x v="0"/>
    <x v="1"/>
    <x v="1"/>
  </r>
  <r>
    <s v="CUS00147"/>
    <d v="2026-02-06T00:00:00"/>
    <x v="1"/>
    <n v="36"/>
    <x v="4"/>
    <s v="Healthcare"/>
    <n v="508.34"/>
    <s v="Male"/>
    <x v="4"/>
    <s v="Healthcare"/>
    <x v="1"/>
    <x v="1"/>
    <x v="1"/>
  </r>
  <r>
    <s v="CUS00191"/>
    <d v="2026-02-06T00:00:00"/>
    <x v="0"/>
    <n v="65"/>
    <x v="4"/>
    <s v="Civil Servant"/>
    <n v="1067.9000000000001"/>
    <s v="Female"/>
    <x v="4"/>
    <s v="Civil Servant"/>
    <x v="0"/>
    <x v="1"/>
    <x v="1"/>
  </r>
  <r>
    <m/>
    <d v="2026-02-07T00:00:00"/>
    <x v="1"/>
    <n v="23"/>
    <x v="5"/>
    <s v="Civil Servant"/>
    <n v="528.86"/>
    <s v="Male"/>
    <x v="5"/>
    <s v="Civil Servant"/>
    <x v="1"/>
    <x v="1"/>
    <x v="1"/>
  </r>
  <r>
    <s v="CUS00096"/>
    <d v="2026-02-07T00:00:00"/>
    <x v="2"/>
    <n v="33"/>
    <x v="1"/>
    <s v="Civil Servant"/>
    <n v="930.02"/>
    <s v="Missing"/>
    <x v="1"/>
    <s v="Civil Servant"/>
    <x v="0"/>
    <x v="1"/>
    <x v="1"/>
  </r>
  <r>
    <s v="CUS00073"/>
    <d v="2026-02-08T00:00:00"/>
    <x v="0"/>
    <n v="46"/>
    <x v="1"/>
    <s v="student"/>
    <n v="253.15"/>
    <s v="Female"/>
    <x v="1"/>
    <s v="Student"/>
    <x v="1"/>
    <x v="1"/>
    <x v="1"/>
  </r>
  <r>
    <s v="CUS00248"/>
    <d v="2026-02-11T00:00:00"/>
    <x v="0"/>
    <n v="30"/>
    <x v="0"/>
    <s v="Teacher"/>
    <n v="855.02"/>
    <s v="Female"/>
    <x v="0"/>
    <s v="Teacher"/>
    <x v="0"/>
    <x v="1"/>
    <x v="1"/>
  </r>
  <r>
    <s v="CUS00240"/>
    <d v="2026-02-12T00:00:00"/>
    <x v="0"/>
    <n v="22"/>
    <x v="1"/>
    <s v="Self-Employed"/>
    <n v="1281"/>
    <s v="Female"/>
    <x v="1"/>
    <s v="Self-Employed"/>
    <x v="0"/>
    <x v="1"/>
    <x v="1"/>
  </r>
  <r>
    <s v="CUS00236"/>
    <d v="2026-02-14T00:00:00"/>
    <x v="0"/>
    <n v="22"/>
    <x v="4"/>
    <s v="Civil Servant"/>
    <n v="1164.05"/>
    <s v="Female"/>
    <x v="4"/>
    <s v="Civil Servant"/>
    <x v="0"/>
    <x v="1"/>
    <x v="1"/>
  </r>
  <r>
    <s v="CUS00190"/>
    <d v="2026-02-15T00:00:00"/>
    <x v="0"/>
    <n v="58"/>
    <x v="3"/>
    <s v="Engineer"/>
    <n v="1170.92"/>
    <s v="Female"/>
    <x v="3"/>
    <s v="Engineer"/>
    <x v="0"/>
    <x v="1"/>
    <x v="1"/>
  </r>
  <r>
    <s v="CUS00201"/>
    <d v="2026-02-17T00:00:00"/>
    <x v="0"/>
    <n v="55"/>
    <x v="4"/>
    <s v="Civil Servant"/>
    <n v="1021.22"/>
    <s v="Female"/>
    <x v="4"/>
    <s v="Civil Servant"/>
    <x v="0"/>
    <x v="1"/>
    <x v="1"/>
  </r>
  <r>
    <s v="CUS00188"/>
    <d v="2026-02-20T00:00:00"/>
    <x v="1"/>
    <n v="30"/>
    <x v="3"/>
    <s v="Healthcare"/>
    <n v="1315.27"/>
    <s v="Male"/>
    <x v="3"/>
    <s v="Healthcare"/>
    <x v="0"/>
    <x v="1"/>
    <x v="1"/>
  </r>
  <r>
    <s v="CUS00029"/>
    <d v="2026-02-24T00:00:00"/>
    <x v="1"/>
    <n v="50"/>
    <x v="6"/>
    <s v="Engineer"/>
    <n v="644.80999999999995"/>
    <s v="Male"/>
    <x v="6"/>
    <s v="Engineer"/>
    <x v="1"/>
    <x v="1"/>
    <x v="1"/>
  </r>
  <r>
    <s v="CUS00220"/>
    <d v="2026-02-27T00:00:00"/>
    <x v="0"/>
    <n v="60"/>
    <x v="3"/>
    <s v="Healthcare"/>
    <n v="854.23"/>
    <s v="Female"/>
    <x v="3"/>
    <s v="Healthcare"/>
    <x v="0"/>
    <x v="1"/>
    <x v="1"/>
  </r>
  <r>
    <s v="CUS00085"/>
    <d v="2026-02-28T00:00:00"/>
    <x v="0"/>
    <n v="62"/>
    <x v="1"/>
    <s v="Engineer"/>
    <n v="1371.98"/>
    <s v="Female"/>
    <x v="1"/>
    <s v="Engineer"/>
    <x v="0"/>
    <x v="1"/>
    <x v="1"/>
  </r>
  <r>
    <s v="CUS00023"/>
    <d v="2026-03-01T00:00:00"/>
    <x v="0"/>
    <n v="32"/>
    <x v="5"/>
    <s v="Civil Servant"/>
    <n v="558.07000000000005"/>
    <s v="Female"/>
    <x v="5"/>
    <s v="Civil Servant"/>
    <x v="1"/>
    <x v="1"/>
    <x v="2"/>
  </r>
  <r>
    <s v="CUS00185"/>
    <d v="2026-03-08T00:00:00"/>
    <x v="0"/>
    <n v="43"/>
    <x v="1"/>
    <s v="Healthcare"/>
    <n v="1069.08"/>
    <s v="Female"/>
    <x v="1"/>
    <s v="Healthcare"/>
    <x v="0"/>
    <x v="1"/>
    <x v="2"/>
  </r>
  <r>
    <s v="CUS00013"/>
    <d v="2026-03-09T00:00:00"/>
    <x v="0"/>
    <n v="43"/>
    <x v="1"/>
    <s v="Teacher"/>
    <n v="778.23"/>
    <s v="Female"/>
    <x v="1"/>
    <s v="Teacher"/>
    <x v="1"/>
    <x v="1"/>
    <x v="2"/>
  </r>
  <r>
    <s v="CUS00108"/>
    <d v="2026-03-12T00:00:00"/>
    <x v="0"/>
    <n v="52"/>
    <x v="1"/>
    <s v="Missing "/>
    <n v="216.93"/>
    <s v="Female"/>
    <x v="1"/>
    <s v="Missing"/>
    <x v="1"/>
    <x v="1"/>
    <x v="2"/>
  </r>
  <r>
    <s v="CUS00162"/>
    <d v="2026-03-13T00:00:00"/>
    <x v="0"/>
    <n v="29"/>
    <x v="3"/>
    <s v="Teacher"/>
    <n v="794.1"/>
    <s v="Female"/>
    <x v="3"/>
    <s v="Teacher"/>
    <x v="1"/>
    <x v="1"/>
    <x v="2"/>
  </r>
  <r>
    <s v="CUS00104"/>
    <d v="2026-03-13T00:00:00"/>
    <x v="1"/>
    <n v="43"/>
    <x v="1"/>
    <s v="Business Owner"/>
    <n v="1377.65"/>
    <s v="Male"/>
    <x v="1"/>
    <s v="Business Owner"/>
    <x v="0"/>
    <x v="1"/>
    <x v="2"/>
  </r>
  <r>
    <s v="CUS00018"/>
    <d v="2026-03-13T00:00:00"/>
    <x v="0"/>
    <n v="44"/>
    <x v="1"/>
    <s v="Self-Employed"/>
    <n v="1321.69"/>
    <s v="Female"/>
    <x v="1"/>
    <s v="Self-Employed"/>
    <x v="0"/>
    <x v="1"/>
    <x v="2"/>
  </r>
  <r>
    <s v="CUS00068"/>
    <d v="2026-03-18T00:00:00"/>
    <x v="1"/>
    <n v="45"/>
    <x v="2"/>
    <s v="student"/>
    <n v="200.87"/>
    <s v="Male"/>
    <x v="2"/>
    <s v="Student"/>
    <x v="1"/>
    <x v="1"/>
    <x v="2"/>
  </r>
  <r>
    <s v="CUS00064"/>
    <d v="2026-03-22T00:00:00"/>
    <x v="1"/>
    <n v="64"/>
    <x v="3"/>
    <s v="Business Owner"/>
    <n v="727.81"/>
    <s v="Male"/>
    <x v="3"/>
    <s v="Business Owner"/>
    <x v="1"/>
    <x v="1"/>
    <x v="2"/>
  </r>
  <r>
    <s v="CUS00278"/>
    <d v="2026-03-28T00:00:00"/>
    <x v="0"/>
    <n v="40"/>
    <x v="4"/>
    <s v="Healthcare"/>
    <n v="644.95000000000005"/>
    <s v="Female"/>
    <x v="4"/>
    <s v="Healthcare"/>
    <x v="1"/>
    <x v="1"/>
    <x v="2"/>
  </r>
  <r>
    <s v="CUS00039"/>
    <d v="2026-03-28T00:00:00"/>
    <x v="0"/>
    <n v="63"/>
    <x v="3"/>
    <s v="Business Owner"/>
    <n v="1127.6500000000001"/>
    <s v="Female"/>
    <x v="3"/>
    <s v="Business Owner"/>
    <x v="0"/>
    <x v="1"/>
    <x v="2"/>
  </r>
  <r>
    <s v="CUS00168"/>
    <d v="2026-04-04T00:00:00"/>
    <x v="0"/>
    <n v="40"/>
    <x v="0"/>
    <s v="Self-Employed"/>
    <n v="727.06"/>
    <s v="Female"/>
    <x v="0"/>
    <s v="Self-Employed"/>
    <x v="1"/>
    <x v="1"/>
    <x v="3"/>
  </r>
  <r>
    <s v="CUS00142"/>
    <d v="2026-04-12T00:00:00"/>
    <x v="1"/>
    <n v="24"/>
    <x v="1"/>
    <s v="Engineer"/>
    <n v="1411.64"/>
    <s v="Male"/>
    <x v="1"/>
    <s v="Engineer"/>
    <x v="0"/>
    <x v="1"/>
    <x v="3"/>
  </r>
  <r>
    <s v="CUS00015"/>
    <d v="2026-04-15T00:00:00"/>
    <x v="1"/>
    <n v="70"/>
    <x v="5"/>
    <s v="Business Owner"/>
    <n v="891.18"/>
    <s v="Male"/>
    <x v="5"/>
    <s v="Business Owner"/>
    <x v="0"/>
    <x v="1"/>
    <x v="3"/>
  </r>
  <r>
    <s v="CUS00024"/>
    <d v="2026-04-17T00:00:00"/>
    <x v="0"/>
    <n v="18"/>
    <x v="1"/>
    <s v="Civil Servant"/>
    <n v="1155.56"/>
    <s v="Female"/>
    <x v="1"/>
    <s v="Civil Servant"/>
    <x v="0"/>
    <x v="1"/>
    <x v="3"/>
  </r>
  <r>
    <s v="CUS00127"/>
    <d v="2026-04-21T00:00:00"/>
    <x v="0"/>
    <n v="46"/>
    <x v="4"/>
    <s v="student"/>
    <n v="116.1"/>
    <s v="Female"/>
    <x v="4"/>
    <s v="Student"/>
    <x v="1"/>
    <x v="1"/>
    <x v="3"/>
  </r>
  <r>
    <s v="CUS00145"/>
    <d v="2026-04-24T00:00:00"/>
    <x v="0"/>
    <n v="57"/>
    <x v="5"/>
    <s v="Business Owner"/>
    <n v="749.33"/>
    <s v="Female"/>
    <x v="5"/>
    <s v="Business Owner"/>
    <x v="1"/>
    <x v="1"/>
    <x v="3"/>
  </r>
  <r>
    <s v="CUS00243"/>
    <d v="2026-04-25T00:00:00"/>
    <x v="0"/>
    <n v="28"/>
    <x v="5"/>
    <s v="Teacher"/>
    <n v="732.86"/>
    <s v="Female"/>
    <x v="5"/>
    <s v="Teacher"/>
    <x v="1"/>
    <x v="1"/>
    <x v="3"/>
  </r>
  <r>
    <s v="CUS00032"/>
    <d v="2026-04-25T00:00:00"/>
    <x v="1"/>
    <n v="44"/>
    <x v="4"/>
    <s v="Healthcare"/>
    <n v="1263.1099999999999"/>
    <s v="Male"/>
    <x v="4"/>
    <s v="Healthcare"/>
    <x v="0"/>
    <x v="1"/>
    <x v="3"/>
  </r>
  <r>
    <s v="CUS00050"/>
    <d v="2026-05-04T00:00:00"/>
    <x v="0"/>
    <n v="18"/>
    <x v="1"/>
    <s v="Business Owner"/>
    <n v="721.99"/>
    <s v="Female"/>
    <x v="1"/>
    <s v="Business Owner"/>
    <x v="1"/>
    <x v="1"/>
    <x v="4"/>
  </r>
  <r>
    <s v="CUS00267"/>
    <d v="2026-05-04T00:00:00"/>
    <x v="0"/>
    <n v="43"/>
    <x v="3"/>
    <s v="student"/>
    <n v="169.21"/>
    <s v="Female"/>
    <x v="3"/>
    <s v="Student"/>
    <x v="1"/>
    <x v="1"/>
    <x v="4"/>
  </r>
  <r>
    <s v="CUS00066"/>
    <d v="2026-05-06T00:00:00"/>
    <x v="1"/>
    <n v="52"/>
    <x v="1"/>
    <s v="Healthcare"/>
    <n v="934.22"/>
    <s v="Male"/>
    <x v="1"/>
    <s v="Healthcare"/>
    <x v="0"/>
    <x v="1"/>
    <x v="4"/>
  </r>
  <r>
    <s v="CUS00253"/>
    <d v="2026-05-08T00:00:00"/>
    <x v="1"/>
    <n v="67"/>
    <x v="1"/>
    <s v="Civil Servant"/>
    <n v="857.27"/>
    <s v="Male"/>
    <x v="1"/>
    <s v="Civil Servant"/>
    <x v="0"/>
    <x v="1"/>
    <x v="4"/>
  </r>
  <r>
    <m/>
    <d v="2026-05-09T00:00:00"/>
    <x v="0"/>
    <n v="50"/>
    <x v="1"/>
    <s v="Self-Employed"/>
    <n v="917.25"/>
    <s v="Female"/>
    <x v="1"/>
    <s v="Self-Employed"/>
    <x v="0"/>
    <x v="1"/>
    <x v="4"/>
  </r>
  <r>
    <s v="CUS00059"/>
    <d v="2026-05-15T00:00:00"/>
    <x v="1"/>
    <n v="42"/>
    <x v="3"/>
    <s v="Business Owner"/>
    <n v="923.87"/>
    <s v="Male"/>
    <x v="3"/>
    <s v="Business Owner"/>
    <x v="0"/>
    <x v="1"/>
    <x v="4"/>
  </r>
  <r>
    <s v="CUS00074"/>
    <d v="2026-05-15T00:00:00"/>
    <x v="0"/>
    <n v="44"/>
    <x v="4"/>
    <s v="Business Owner"/>
    <n v="746.07"/>
    <s v="Female"/>
    <x v="4"/>
    <s v="Business Owner"/>
    <x v="1"/>
    <x v="1"/>
    <x v="4"/>
  </r>
  <r>
    <s v="CUS00037"/>
    <d v="2026-05-15T00:00:00"/>
    <x v="0"/>
    <n v="61"/>
    <x v="4"/>
    <s v="student"/>
    <n v="294.94"/>
    <s v="Female"/>
    <x v="4"/>
    <s v="Student"/>
    <x v="1"/>
    <x v="1"/>
    <x v="4"/>
  </r>
  <r>
    <s v="CUS00041"/>
    <d v="2026-05-15T00:00:00"/>
    <x v="2"/>
    <n v="65"/>
    <x v="2"/>
    <s v="Business Owner"/>
    <n v="1137.32"/>
    <s v="Missing"/>
    <x v="2"/>
    <s v="Business Owner"/>
    <x v="0"/>
    <x v="1"/>
    <x v="4"/>
  </r>
  <r>
    <s v="CUS00082"/>
    <d v="2026-05-16T00:00:00"/>
    <x v="0"/>
    <n v="30"/>
    <x v="1"/>
    <s v="Business Owner"/>
    <n v="2015.04"/>
    <s v="Female"/>
    <x v="1"/>
    <s v="Business Owner"/>
    <x v="2"/>
    <x v="1"/>
    <x v="4"/>
  </r>
  <r>
    <s v="CUS00155"/>
    <d v="2026-05-17T00:00:00"/>
    <x v="0"/>
    <n v="27"/>
    <x v="4"/>
    <s v="Missing "/>
    <n v="255.08"/>
    <s v="Female"/>
    <x v="4"/>
    <s v="Missing"/>
    <x v="1"/>
    <x v="1"/>
    <x v="4"/>
  </r>
  <r>
    <s v="CUS00233"/>
    <d v="2026-05-17T00:00:00"/>
    <x v="0"/>
    <n v="39"/>
    <x v="3"/>
    <s v="Healthcare"/>
    <n v="1315.07"/>
    <s v="Female"/>
    <x v="3"/>
    <s v="Healthcare"/>
    <x v="0"/>
    <x v="1"/>
    <x v="4"/>
  </r>
  <r>
    <s v="CUS00061"/>
    <d v="2026-05-19T00:00:00"/>
    <x v="0"/>
    <n v="53"/>
    <x v="1"/>
    <s v="Engineer"/>
    <n v="923.87"/>
    <s v="Female"/>
    <x v="1"/>
    <s v="Engineer"/>
    <x v="0"/>
    <x v="1"/>
    <x v="4"/>
  </r>
  <r>
    <s v="CUS00250"/>
    <d v="2026-05-21T00:00:00"/>
    <x v="0"/>
    <n v="29"/>
    <x v="1"/>
    <s v="Self-Employed"/>
    <n v="1143.8399999999999"/>
    <s v="Female"/>
    <x v="1"/>
    <s v="Self-Employed"/>
    <x v="0"/>
    <x v="1"/>
    <x v="4"/>
  </r>
  <r>
    <s v="CUS00092"/>
    <d v="2026-05-24T00:00:00"/>
    <x v="1"/>
    <n v="69"/>
    <x v="1"/>
    <s v="Healthcare"/>
    <n v="1244.97"/>
    <s v="Male"/>
    <x v="1"/>
    <s v="Healthcare"/>
    <x v="0"/>
    <x v="1"/>
    <x v="4"/>
  </r>
  <r>
    <s v="CUS00192"/>
    <d v="2026-05-26T00:00:00"/>
    <x v="1"/>
    <n v="44"/>
    <x v="4"/>
    <s v="student"/>
    <n v="149.24"/>
    <s v="Male"/>
    <x v="4"/>
    <s v="Student"/>
    <x v="1"/>
    <x v="1"/>
    <x v="4"/>
  </r>
  <r>
    <s v="CUS00290"/>
    <d v="2026-05-27T00:00:00"/>
    <x v="0"/>
    <n v="36"/>
    <x v="4"/>
    <s v="Missing "/>
    <n v="216.82"/>
    <s v="Female"/>
    <x v="4"/>
    <s v="Missing"/>
    <x v="1"/>
    <x v="1"/>
    <x v="4"/>
  </r>
  <r>
    <s v="CUS00281"/>
    <d v="2026-05-31T00:00:00"/>
    <x v="0"/>
    <n v="34"/>
    <x v="4"/>
    <s v="Engineer"/>
    <n v="1390.38"/>
    <s v="Female"/>
    <x v="4"/>
    <s v="Engineer"/>
    <x v="0"/>
    <x v="1"/>
    <x v="4"/>
  </r>
  <r>
    <s v="CUS00176"/>
    <d v="2026-05-31T00:00:00"/>
    <x v="1"/>
    <n v="44"/>
    <x v="4"/>
    <s v="Teacher"/>
    <n v="661.3"/>
    <s v="Male"/>
    <x v="4"/>
    <s v="Teacher"/>
    <x v="1"/>
    <x v="1"/>
    <x v="4"/>
  </r>
  <r>
    <s v="CUS00129"/>
    <d v="2026-05-31T00:00:00"/>
    <x v="2"/>
    <n v="49"/>
    <x v="5"/>
    <s v="Self-Employed"/>
    <n v="1046.17"/>
    <s v="Missing"/>
    <x v="5"/>
    <s v="Self-Employed"/>
    <x v="0"/>
    <x v="1"/>
    <x v="4"/>
  </r>
  <r>
    <s v="CUS00199"/>
    <d v="2026-06-10T00:00:00"/>
    <x v="1"/>
    <n v="65"/>
    <x v="1"/>
    <s v="Healthcare"/>
    <n v="742.69"/>
    <s v="Male"/>
    <x v="1"/>
    <s v="Healthcare"/>
    <x v="1"/>
    <x v="1"/>
    <x v="5"/>
  </r>
  <r>
    <s v="CUS00238"/>
    <d v="2026-06-11T00:00:00"/>
    <x v="1"/>
    <n v="62"/>
    <x v="6"/>
    <s v="Civil Servant"/>
    <n v="595.70000000000005"/>
    <s v="Male"/>
    <x v="6"/>
    <s v="Civil Servant"/>
    <x v="1"/>
    <x v="1"/>
    <x v="5"/>
  </r>
  <r>
    <s v="CUS00280"/>
    <d v="2026-06-14T00:00:00"/>
    <x v="1"/>
    <n v="32"/>
    <x v="5"/>
    <s v="student"/>
    <n v="201.16"/>
    <s v="Male"/>
    <x v="5"/>
    <s v="Student"/>
    <x v="1"/>
    <x v="1"/>
    <x v="5"/>
  </r>
  <r>
    <s v="CUS00212"/>
    <d v="2026-06-16T00:00:00"/>
    <x v="1"/>
    <n v="31"/>
    <x v="1"/>
    <s v="Teacher"/>
    <n v="638.6"/>
    <s v="Male"/>
    <x v="1"/>
    <s v="Teacher"/>
    <x v="1"/>
    <x v="1"/>
    <x v="5"/>
  </r>
  <r>
    <s v="CUS00178"/>
    <d v="2026-06-17T00:00:00"/>
    <x v="1"/>
    <n v="32"/>
    <x v="6"/>
    <s v="Business Owner"/>
    <n v="2091.58"/>
    <s v="Male"/>
    <x v="6"/>
    <s v="Business Owner"/>
    <x v="2"/>
    <x v="1"/>
    <x v="5"/>
  </r>
  <r>
    <s v="CUS00075"/>
    <d v="2026-06-17T00:00:00"/>
    <x v="0"/>
    <n v="47"/>
    <x v="2"/>
    <s v="Business Owner"/>
    <n v="2156"/>
    <s v="Female"/>
    <x v="2"/>
    <s v="Business Owner"/>
    <x v="2"/>
    <x v="1"/>
    <x v="5"/>
  </r>
  <r>
    <s v="CUS00070"/>
    <d v="2026-06-24T00:00:00"/>
    <x v="1"/>
    <n v="38"/>
    <x v="1"/>
    <s v="Teacher"/>
    <n v="719.42"/>
    <s v="Male"/>
    <x v="1"/>
    <s v="Teacher"/>
    <x v="1"/>
    <x v="1"/>
    <x v="5"/>
  </r>
  <r>
    <s v="CUS00093"/>
    <d v="2026-07-02T00:00:00"/>
    <x v="1"/>
    <n v="59"/>
    <x v="2"/>
    <s v="student"/>
    <n v="239.25"/>
    <s v="Male"/>
    <x v="2"/>
    <s v="Student"/>
    <x v="1"/>
    <x v="1"/>
    <x v="6"/>
  </r>
  <r>
    <s v="CUS00193"/>
    <d v="2026-07-07T00:00:00"/>
    <x v="1"/>
    <n v="61"/>
    <x v="1"/>
    <s v="Civil Servant"/>
    <n v="1071.8599999999999"/>
    <s v="Male"/>
    <x v="1"/>
    <s v="Civil Servant"/>
    <x v="0"/>
    <x v="1"/>
    <x v="6"/>
  </r>
  <r>
    <m/>
    <d v="2026-07-08T00:00:00"/>
    <x v="0"/>
    <n v="61"/>
    <x v="4"/>
    <s v="student"/>
    <n v="176.82"/>
    <s v="Female"/>
    <x v="4"/>
    <s v="Student"/>
    <x v="1"/>
    <x v="1"/>
    <x v="6"/>
  </r>
  <r>
    <s v="CUS00036"/>
    <d v="2026-07-09T00:00:00"/>
    <x v="0"/>
    <n v="45"/>
    <x v="3"/>
    <s v="Self-Employed"/>
    <n v="671.87"/>
    <s v="Female"/>
    <x v="3"/>
    <s v="Self-Employed"/>
    <x v="1"/>
    <x v="1"/>
    <x v="6"/>
  </r>
  <r>
    <m/>
    <d v="2026-07-19T00:00:00"/>
    <x v="1"/>
    <n v="22"/>
    <x v="1"/>
    <s v="Teacher"/>
    <n v="586.78"/>
    <s v="Male"/>
    <x v="1"/>
    <s v="Teacher"/>
    <x v="1"/>
    <x v="1"/>
    <x v="6"/>
  </r>
  <r>
    <s v="CUS00163"/>
    <d v="2026-07-22T00:00:00"/>
    <x v="1"/>
    <n v="53"/>
    <x v="4"/>
    <s v="Business Owner"/>
    <n v="901.36"/>
    <s v="Male"/>
    <x v="4"/>
    <s v="Business Owner"/>
    <x v="0"/>
    <x v="1"/>
    <x v="6"/>
  </r>
  <r>
    <s v="CUS00291"/>
    <d v="2026-07-23T00:00:00"/>
    <x v="1"/>
    <n v="19"/>
    <x v="1"/>
    <s v="Engineer"/>
    <n v="1315.74"/>
    <s v="Male"/>
    <x v="1"/>
    <s v="Engineer"/>
    <x v="0"/>
    <x v="1"/>
    <x v="6"/>
  </r>
  <r>
    <s v="CUS00084"/>
    <d v="2026-07-25T00:00:00"/>
    <x v="1"/>
    <n v="62"/>
    <x v="4"/>
    <s v="Engineer"/>
    <n v="632.38"/>
    <s v="Male"/>
    <x v="4"/>
    <s v="Engineer"/>
    <x v="1"/>
    <x v="1"/>
    <x v="6"/>
  </r>
  <r>
    <s v="CUS00011"/>
    <d v="2026-07-27T00:00:00"/>
    <x v="2"/>
    <n v="70"/>
    <x v="1"/>
    <s v="Healthcare"/>
    <n v="1087.08"/>
    <s v="Missing"/>
    <x v="1"/>
    <s v="Healthcare"/>
    <x v="0"/>
    <x v="1"/>
    <x v="6"/>
  </r>
  <r>
    <s v="CUS00158"/>
    <s v="Missing"/>
    <x v="1"/>
    <n v="24"/>
    <x v="3"/>
    <s v="Engineer"/>
    <n v="608.08000000000004"/>
    <s v="Male"/>
    <x v="3"/>
    <s v="Engineer"/>
    <x v="1"/>
    <x v="2"/>
    <x v="12"/>
  </r>
  <r>
    <s v="CUS00031"/>
    <s v="Missing"/>
    <x v="0"/>
    <n v="28"/>
    <x v="2"/>
    <s v="Civil Servant"/>
    <n v="647.6"/>
    <s v="Female"/>
    <x v="2"/>
    <s v="Civil Servant"/>
    <x v="1"/>
    <x v="2"/>
    <x v="12"/>
  </r>
  <r>
    <s v="CUS00215"/>
    <s v="Missing"/>
    <x v="1"/>
    <n v="31"/>
    <x v="1"/>
    <s v="Business Owner"/>
    <n v="1961.76"/>
    <s v="Male"/>
    <x v="1"/>
    <s v="Business Owner"/>
    <x v="2"/>
    <x v="2"/>
    <x v="12"/>
  </r>
  <r>
    <s v="CUS00265"/>
    <s v="Missing"/>
    <x v="0"/>
    <n v="33"/>
    <x v="1"/>
    <s v="CS"/>
    <n v="964.35"/>
    <s v="Female"/>
    <x v="1"/>
    <s v="Civil Servant"/>
    <x v="0"/>
    <x v="2"/>
    <x v="12"/>
  </r>
  <r>
    <s v="CUS00090"/>
    <s v="Missing"/>
    <x v="1"/>
    <n v="33"/>
    <x v="5"/>
    <s v="Self-Employed"/>
    <n v="753.73"/>
    <s v="Male"/>
    <x v="5"/>
    <s v="Self-Employed"/>
    <x v="1"/>
    <x v="2"/>
    <x v="12"/>
  </r>
  <r>
    <s v="CUS00034"/>
    <s v="Missing"/>
    <x v="1"/>
    <n v="39"/>
    <x v="2"/>
    <s v="Teacher"/>
    <n v="827.25"/>
    <s v="Male"/>
    <x v="2"/>
    <s v="Teacher"/>
    <x v="0"/>
    <x v="2"/>
    <x v="12"/>
  </r>
  <r>
    <s v="CUS00205"/>
    <s v="Missing"/>
    <x v="0"/>
    <n v="40"/>
    <x v="1"/>
    <s v="Self-Employed"/>
    <n v="442.74"/>
    <s v="Female"/>
    <x v="1"/>
    <s v="Self-Employed"/>
    <x v="1"/>
    <x v="2"/>
    <x v="12"/>
  </r>
  <r>
    <s v="CUS00049"/>
    <s v="Missing"/>
    <x v="0"/>
    <n v="44"/>
    <x v="6"/>
    <s v="Civil Servant"/>
    <n v="661.71"/>
    <s v="Female"/>
    <x v="6"/>
    <s v="Civil Servant"/>
    <x v="1"/>
    <x v="2"/>
    <x v="12"/>
  </r>
  <r>
    <s v="CUS00055"/>
    <s v="Missing"/>
    <x v="0"/>
    <n v="45"/>
    <x v="6"/>
    <s v="Healthcare"/>
    <n v="978.74"/>
    <s v="Female"/>
    <x v="6"/>
    <s v="Healthcare"/>
    <x v="0"/>
    <x v="2"/>
    <x v="12"/>
  </r>
  <r>
    <s v="CUS00057"/>
    <s v="Missing"/>
    <x v="1"/>
    <n v="46"/>
    <x v="5"/>
    <s v="Teacher"/>
    <n v="645.54999999999995"/>
    <s v="Male"/>
    <x v="5"/>
    <s v="Teacher"/>
    <x v="1"/>
    <x v="2"/>
    <x v="12"/>
  </r>
  <r>
    <s v="CUS00071"/>
    <s v="Missing"/>
    <x v="0"/>
    <n v="48"/>
    <x v="6"/>
    <s v="Civil Servant"/>
    <n v="759.9"/>
    <s v="Female"/>
    <x v="6"/>
    <s v="Civil Servant"/>
    <x v="1"/>
    <x v="2"/>
    <x v="12"/>
  </r>
  <r>
    <m/>
    <s v="Missing"/>
    <x v="1"/>
    <n v="50"/>
    <x v="4"/>
    <s v="Business Owner"/>
    <n v="1828.2"/>
    <s v="Male"/>
    <x v="4"/>
    <s v="Business Owner"/>
    <x v="2"/>
    <x v="2"/>
    <x v="12"/>
  </r>
  <r>
    <s v="CUS00020"/>
    <s v="Missing"/>
    <x v="0"/>
    <n v="53"/>
    <x v="3"/>
    <s v="Engineer"/>
    <n v="776.84"/>
    <s v="Female"/>
    <x v="3"/>
    <s v="Engineer"/>
    <x v="1"/>
    <x v="2"/>
    <x v="12"/>
  </r>
  <r>
    <s v="CUS00130"/>
    <s v="Missing"/>
    <x v="0"/>
    <n v="55"/>
    <x v="5"/>
    <s v="Engineer"/>
    <n v="1603.75"/>
    <s v="Female"/>
    <x v="5"/>
    <s v="Engineer"/>
    <x v="2"/>
    <x v="2"/>
    <x v="12"/>
  </r>
  <r>
    <s v="CUS00022"/>
    <s v="Missing"/>
    <x v="0"/>
    <n v="55"/>
    <x v="1"/>
    <s v="Civil Servant"/>
    <n v="618.42999999999995"/>
    <s v="Female"/>
    <x v="1"/>
    <s v="Civil Servant"/>
    <x v="1"/>
    <x v="2"/>
    <x v="12"/>
  </r>
  <r>
    <s v="CUS00174"/>
    <s v="Missing"/>
    <x v="1"/>
    <n v="55"/>
    <x v="6"/>
    <s v="Teacher"/>
    <n v="325.43"/>
    <s v="Male"/>
    <x v="6"/>
    <s v="Teacher"/>
    <x v="1"/>
    <x v="2"/>
    <x v="12"/>
  </r>
  <r>
    <s v="CUS00177"/>
    <s v="Missing"/>
    <x v="1"/>
    <n v="57"/>
    <x v="1"/>
    <s v="Healthcare"/>
    <n v="502.04"/>
    <s v="Male"/>
    <x v="1"/>
    <s v="Healthcare"/>
    <x v="1"/>
    <x v="2"/>
    <x v="12"/>
  </r>
  <r>
    <m/>
    <s v="Missing"/>
    <x v="1"/>
    <n v="63"/>
    <x v="4"/>
    <s v="student"/>
    <n v="268.75"/>
    <s v="Male"/>
    <x v="4"/>
    <s v="Student"/>
    <x v="1"/>
    <x v="2"/>
    <x v="12"/>
  </r>
  <r>
    <s v="CUS00099"/>
    <s v="Missing"/>
    <x v="1"/>
    <n v="70"/>
    <x v="3"/>
    <s v="Business Owner"/>
    <n v="1249.32"/>
    <s v="Male"/>
    <x v="3"/>
    <s v="Business Owner"/>
    <x v="0"/>
    <x v="2"/>
    <x v="12"/>
  </r>
  <r>
    <s v="CUS00170"/>
    <s v="Missing"/>
    <x v="1"/>
    <n v="107"/>
    <x v="6"/>
    <s v="Engineer"/>
    <n v="632.26"/>
    <s v="Male"/>
    <x v="6"/>
    <s v="Engineer"/>
    <x v="1"/>
    <x v="2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T5:U9" firstHeaderRow="1" firstDataRow="1" firstDataCol="1"/>
  <pivotFields count="11"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_Income" fld="6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27:B36" firstHeaderRow="1" firstDataRow="1" firstDataCol="1"/>
  <pivotFields count="11">
    <pivotField showAll="0"/>
    <pivotField showAll="0"/>
    <pivotField showAll="0"/>
    <pivotField showAll="0"/>
    <pivotField showAll="0"/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/>
    <pivotField showAll="0"/>
    <pivotField showAll="0"/>
    <pivotField axis="axisRow" showAll="0">
      <items count="9">
        <item x="0"/>
        <item x="3"/>
        <item x="2"/>
        <item x="1"/>
        <item x="7"/>
        <item x="6"/>
        <item x="4"/>
        <item x="5"/>
        <item t="default"/>
      </items>
    </pivotField>
    <pivotField showAll="0">
      <items count="4">
        <item x="2"/>
        <item x="1"/>
        <item x="0"/>
        <item t="default"/>
      </items>
    </pivotField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Monthly_Income" fld="6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6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48:B52" firstHeaderRow="1" firstDataRow="1" firstDataCol="1"/>
  <pivotFields count="13">
    <pivotField showAll="0"/>
    <pivotField showAll="0"/>
    <pivotField showAll="0"/>
    <pivotField showAll="0"/>
    <pivotField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dataField="1" numFmtId="165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_Income" fld="6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5:B13" firstHeaderRow="1" firstDataRow="1" firstDataCol="1"/>
  <pivotFields count="11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>
      <items count="274">
        <item x="94"/>
        <item x="216"/>
        <item x="53"/>
        <item x="9"/>
        <item x="179"/>
        <item x="56"/>
        <item x="233"/>
        <item x="96"/>
        <item x="102"/>
        <item x="221"/>
        <item x="172"/>
        <item x="247"/>
        <item x="67"/>
        <item x="110"/>
        <item x="208"/>
        <item x="240"/>
        <item x="20"/>
        <item x="234"/>
        <item x="204"/>
        <item x="245"/>
        <item x="156"/>
        <item x="191"/>
        <item x="229"/>
        <item x="83"/>
        <item x="137"/>
        <item x="148"/>
        <item x="37"/>
        <item x="70"/>
        <item x="270"/>
        <item x="91"/>
        <item x="7"/>
        <item x="226"/>
        <item x="145"/>
        <item x="182"/>
        <item x="10"/>
        <item x="138"/>
        <item x="268"/>
        <item x="161"/>
        <item x="40"/>
        <item x="155"/>
        <item x="45"/>
        <item x="25"/>
        <item x="153"/>
        <item x="139"/>
        <item x="260"/>
        <item x="98"/>
        <item x="81"/>
        <item x="77"/>
        <item x="177"/>
        <item x="34"/>
        <item x="150"/>
        <item x="87"/>
        <item x="105"/>
        <item x="167"/>
        <item x="23"/>
        <item x="269"/>
        <item x="187"/>
        <item x="115"/>
        <item x="69"/>
        <item x="38"/>
        <item x="18"/>
        <item x="186"/>
        <item x="189"/>
        <item x="201"/>
        <item x="16"/>
        <item x="249"/>
        <item x="239"/>
        <item x="171"/>
        <item x="2"/>
        <item x="254"/>
        <item x="267"/>
        <item x="61"/>
        <item x="165"/>
        <item x="272"/>
        <item x="252"/>
        <item x="168"/>
        <item x="241"/>
        <item x="49"/>
        <item x="198"/>
        <item x="210"/>
        <item x="262"/>
        <item x="24"/>
        <item x="255"/>
        <item x="93"/>
        <item x="88"/>
        <item x="130"/>
        <item x="90"/>
        <item x="236"/>
        <item x="48"/>
        <item x="109"/>
        <item x="131"/>
        <item x="248"/>
        <item x="27"/>
        <item x="127"/>
        <item x="54"/>
        <item x="99"/>
        <item x="76"/>
        <item x="36"/>
        <item x="116"/>
        <item x="244"/>
        <item x="122"/>
        <item x="220"/>
        <item x="212"/>
        <item x="209"/>
        <item x="185"/>
        <item x="149"/>
        <item x="218"/>
        <item x="238"/>
        <item x="225"/>
        <item x="47"/>
        <item x="173"/>
        <item x="217"/>
        <item x="64"/>
        <item x="258"/>
        <item x="89"/>
        <item x="55"/>
        <item x="263"/>
        <item x="170"/>
        <item x="265"/>
        <item x="203"/>
        <item x="62"/>
        <item x="100"/>
        <item x="183"/>
        <item x="3"/>
        <item x="176"/>
        <item x="152"/>
        <item x="73"/>
        <item x="205"/>
        <item x="141"/>
        <item x="160"/>
        <item x="51"/>
        <item x="178"/>
        <item x="106"/>
        <item x="259"/>
        <item x="121"/>
        <item x="26"/>
        <item x="72"/>
        <item x="15"/>
        <item x="84"/>
        <item x="104"/>
        <item x="133"/>
        <item x="181"/>
        <item x="175"/>
        <item x="163"/>
        <item x="199"/>
        <item x="192"/>
        <item x="101"/>
        <item x="223"/>
        <item x="146"/>
        <item x="43"/>
        <item x="74"/>
        <item x="80"/>
        <item x="154"/>
        <item x="6"/>
        <item x="86"/>
        <item x="71"/>
        <item x="214"/>
        <item x="68"/>
        <item x="118"/>
        <item x="144"/>
        <item x="136"/>
        <item x="250"/>
        <item x="123"/>
        <item x="128"/>
        <item x="224"/>
        <item x="85"/>
        <item x="59"/>
        <item x="79"/>
        <item x="184"/>
        <item x="8"/>
        <item x="174"/>
        <item x="13"/>
        <item x="190"/>
        <item x="57"/>
        <item x="222"/>
        <item x="107"/>
        <item x="147"/>
        <item x="30"/>
        <item x="17"/>
        <item x="111"/>
        <item x="32"/>
        <item x="257"/>
        <item x="132"/>
        <item x="261"/>
        <item x="60"/>
        <item x="129"/>
        <item x="11"/>
        <item x="196"/>
        <item x="33"/>
        <item x="12"/>
        <item x="92"/>
        <item x="66"/>
        <item x="157"/>
        <item x="237"/>
        <item x="103"/>
        <item x="188"/>
        <item x="202"/>
        <item x="246"/>
        <item x="75"/>
        <item x="63"/>
        <item x="19"/>
        <item x="159"/>
        <item x="253"/>
        <item x="44"/>
        <item x="135"/>
        <item x="117"/>
        <item x="211"/>
        <item x="95"/>
        <item x="227"/>
        <item x="231"/>
        <item x="31"/>
        <item x="82"/>
        <item x="215"/>
        <item x="140"/>
        <item x="125"/>
        <item x="194"/>
        <item x="195"/>
        <item x="142"/>
        <item x="164"/>
        <item x="21"/>
        <item x="22"/>
        <item x="166"/>
        <item x="151"/>
        <item x="42"/>
        <item x="232"/>
        <item x="271"/>
        <item x="1"/>
        <item x="219"/>
        <item x="193"/>
        <item x="113"/>
        <item x="35"/>
        <item x="230"/>
        <item x="197"/>
        <item x="251"/>
        <item x="78"/>
        <item x="58"/>
        <item x="207"/>
        <item x="134"/>
        <item x="200"/>
        <item x="206"/>
        <item x="119"/>
        <item x="235"/>
        <item x="158"/>
        <item x="213"/>
        <item x="97"/>
        <item x="126"/>
        <item x="112"/>
        <item x="65"/>
        <item x="0"/>
        <item x="52"/>
        <item x="120"/>
        <item x="169"/>
        <item x="29"/>
        <item x="5"/>
        <item x="266"/>
        <item x="114"/>
        <item x="124"/>
        <item x="162"/>
        <item x="108"/>
        <item x="28"/>
        <item x="264"/>
        <item x="46"/>
        <item x="180"/>
        <item x="256"/>
        <item x="4"/>
        <item x="39"/>
        <item x="143"/>
        <item x="228"/>
        <item x="14"/>
        <item x="242"/>
        <item x="243"/>
        <item x="50"/>
        <item x="4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Monthly_Income" fld="6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K6:O15" firstHeaderRow="1" firstDataRow="2" firstDataCol="1"/>
  <pivotFields count="11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numFmtId="165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Customer_ID" fld="0" subtotal="count" baseField="0" baseItem="0"/>
  </dataFields>
  <chartFormats count="3"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K33:M37" firstHeaderRow="0" firstDataRow="1" firstDataCol="1" rowPageCount="1" colPageCount="1"/>
  <pivotFields count="11">
    <pivotField dataField="1" showAll="0"/>
    <pivotField showAll="0"/>
    <pivotField showAll="0"/>
    <pivotField showAll="0"/>
    <pivotField axis="axisPage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dataField="1" numFmtId="165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Customer_ID" fld="0" subtotal="count" baseField="0" baseItem="0"/>
    <dataField name="Average of Monthly_Income" fld="6" subtotal="average" baseField="1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10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T26:U40" firstHeaderRow="1" firstDataRow="1" firstDataCol="1"/>
  <pivotFields count="13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12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Custom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4"/>
  <sheetViews>
    <sheetView workbookViewId="0">
      <pane ySplit="1" topLeftCell="A258" activePane="bottomLeft" state="frozen"/>
      <selection pane="bottomLeft" activeCell="F203" sqref="F203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2" width="9.140625" style="6"/>
    <col min="13" max="13" width="11.28515625" style="6" bestFit="1" customWidth="1"/>
    <col min="14" max="16384" width="9.140625" style="6"/>
  </cols>
  <sheetData>
    <row r="1" spans="1:13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  <c r="L1" s="5" t="s">
        <v>375</v>
      </c>
      <c r="M1" s="5" t="s">
        <v>376</v>
      </c>
    </row>
    <row r="2" spans="1:13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  <c r="L2" s="6">
        <f>IF(ISNUMBER(B2),YEAR(B2),"")</f>
        <v>2025</v>
      </c>
      <c r="M2" s="6">
        <f>IF(ISNUMBER(B2),MONTH(B2),"")</f>
        <v>1</v>
      </c>
    </row>
    <row r="3" spans="1:13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3:K65" si="3">IF(G3&gt;=1500,"High",IF(G3&gt;=800,"Medium","Low"))</f>
        <v>Medium</v>
      </c>
      <c r="L3" s="6">
        <f t="shared" ref="L3:L66" si="4">IF(ISNUMBER(B3),YEAR(B3),"")</f>
        <v>2025</v>
      </c>
      <c r="M3" s="6">
        <f t="shared" ref="M3:M66" si="5">IF(ISNUMBER(B3),MONTH(B3),"")</f>
        <v>1</v>
      </c>
    </row>
    <row r="4" spans="1:13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  <c r="L4" s="6">
        <f t="shared" si="4"/>
        <v>2025</v>
      </c>
      <c r="M4" s="6">
        <f t="shared" si="5"/>
        <v>1</v>
      </c>
    </row>
    <row r="5" spans="1:13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  <c r="L5" s="6">
        <f t="shared" si="4"/>
        <v>2025</v>
      </c>
      <c r="M5" s="6">
        <f t="shared" si="5"/>
        <v>1</v>
      </c>
    </row>
    <row r="6" spans="1:13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  <c r="L6" s="6">
        <f t="shared" si="4"/>
        <v>2025</v>
      </c>
      <c r="M6" s="6">
        <f t="shared" si="5"/>
        <v>1</v>
      </c>
    </row>
    <row r="7" spans="1:13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  <c r="L7" s="6">
        <f t="shared" si="4"/>
        <v>2025</v>
      </c>
      <c r="M7" s="6">
        <f t="shared" si="5"/>
        <v>1</v>
      </c>
    </row>
    <row r="8" spans="1:13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  <c r="L8" s="6">
        <f t="shared" si="4"/>
        <v>2025</v>
      </c>
      <c r="M8" s="6">
        <f t="shared" si="5"/>
        <v>1</v>
      </c>
    </row>
    <row r="9" spans="1:13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  <c r="L9" s="6">
        <f t="shared" si="4"/>
        <v>2025</v>
      </c>
      <c r="M9" s="6">
        <f t="shared" si="5"/>
        <v>1</v>
      </c>
    </row>
    <row r="10" spans="1:13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  <c r="L10" s="6">
        <f t="shared" si="4"/>
        <v>2025</v>
      </c>
      <c r="M10" s="6">
        <f t="shared" si="5"/>
        <v>1</v>
      </c>
    </row>
    <row r="11" spans="1:13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  <c r="L11" s="6">
        <f t="shared" si="4"/>
        <v>2025</v>
      </c>
      <c r="M11" s="6">
        <f t="shared" si="5"/>
        <v>1</v>
      </c>
    </row>
    <row r="12" spans="1:13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  <c r="L12" s="6">
        <f t="shared" si="4"/>
        <v>2025</v>
      </c>
      <c r="M12" s="6">
        <f t="shared" si="5"/>
        <v>1</v>
      </c>
    </row>
    <row r="13" spans="1:13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  <c r="L13" s="6">
        <f t="shared" si="4"/>
        <v>2025</v>
      </c>
      <c r="M13" s="6">
        <f t="shared" si="5"/>
        <v>1</v>
      </c>
    </row>
    <row r="14" spans="1:13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  <c r="L14" s="6">
        <f t="shared" si="4"/>
        <v>2025</v>
      </c>
      <c r="M14" s="6">
        <f t="shared" si="5"/>
        <v>1</v>
      </c>
    </row>
    <row r="15" spans="1:13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  <c r="L15" s="6">
        <f t="shared" si="4"/>
        <v>2025</v>
      </c>
      <c r="M15" s="6">
        <f t="shared" si="5"/>
        <v>1</v>
      </c>
    </row>
    <row r="16" spans="1:13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  <c r="L16" s="6">
        <f t="shared" si="4"/>
        <v>2025</v>
      </c>
      <c r="M16" s="6">
        <f t="shared" si="5"/>
        <v>1</v>
      </c>
    </row>
    <row r="17" spans="1:13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  <c r="L17" s="6">
        <f t="shared" si="4"/>
        <v>2025</v>
      </c>
      <c r="M17" s="6">
        <f t="shared" si="5"/>
        <v>1</v>
      </c>
    </row>
    <row r="18" spans="1:13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  <c r="L18" s="6">
        <f t="shared" si="4"/>
        <v>2025</v>
      </c>
      <c r="M18" s="6">
        <f t="shared" si="5"/>
        <v>1</v>
      </c>
    </row>
    <row r="19" spans="1:13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  <c r="L19" s="6">
        <f t="shared" si="4"/>
        <v>2025</v>
      </c>
      <c r="M19" s="6">
        <f t="shared" si="5"/>
        <v>1</v>
      </c>
    </row>
    <row r="20" spans="1:13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  <c r="L20" s="6">
        <f t="shared" si="4"/>
        <v>2025</v>
      </c>
      <c r="M20" s="6">
        <f t="shared" si="5"/>
        <v>2</v>
      </c>
    </row>
    <row r="21" spans="1:13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  <c r="L21" s="6">
        <f t="shared" si="4"/>
        <v>2025</v>
      </c>
      <c r="M21" s="6">
        <f t="shared" si="5"/>
        <v>2</v>
      </c>
    </row>
    <row r="22" spans="1:13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  <c r="L22" s="6">
        <f t="shared" si="4"/>
        <v>2025</v>
      </c>
      <c r="M22" s="6">
        <f t="shared" si="5"/>
        <v>2</v>
      </c>
    </row>
    <row r="23" spans="1:13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  <c r="L23" s="6">
        <f t="shared" si="4"/>
        <v>2025</v>
      </c>
      <c r="M23" s="6">
        <f t="shared" si="5"/>
        <v>2</v>
      </c>
    </row>
    <row r="24" spans="1:13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  <c r="L24" s="6">
        <f t="shared" si="4"/>
        <v>2025</v>
      </c>
      <c r="M24" s="6">
        <f t="shared" si="5"/>
        <v>2</v>
      </c>
    </row>
    <row r="25" spans="1:13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  <c r="L25" s="6">
        <f t="shared" si="4"/>
        <v>2025</v>
      </c>
      <c r="M25" s="6">
        <f t="shared" si="5"/>
        <v>2</v>
      </c>
    </row>
    <row r="26" spans="1:13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  <c r="L26" s="6">
        <f t="shared" si="4"/>
        <v>2025</v>
      </c>
      <c r="M26" s="6">
        <f t="shared" si="5"/>
        <v>2</v>
      </c>
    </row>
    <row r="27" spans="1:13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  <c r="L27" s="6">
        <f t="shared" si="4"/>
        <v>2025</v>
      </c>
      <c r="M27" s="6">
        <f t="shared" si="5"/>
        <v>2</v>
      </c>
    </row>
    <row r="28" spans="1:13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  <c r="L28" s="6">
        <f t="shared" si="4"/>
        <v>2025</v>
      </c>
      <c r="M28" s="6">
        <f t="shared" si="5"/>
        <v>2</v>
      </c>
    </row>
    <row r="29" spans="1:13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  <c r="L29" s="6">
        <f t="shared" si="4"/>
        <v>2025</v>
      </c>
      <c r="M29" s="6">
        <f t="shared" si="5"/>
        <v>2</v>
      </c>
    </row>
    <row r="30" spans="1:13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  <c r="L30" s="6">
        <f t="shared" si="4"/>
        <v>2025</v>
      </c>
      <c r="M30" s="6">
        <f t="shared" si="5"/>
        <v>2</v>
      </c>
    </row>
    <row r="31" spans="1:13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  <c r="L31" s="6">
        <f t="shared" si="4"/>
        <v>2025</v>
      </c>
      <c r="M31" s="6">
        <f t="shared" si="5"/>
        <v>3</v>
      </c>
    </row>
    <row r="32" spans="1:13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  <c r="L32" s="6">
        <f t="shared" si="4"/>
        <v>2025</v>
      </c>
      <c r="M32" s="6">
        <f t="shared" si="5"/>
        <v>3</v>
      </c>
    </row>
    <row r="33" spans="1:13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  <c r="L33" s="6">
        <f t="shared" si="4"/>
        <v>2025</v>
      </c>
      <c r="M33" s="6">
        <f t="shared" si="5"/>
        <v>3</v>
      </c>
    </row>
    <row r="34" spans="1:13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  <c r="L34" s="6">
        <f t="shared" si="4"/>
        <v>2025</v>
      </c>
      <c r="M34" s="6">
        <f t="shared" si="5"/>
        <v>3</v>
      </c>
    </row>
    <row r="35" spans="1:13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  <c r="L35" s="6">
        <f t="shared" si="4"/>
        <v>2025</v>
      </c>
      <c r="M35" s="6">
        <f t="shared" si="5"/>
        <v>3</v>
      </c>
    </row>
    <row r="36" spans="1:13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  <c r="L36" s="6">
        <f t="shared" si="4"/>
        <v>2025</v>
      </c>
      <c r="M36" s="6">
        <f t="shared" si="5"/>
        <v>3</v>
      </c>
    </row>
    <row r="37" spans="1:13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  <c r="L37" s="6">
        <f t="shared" si="4"/>
        <v>2025</v>
      </c>
      <c r="M37" s="6">
        <f t="shared" si="5"/>
        <v>3</v>
      </c>
    </row>
    <row r="38" spans="1:13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  <c r="L38" s="6">
        <f t="shared" si="4"/>
        <v>2025</v>
      </c>
      <c r="M38" s="6">
        <f t="shared" si="5"/>
        <v>3</v>
      </c>
    </row>
    <row r="39" spans="1:13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  <c r="L39" s="6">
        <f t="shared" si="4"/>
        <v>2025</v>
      </c>
      <c r="M39" s="6">
        <f t="shared" si="5"/>
        <v>3</v>
      </c>
    </row>
    <row r="40" spans="1:13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  <c r="L40" s="6">
        <f t="shared" si="4"/>
        <v>2025</v>
      </c>
      <c r="M40" s="6">
        <f t="shared" si="5"/>
        <v>3</v>
      </c>
    </row>
    <row r="41" spans="1:13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  <c r="L41" s="6">
        <f t="shared" si="4"/>
        <v>2025</v>
      </c>
      <c r="M41" s="6">
        <f t="shared" si="5"/>
        <v>3</v>
      </c>
    </row>
    <row r="42" spans="1:13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  <c r="L42" s="6">
        <f t="shared" si="4"/>
        <v>2025</v>
      </c>
      <c r="M42" s="6">
        <f t="shared" si="5"/>
        <v>3</v>
      </c>
    </row>
    <row r="43" spans="1:13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  <c r="L43" s="6">
        <f t="shared" si="4"/>
        <v>2025</v>
      </c>
      <c r="M43" s="6">
        <f t="shared" si="5"/>
        <v>3</v>
      </c>
    </row>
    <row r="44" spans="1:13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  <c r="L44" s="6">
        <f t="shared" si="4"/>
        <v>2025</v>
      </c>
      <c r="M44" s="6">
        <f t="shared" si="5"/>
        <v>3</v>
      </c>
    </row>
    <row r="45" spans="1:13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  <c r="L45" s="6">
        <f t="shared" si="4"/>
        <v>2025</v>
      </c>
      <c r="M45" s="6">
        <f t="shared" si="5"/>
        <v>3</v>
      </c>
    </row>
    <row r="46" spans="1:13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  <c r="L46" s="6">
        <f t="shared" si="4"/>
        <v>2025</v>
      </c>
      <c r="M46" s="6">
        <f t="shared" si="5"/>
        <v>3</v>
      </c>
    </row>
    <row r="47" spans="1:13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  <c r="L47" s="6">
        <f t="shared" si="4"/>
        <v>2025</v>
      </c>
      <c r="M47" s="6">
        <f t="shared" si="5"/>
        <v>3</v>
      </c>
    </row>
    <row r="48" spans="1:13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  <c r="L48" s="6">
        <f t="shared" si="4"/>
        <v>2025</v>
      </c>
      <c r="M48" s="6">
        <f t="shared" si="5"/>
        <v>4</v>
      </c>
    </row>
    <row r="49" spans="1:13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  <c r="L49" s="6">
        <f t="shared" si="4"/>
        <v>2025</v>
      </c>
      <c r="M49" s="6">
        <f t="shared" si="5"/>
        <v>4</v>
      </c>
    </row>
    <row r="50" spans="1:13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  <c r="L50" s="6">
        <f t="shared" si="4"/>
        <v>2025</v>
      </c>
      <c r="M50" s="6">
        <f t="shared" si="5"/>
        <v>4</v>
      </c>
    </row>
    <row r="51" spans="1:13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  <c r="L51" s="6">
        <f t="shared" si="4"/>
        <v>2025</v>
      </c>
      <c r="M51" s="6">
        <f t="shared" si="5"/>
        <v>4</v>
      </c>
    </row>
    <row r="52" spans="1:13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  <c r="L52" s="6">
        <f t="shared" si="4"/>
        <v>2025</v>
      </c>
      <c r="M52" s="6">
        <f t="shared" si="5"/>
        <v>4</v>
      </c>
    </row>
    <row r="53" spans="1:13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  <c r="L53" s="6">
        <f t="shared" si="4"/>
        <v>2025</v>
      </c>
      <c r="M53" s="6">
        <f t="shared" si="5"/>
        <v>4</v>
      </c>
    </row>
    <row r="54" spans="1:13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  <c r="L54" s="6">
        <f t="shared" si="4"/>
        <v>2025</v>
      </c>
      <c r="M54" s="6">
        <f t="shared" si="5"/>
        <v>4</v>
      </c>
    </row>
    <row r="55" spans="1:13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  <c r="L55" s="6">
        <f t="shared" si="4"/>
        <v>2025</v>
      </c>
      <c r="M55" s="6">
        <f t="shared" si="5"/>
        <v>4</v>
      </c>
    </row>
    <row r="56" spans="1:13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  <c r="L56" s="6">
        <f t="shared" si="4"/>
        <v>2025</v>
      </c>
      <c r="M56" s="6">
        <f t="shared" si="5"/>
        <v>4</v>
      </c>
    </row>
    <row r="57" spans="1:13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  <c r="L57" s="6">
        <f t="shared" si="4"/>
        <v>2025</v>
      </c>
      <c r="M57" s="6">
        <f t="shared" si="5"/>
        <v>4</v>
      </c>
    </row>
    <row r="58" spans="1:13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  <c r="L58" s="6">
        <f t="shared" si="4"/>
        <v>2025</v>
      </c>
      <c r="M58" s="6">
        <f t="shared" si="5"/>
        <v>4</v>
      </c>
    </row>
    <row r="59" spans="1:13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  <c r="L59" s="6">
        <f t="shared" si="4"/>
        <v>2025</v>
      </c>
      <c r="M59" s="6">
        <f t="shared" si="5"/>
        <v>4</v>
      </c>
    </row>
    <row r="60" spans="1:13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  <c r="L60" s="6">
        <f t="shared" si="4"/>
        <v>2025</v>
      </c>
      <c r="M60" s="6">
        <f t="shared" si="5"/>
        <v>4</v>
      </c>
    </row>
    <row r="61" spans="1:13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  <c r="L61" s="6">
        <f t="shared" si="4"/>
        <v>2025</v>
      </c>
      <c r="M61" s="6">
        <f t="shared" si="5"/>
        <v>4</v>
      </c>
    </row>
    <row r="62" spans="1:13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  <c r="L62" s="6">
        <f t="shared" si="4"/>
        <v>2025</v>
      </c>
      <c r="M62" s="6">
        <f t="shared" si="5"/>
        <v>4</v>
      </c>
    </row>
    <row r="63" spans="1:13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  <c r="L63" s="6">
        <f t="shared" si="4"/>
        <v>2025</v>
      </c>
      <c r="M63" s="6">
        <f t="shared" si="5"/>
        <v>4</v>
      </c>
    </row>
    <row r="64" spans="1:13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  <c r="L64" s="6">
        <f t="shared" si="4"/>
        <v>2025</v>
      </c>
      <c r="M64" s="6">
        <f t="shared" si="5"/>
        <v>4</v>
      </c>
    </row>
    <row r="65" spans="1:13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  <c r="L65" s="6">
        <f t="shared" si="4"/>
        <v>2025</v>
      </c>
      <c r="M65" s="6">
        <f t="shared" si="5"/>
        <v>4</v>
      </c>
    </row>
    <row r="66" spans="1:13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6">PROPER(TRIM(C66))</f>
        <v>Female</v>
      </c>
      <c r="I66" s="6" t="str">
        <f t="shared" ref="I66:I129" si="7">PROPER(TRIM(E66))</f>
        <v>Mogadishu</v>
      </c>
      <c r="J66" s="6" t="str">
        <f t="shared" ref="J66:J129" si="8">PROPER(TRIM(SUBSTITUTE(F66,"CS","Civil Servant")))</f>
        <v>Engineer</v>
      </c>
      <c r="K66" s="6" t="str">
        <f t="shared" ref="K66:K129" si="9">IF(G66&gt;=1500,"High",IF(G66&gt;=800,"Medium","Low"))</f>
        <v>Medium</v>
      </c>
      <c r="L66" s="6">
        <f t="shared" si="4"/>
        <v>2025</v>
      </c>
      <c r="M66" s="6">
        <f t="shared" si="5"/>
        <v>4</v>
      </c>
    </row>
    <row r="67" spans="1:13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6"/>
        <v>Female</v>
      </c>
      <c r="I67" s="6" t="str">
        <f t="shared" si="7"/>
        <v>Kismayo</v>
      </c>
      <c r="J67" s="6" t="str">
        <f t="shared" si="8"/>
        <v>Engineer</v>
      </c>
      <c r="K67" s="6" t="str">
        <f t="shared" si="9"/>
        <v>Low</v>
      </c>
      <c r="L67" s="6">
        <f t="shared" ref="L67:L130" si="10">IF(ISNUMBER(B67),YEAR(B67),"")</f>
        <v>2025</v>
      </c>
      <c r="M67" s="6">
        <f t="shared" ref="M67:M130" si="11">IF(ISNUMBER(B67),MONTH(B67),"")</f>
        <v>4</v>
      </c>
    </row>
    <row r="68" spans="1:13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6"/>
        <v>Female</v>
      </c>
      <c r="I68" s="6" t="str">
        <f t="shared" si="7"/>
        <v>Kismayo</v>
      </c>
      <c r="J68" s="6" t="str">
        <f t="shared" si="8"/>
        <v>Engineer</v>
      </c>
      <c r="K68" s="6" t="str">
        <f t="shared" si="9"/>
        <v>Low</v>
      </c>
      <c r="L68" s="6">
        <f t="shared" si="10"/>
        <v>2025</v>
      </c>
      <c r="M68" s="6">
        <f t="shared" si="11"/>
        <v>4</v>
      </c>
    </row>
    <row r="69" spans="1:13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6"/>
        <v>Female</v>
      </c>
      <c r="I69" s="6" t="str">
        <f t="shared" si="7"/>
        <v>Missing</v>
      </c>
      <c r="J69" s="6" t="str">
        <f t="shared" si="8"/>
        <v>Healthcare</v>
      </c>
      <c r="K69" s="6" t="str">
        <f t="shared" si="9"/>
        <v>Medium</v>
      </c>
      <c r="L69" s="6">
        <f t="shared" si="10"/>
        <v>2025</v>
      </c>
      <c r="M69" s="6">
        <f t="shared" si="11"/>
        <v>4</v>
      </c>
    </row>
    <row r="70" spans="1:13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6"/>
        <v>Female</v>
      </c>
      <c r="I70" s="6" t="str">
        <f t="shared" si="7"/>
        <v>Missing</v>
      </c>
      <c r="J70" s="6" t="str">
        <f t="shared" si="8"/>
        <v>Teacher</v>
      </c>
      <c r="K70" s="6" t="str">
        <f t="shared" si="9"/>
        <v>Low</v>
      </c>
      <c r="L70" s="6">
        <f t="shared" si="10"/>
        <v>2025</v>
      </c>
      <c r="M70" s="6">
        <f t="shared" si="11"/>
        <v>5</v>
      </c>
    </row>
    <row r="71" spans="1:13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6"/>
        <v>Male</v>
      </c>
      <c r="I71" s="6" t="str">
        <f t="shared" si="7"/>
        <v>Missing</v>
      </c>
      <c r="J71" s="6" t="str">
        <f t="shared" si="8"/>
        <v>Engineer</v>
      </c>
      <c r="K71" s="6" t="str">
        <f t="shared" si="9"/>
        <v>Medium</v>
      </c>
      <c r="L71" s="6">
        <f t="shared" si="10"/>
        <v>2025</v>
      </c>
      <c r="M71" s="6">
        <f t="shared" si="11"/>
        <v>5</v>
      </c>
    </row>
    <row r="72" spans="1:13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6"/>
        <v>Female</v>
      </c>
      <c r="I72" s="6" t="str">
        <f t="shared" si="7"/>
        <v>Mogadishu</v>
      </c>
      <c r="J72" s="6" t="str">
        <f t="shared" si="8"/>
        <v>Civil Servant</v>
      </c>
      <c r="K72" s="6" t="str">
        <f t="shared" si="9"/>
        <v>Medium</v>
      </c>
      <c r="L72" s="6">
        <f t="shared" si="10"/>
        <v>2025</v>
      </c>
      <c r="M72" s="6">
        <f t="shared" si="11"/>
        <v>5</v>
      </c>
    </row>
    <row r="73" spans="1:13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6"/>
        <v>Male</v>
      </c>
      <c r="I73" s="6" t="str">
        <f t="shared" si="7"/>
        <v>Mogadishu</v>
      </c>
      <c r="J73" s="6" t="str">
        <f t="shared" si="8"/>
        <v>Civil Servant</v>
      </c>
      <c r="K73" s="6" t="str">
        <f t="shared" si="9"/>
        <v>Medium</v>
      </c>
      <c r="L73" s="6">
        <f t="shared" si="10"/>
        <v>2025</v>
      </c>
      <c r="M73" s="6">
        <f t="shared" si="11"/>
        <v>5</v>
      </c>
    </row>
    <row r="74" spans="1:13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6"/>
        <v>Male</v>
      </c>
      <c r="I74" s="6" t="str">
        <f t="shared" si="7"/>
        <v>Mogadishu</v>
      </c>
      <c r="J74" s="6" t="str">
        <f t="shared" si="8"/>
        <v>Missing</v>
      </c>
      <c r="K74" s="6" t="str">
        <f t="shared" si="9"/>
        <v>Low</v>
      </c>
      <c r="L74" s="6">
        <f t="shared" si="10"/>
        <v>2025</v>
      </c>
      <c r="M74" s="6">
        <f t="shared" si="11"/>
        <v>5</v>
      </c>
    </row>
    <row r="75" spans="1:13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6"/>
        <v>Male</v>
      </c>
      <c r="I75" s="6" t="str">
        <f t="shared" si="7"/>
        <v>Mogadishu</v>
      </c>
      <c r="J75" s="6" t="str">
        <f t="shared" si="8"/>
        <v>Self-Employed</v>
      </c>
      <c r="K75" s="6" t="str">
        <f t="shared" si="9"/>
        <v>Medium</v>
      </c>
      <c r="L75" s="6">
        <f t="shared" si="10"/>
        <v>2025</v>
      </c>
      <c r="M75" s="6">
        <f t="shared" si="11"/>
        <v>5</v>
      </c>
    </row>
    <row r="76" spans="1:13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6"/>
        <v>Male</v>
      </c>
      <c r="I76" s="6" t="str">
        <f t="shared" si="7"/>
        <v>Mogadishu</v>
      </c>
      <c r="J76" s="6" t="str">
        <f t="shared" si="8"/>
        <v>Missing</v>
      </c>
      <c r="K76" s="6" t="str">
        <f t="shared" si="9"/>
        <v>Low</v>
      </c>
      <c r="L76" s="6">
        <f t="shared" si="10"/>
        <v>2025</v>
      </c>
      <c r="M76" s="6">
        <f t="shared" si="11"/>
        <v>5</v>
      </c>
    </row>
    <row r="77" spans="1:13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6"/>
        <v>Male</v>
      </c>
      <c r="I77" s="6" t="str">
        <f t="shared" si="7"/>
        <v>Kismayo</v>
      </c>
      <c r="J77" s="6" t="str">
        <f t="shared" si="8"/>
        <v>Student</v>
      </c>
      <c r="K77" s="6" t="str">
        <f t="shared" si="9"/>
        <v>Low</v>
      </c>
      <c r="L77" s="6">
        <f t="shared" si="10"/>
        <v>2025</v>
      </c>
      <c r="M77" s="6">
        <f t="shared" si="11"/>
        <v>5</v>
      </c>
    </row>
    <row r="78" spans="1:13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6"/>
        <v>Male</v>
      </c>
      <c r="I78" s="6" t="str">
        <f t="shared" si="7"/>
        <v>Baidoa</v>
      </c>
      <c r="J78" s="6" t="str">
        <f t="shared" si="8"/>
        <v>Engineer</v>
      </c>
      <c r="K78" s="6" t="str">
        <f t="shared" si="9"/>
        <v>Medium</v>
      </c>
      <c r="L78" s="6">
        <f t="shared" si="10"/>
        <v>2025</v>
      </c>
      <c r="M78" s="6">
        <f t="shared" si="11"/>
        <v>5</v>
      </c>
    </row>
    <row r="79" spans="1:13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6"/>
        <v>Female</v>
      </c>
      <c r="I79" s="6" t="str">
        <f t="shared" si="7"/>
        <v>Mogadishu</v>
      </c>
      <c r="J79" s="6" t="str">
        <f t="shared" si="8"/>
        <v>Engineer</v>
      </c>
      <c r="K79" s="6" t="str">
        <f t="shared" si="9"/>
        <v>Medium</v>
      </c>
      <c r="L79" s="6">
        <f t="shared" si="10"/>
        <v>2025</v>
      </c>
      <c r="M79" s="6">
        <f t="shared" si="11"/>
        <v>5</v>
      </c>
    </row>
    <row r="80" spans="1:13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6"/>
        <v>Female</v>
      </c>
      <c r="I80" s="6" t="str">
        <f t="shared" si="7"/>
        <v>Mogadishu</v>
      </c>
      <c r="J80" s="6" t="str">
        <f t="shared" si="8"/>
        <v>Engineer</v>
      </c>
      <c r="K80" s="6" t="str">
        <f t="shared" si="9"/>
        <v>Low</v>
      </c>
      <c r="L80" s="6">
        <f t="shared" si="10"/>
        <v>2025</v>
      </c>
      <c r="M80" s="6">
        <f t="shared" si="11"/>
        <v>5</v>
      </c>
    </row>
    <row r="81" spans="1:13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6"/>
        <v>Male</v>
      </c>
      <c r="I81" s="6" t="str">
        <f t="shared" si="7"/>
        <v>Mogadishu</v>
      </c>
      <c r="J81" s="6" t="str">
        <f t="shared" si="8"/>
        <v>Teacher</v>
      </c>
      <c r="K81" s="6" t="str">
        <f t="shared" si="9"/>
        <v>Medium</v>
      </c>
      <c r="L81" s="6">
        <f t="shared" si="10"/>
        <v>2025</v>
      </c>
      <c r="M81" s="6">
        <f t="shared" si="11"/>
        <v>5</v>
      </c>
    </row>
    <row r="82" spans="1:13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6"/>
        <v>Female</v>
      </c>
      <c r="I82" s="6" t="str">
        <f t="shared" si="7"/>
        <v>Mogadishu</v>
      </c>
      <c r="J82" s="6" t="str">
        <f t="shared" si="8"/>
        <v>Business Owner</v>
      </c>
      <c r="K82" s="6" t="str">
        <f t="shared" si="9"/>
        <v>Medium</v>
      </c>
      <c r="L82" s="6">
        <f t="shared" si="10"/>
        <v>2025</v>
      </c>
      <c r="M82" s="6">
        <f t="shared" si="11"/>
        <v>5</v>
      </c>
    </row>
    <row r="83" spans="1:13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6"/>
        <v>Male</v>
      </c>
      <c r="I83" s="6" t="str">
        <f t="shared" si="7"/>
        <v>Mogadishu</v>
      </c>
      <c r="J83" s="6" t="str">
        <f t="shared" si="8"/>
        <v>Engineer</v>
      </c>
      <c r="K83" s="6" t="str">
        <f t="shared" si="9"/>
        <v>Low</v>
      </c>
      <c r="L83" s="6">
        <f t="shared" si="10"/>
        <v>2025</v>
      </c>
      <c r="M83" s="6">
        <f t="shared" si="11"/>
        <v>6</v>
      </c>
    </row>
    <row r="84" spans="1:13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6"/>
        <v>Female</v>
      </c>
      <c r="I84" s="6" t="str">
        <f t="shared" si="7"/>
        <v>Mogadishu</v>
      </c>
      <c r="J84" s="6" t="str">
        <f t="shared" si="8"/>
        <v>Civil Servant</v>
      </c>
      <c r="K84" s="6" t="str">
        <f t="shared" si="9"/>
        <v>Medium</v>
      </c>
      <c r="L84" s="6">
        <f t="shared" si="10"/>
        <v>2025</v>
      </c>
      <c r="M84" s="6">
        <f t="shared" si="11"/>
        <v>6</v>
      </c>
    </row>
    <row r="85" spans="1:13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6"/>
        <v>Missing</v>
      </c>
      <c r="I85" s="6" t="str">
        <f t="shared" si="7"/>
        <v>Baidoa</v>
      </c>
      <c r="J85" s="6" t="str">
        <f t="shared" si="8"/>
        <v>Teacher</v>
      </c>
      <c r="K85" s="6" t="str">
        <f t="shared" si="9"/>
        <v>Low</v>
      </c>
      <c r="L85" s="6">
        <f t="shared" si="10"/>
        <v>2025</v>
      </c>
      <c r="M85" s="6">
        <f t="shared" si="11"/>
        <v>6</v>
      </c>
    </row>
    <row r="86" spans="1:13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6"/>
        <v>Female</v>
      </c>
      <c r="I86" s="6" t="str">
        <f t="shared" si="7"/>
        <v>Kismayo</v>
      </c>
      <c r="J86" s="6" t="str">
        <f t="shared" si="8"/>
        <v>Business Owner</v>
      </c>
      <c r="K86" s="6" t="str">
        <f t="shared" si="9"/>
        <v>Medium</v>
      </c>
      <c r="L86" s="6">
        <f t="shared" si="10"/>
        <v>2025</v>
      </c>
      <c r="M86" s="6">
        <f t="shared" si="11"/>
        <v>6</v>
      </c>
    </row>
    <row r="87" spans="1:13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6"/>
        <v>Female</v>
      </c>
      <c r="I87" s="6" t="str">
        <f t="shared" si="7"/>
        <v>Mogadishu</v>
      </c>
      <c r="J87" s="6" t="str">
        <f t="shared" si="8"/>
        <v>Teacher</v>
      </c>
      <c r="K87" s="6" t="str">
        <f t="shared" si="9"/>
        <v>Medium</v>
      </c>
      <c r="L87" s="6">
        <f t="shared" si="10"/>
        <v>2025</v>
      </c>
      <c r="M87" s="6">
        <f t="shared" si="11"/>
        <v>6</v>
      </c>
    </row>
    <row r="88" spans="1:13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6"/>
        <v>Male</v>
      </c>
      <c r="I88" s="6" t="str">
        <f t="shared" si="7"/>
        <v>Mogadishu</v>
      </c>
      <c r="J88" s="6" t="str">
        <f t="shared" si="8"/>
        <v>Teacher</v>
      </c>
      <c r="K88" s="6" t="str">
        <f t="shared" si="9"/>
        <v>Medium</v>
      </c>
      <c r="L88" s="6">
        <f t="shared" si="10"/>
        <v>2025</v>
      </c>
      <c r="M88" s="6">
        <f t="shared" si="11"/>
        <v>6</v>
      </c>
    </row>
    <row r="89" spans="1:13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6"/>
        <v>Female</v>
      </c>
      <c r="I89" s="6" t="str">
        <f t="shared" si="7"/>
        <v>Mogadishu</v>
      </c>
      <c r="J89" s="6" t="str">
        <f t="shared" si="8"/>
        <v>Self-Employed</v>
      </c>
      <c r="K89" s="6" t="str">
        <f t="shared" si="9"/>
        <v>Low</v>
      </c>
      <c r="L89" s="6">
        <f t="shared" si="10"/>
        <v>2025</v>
      </c>
      <c r="M89" s="6">
        <f t="shared" si="11"/>
        <v>6</v>
      </c>
    </row>
    <row r="90" spans="1:13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6"/>
        <v>Female</v>
      </c>
      <c r="I90" s="6" t="str">
        <f t="shared" si="7"/>
        <v>Hargeisa</v>
      </c>
      <c r="J90" s="6" t="str">
        <f t="shared" si="8"/>
        <v>Healthcare</v>
      </c>
      <c r="K90" s="6" t="str">
        <f t="shared" si="9"/>
        <v>Medium</v>
      </c>
      <c r="L90" s="6">
        <f t="shared" si="10"/>
        <v>2025</v>
      </c>
      <c r="M90" s="6">
        <f t="shared" si="11"/>
        <v>6</v>
      </c>
    </row>
    <row r="91" spans="1:13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6"/>
        <v>Male</v>
      </c>
      <c r="I91" s="6" t="str">
        <f t="shared" si="7"/>
        <v>Mogadishu</v>
      </c>
      <c r="J91" s="6" t="str">
        <f t="shared" si="8"/>
        <v>Student</v>
      </c>
      <c r="K91" s="6" t="str">
        <f t="shared" si="9"/>
        <v>Low</v>
      </c>
      <c r="L91" s="6">
        <f t="shared" si="10"/>
        <v>2025</v>
      </c>
      <c r="M91" s="6">
        <f t="shared" si="11"/>
        <v>6</v>
      </c>
    </row>
    <row r="92" spans="1:13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6"/>
        <v>Female</v>
      </c>
      <c r="I92" s="6" t="str">
        <f t="shared" si="7"/>
        <v>Mogadishu</v>
      </c>
      <c r="J92" s="6" t="str">
        <f t="shared" si="8"/>
        <v>Engineer</v>
      </c>
      <c r="K92" s="6" t="str">
        <f t="shared" si="9"/>
        <v>Medium</v>
      </c>
      <c r="L92" s="6">
        <f t="shared" si="10"/>
        <v>2025</v>
      </c>
      <c r="M92" s="6">
        <f t="shared" si="11"/>
        <v>6</v>
      </c>
    </row>
    <row r="93" spans="1:13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6"/>
        <v>Female</v>
      </c>
      <c r="I93" s="6" t="str">
        <f t="shared" si="7"/>
        <v>Kismayo</v>
      </c>
      <c r="J93" s="6" t="str">
        <f t="shared" si="8"/>
        <v>Missing</v>
      </c>
      <c r="K93" s="6" t="str">
        <f t="shared" si="9"/>
        <v>Medium</v>
      </c>
      <c r="L93" s="6">
        <f t="shared" si="10"/>
        <v>2025</v>
      </c>
      <c r="M93" s="6">
        <f t="shared" si="11"/>
        <v>6</v>
      </c>
    </row>
    <row r="94" spans="1:13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6"/>
        <v>Male</v>
      </c>
      <c r="I94" s="6" t="str">
        <f t="shared" si="7"/>
        <v>Garowe</v>
      </c>
      <c r="J94" s="6" t="str">
        <f t="shared" si="8"/>
        <v>Teacher</v>
      </c>
      <c r="K94" s="6" t="str">
        <f t="shared" si="9"/>
        <v>Medium</v>
      </c>
      <c r="L94" s="6">
        <f t="shared" si="10"/>
        <v>2025</v>
      </c>
      <c r="M94" s="6">
        <f t="shared" si="11"/>
        <v>6</v>
      </c>
    </row>
    <row r="95" spans="1:13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6"/>
        <v>Missing</v>
      </c>
      <c r="I95" s="6" t="str">
        <f t="shared" si="7"/>
        <v>Mogadishu</v>
      </c>
      <c r="J95" s="6" t="str">
        <f t="shared" si="8"/>
        <v>Civil Servant</v>
      </c>
      <c r="K95" s="6" t="str">
        <f t="shared" si="9"/>
        <v>Medium</v>
      </c>
      <c r="L95" s="6">
        <f t="shared" si="10"/>
        <v>2025</v>
      </c>
      <c r="M95" s="6">
        <f t="shared" si="11"/>
        <v>6</v>
      </c>
    </row>
    <row r="96" spans="1:13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6"/>
        <v>Male</v>
      </c>
      <c r="I96" s="6" t="str">
        <f t="shared" si="7"/>
        <v>Kismayo</v>
      </c>
      <c r="J96" s="6" t="str">
        <f t="shared" si="8"/>
        <v>Teacher</v>
      </c>
      <c r="K96" s="6" t="str">
        <f t="shared" si="9"/>
        <v>Low</v>
      </c>
      <c r="L96" s="6">
        <f t="shared" si="10"/>
        <v>2025</v>
      </c>
      <c r="M96" s="6">
        <f t="shared" si="11"/>
        <v>6</v>
      </c>
    </row>
    <row r="97" spans="1:13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6"/>
        <v>Female</v>
      </c>
      <c r="I97" s="6" t="str">
        <f t="shared" si="7"/>
        <v>Hargeisa</v>
      </c>
      <c r="J97" s="6" t="str">
        <f t="shared" si="8"/>
        <v>Teacher</v>
      </c>
      <c r="K97" s="6" t="str">
        <f t="shared" si="9"/>
        <v>Low</v>
      </c>
      <c r="L97" s="6">
        <f t="shared" si="10"/>
        <v>2025</v>
      </c>
      <c r="M97" s="6">
        <f t="shared" si="11"/>
        <v>7</v>
      </c>
    </row>
    <row r="98" spans="1:13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6"/>
        <v>Female</v>
      </c>
      <c r="I98" s="6" t="str">
        <f t="shared" si="7"/>
        <v>Hargeisa</v>
      </c>
      <c r="J98" s="6" t="str">
        <f t="shared" si="8"/>
        <v>Self-Employed</v>
      </c>
      <c r="K98" s="6" t="str">
        <f t="shared" si="9"/>
        <v>Low</v>
      </c>
      <c r="L98" s="6">
        <f t="shared" si="10"/>
        <v>2025</v>
      </c>
      <c r="M98" s="6">
        <f t="shared" si="11"/>
        <v>7</v>
      </c>
    </row>
    <row r="99" spans="1:13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6"/>
        <v>Female</v>
      </c>
      <c r="I99" s="6" t="str">
        <f t="shared" si="7"/>
        <v>Kismayo</v>
      </c>
      <c r="J99" s="6" t="str">
        <f t="shared" si="8"/>
        <v>Business Owner</v>
      </c>
      <c r="K99" s="6" t="str">
        <f t="shared" si="9"/>
        <v>Low</v>
      </c>
      <c r="L99" s="6">
        <f t="shared" si="10"/>
        <v>2025</v>
      </c>
      <c r="M99" s="6">
        <f t="shared" si="11"/>
        <v>7</v>
      </c>
    </row>
    <row r="100" spans="1:13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6"/>
        <v>Female</v>
      </c>
      <c r="I100" s="6" t="str">
        <f t="shared" si="7"/>
        <v>Baidoa</v>
      </c>
      <c r="J100" s="6" t="str">
        <f t="shared" si="8"/>
        <v>Student</v>
      </c>
      <c r="K100" s="6" t="str">
        <f t="shared" si="9"/>
        <v>Low</v>
      </c>
      <c r="L100" s="6">
        <f t="shared" si="10"/>
        <v>2025</v>
      </c>
      <c r="M100" s="6">
        <f t="shared" si="11"/>
        <v>7</v>
      </c>
    </row>
    <row r="101" spans="1:13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6"/>
        <v>Male</v>
      </c>
      <c r="I101" s="6" t="str">
        <f t="shared" si="7"/>
        <v>Hargeisa</v>
      </c>
      <c r="J101" s="6" t="str">
        <f t="shared" si="8"/>
        <v>Self-Employed</v>
      </c>
      <c r="K101" s="6" t="str">
        <f t="shared" si="9"/>
        <v>Medium</v>
      </c>
      <c r="L101" s="6">
        <f t="shared" si="10"/>
        <v>2025</v>
      </c>
      <c r="M101" s="6">
        <f t="shared" si="11"/>
        <v>7</v>
      </c>
    </row>
    <row r="102" spans="1:13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6"/>
        <v>Female</v>
      </c>
      <c r="I102" s="6" t="str">
        <f t="shared" si="7"/>
        <v>Mogadishu</v>
      </c>
      <c r="J102" s="6" t="str">
        <f t="shared" si="8"/>
        <v>Teacher</v>
      </c>
      <c r="K102" s="6" t="str">
        <f t="shared" si="9"/>
        <v>Low</v>
      </c>
      <c r="L102" s="6">
        <f t="shared" si="10"/>
        <v>2025</v>
      </c>
      <c r="M102" s="6">
        <f t="shared" si="11"/>
        <v>7</v>
      </c>
    </row>
    <row r="103" spans="1:13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6"/>
        <v>Male</v>
      </c>
      <c r="I103" s="6" t="str">
        <f t="shared" si="7"/>
        <v>Bosaso</v>
      </c>
      <c r="J103" s="6" t="str">
        <f t="shared" si="8"/>
        <v>Student</v>
      </c>
      <c r="K103" s="6" t="str">
        <f t="shared" si="9"/>
        <v>Low</v>
      </c>
      <c r="L103" s="6">
        <f t="shared" si="10"/>
        <v>2025</v>
      </c>
      <c r="M103" s="6">
        <f t="shared" si="11"/>
        <v>7</v>
      </c>
    </row>
    <row r="104" spans="1:13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6"/>
        <v>Female</v>
      </c>
      <c r="I104" s="6" t="str">
        <f t="shared" si="7"/>
        <v>Mogadishu</v>
      </c>
      <c r="J104" s="6" t="str">
        <f t="shared" si="8"/>
        <v>Business Owner</v>
      </c>
      <c r="K104" s="6" t="str">
        <f t="shared" si="9"/>
        <v>Medium</v>
      </c>
      <c r="L104" s="6">
        <f t="shared" si="10"/>
        <v>2025</v>
      </c>
      <c r="M104" s="6">
        <f t="shared" si="11"/>
        <v>7</v>
      </c>
    </row>
    <row r="105" spans="1:13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6"/>
        <v>Male</v>
      </c>
      <c r="I105" s="6" t="str">
        <f t="shared" si="7"/>
        <v>Baidoa</v>
      </c>
      <c r="J105" s="6" t="str">
        <f t="shared" si="8"/>
        <v>Student</v>
      </c>
      <c r="K105" s="6" t="str">
        <f t="shared" si="9"/>
        <v>Low</v>
      </c>
      <c r="L105" s="6">
        <f t="shared" si="10"/>
        <v>2025</v>
      </c>
      <c r="M105" s="6">
        <f t="shared" si="11"/>
        <v>7</v>
      </c>
    </row>
    <row r="106" spans="1:13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6"/>
        <v>Female</v>
      </c>
      <c r="I106" s="6" t="str">
        <f t="shared" si="7"/>
        <v>Mogadishu</v>
      </c>
      <c r="J106" s="6" t="str">
        <f t="shared" si="8"/>
        <v>Engineer</v>
      </c>
      <c r="K106" s="6" t="str">
        <f t="shared" si="9"/>
        <v>Medium</v>
      </c>
      <c r="L106" s="6">
        <f t="shared" si="10"/>
        <v>2025</v>
      </c>
      <c r="M106" s="6">
        <f t="shared" si="11"/>
        <v>7</v>
      </c>
    </row>
    <row r="107" spans="1:13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6"/>
        <v>Female</v>
      </c>
      <c r="I107" s="6" t="str">
        <f t="shared" si="7"/>
        <v>Mogadishu</v>
      </c>
      <c r="J107" s="6" t="str">
        <f t="shared" si="8"/>
        <v>Self-Employed</v>
      </c>
      <c r="K107" s="6" t="str">
        <f t="shared" si="9"/>
        <v>Low</v>
      </c>
      <c r="L107" s="6">
        <f t="shared" si="10"/>
        <v>2025</v>
      </c>
      <c r="M107" s="6">
        <f t="shared" si="11"/>
        <v>7</v>
      </c>
    </row>
    <row r="108" spans="1:13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6"/>
        <v>Female</v>
      </c>
      <c r="I108" s="6" t="str">
        <f t="shared" si="7"/>
        <v>Mogadishu</v>
      </c>
      <c r="J108" s="6" t="str">
        <f t="shared" si="8"/>
        <v>Missing</v>
      </c>
      <c r="K108" s="6" t="str">
        <f t="shared" si="9"/>
        <v>Low</v>
      </c>
      <c r="L108" s="6">
        <f t="shared" si="10"/>
        <v>2025</v>
      </c>
      <c r="M108" s="6">
        <f t="shared" si="11"/>
        <v>7</v>
      </c>
    </row>
    <row r="109" spans="1:13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6"/>
        <v>Female</v>
      </c>
      <c r="I109" s="6" t="str">
        <f t="shared" si="7"/>
        <v>Hargeisa</v>
      </c>
      <c r="J109" s="6" t="str">
        <f t="shared" si="8"/>
        <v>Business Owner</v>
      </c>
      <c r="K109" s="6" t="str">
        <f t="shared" si="9"/>
        <v>Low</v>
      </c>
      <c r="L109" s="6">
        <f t="shared" si="10"/>
        <v>2025</v>
      </c>
      <c r="M109" s="6">
        <f t="shared" si="11"/>
        <v>7</v>
      </c>
    </row>
    <row r="110" spans="1:13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6"/>
        <v>Female</v>
      </c>
      <c r="I110" s="6" t="str">
        <f t="shared" si="7"/>
        <v>Hargeisa</v>
      </c>
      <c r="J110" s="6" t="str">
        <f t="shared" si="8"/>
        <v>Teacher</v>
      </c>
      <c r="K110" s="6" t="str">
        <f t="shared" si="9"/>
        <v>Medium</v>
      </c>
      <c r="L110" s="6">
        <f t="shared" si="10"/>
        <v>2025</v>
      </c>
      <c r="M110" s="6">
        <f t="shared" si="11"/>
        <v>7</v>
      </c>
    </row>
    <row r="111" spans="1:13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6"/>
        <v>Male</v>
      </c>
      <c r="I111" s="6" t="str">
        <f t="shared" si="7"/>
        <v>Mogadishu</v>
      </c>
      <c r="J111" s="6" t="str">
        <f t="shared" si="8"/>
        <v>Student</v>
      </c>
      <c r="K111" s="6" t="str">
        <f t="shared" si="9"/>
        <v>Low</v>
      </c>
      <c r="L111" s="6">
        <f t="shared" si="10"/>
        <v>2025</v>
      </c>
      <c r="M111" s="6">
        <f t="shared" si="11"/>
        <v>8</v>
      </c>
    </row>
    <row r="112" spans="1:13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6"/>
        <v>Male</v>
      </c>
      <c r="I112" s="6" t="str">
        <f t="shared" si="7"/>
        <v>Kismayo</v>
      </c>
      <c r="J112" s="6" t="str">
        <f t="shared" si="8"/>
        <v>Healthcare</v>
      </c>
      <c r="K112" s="6" t="str">
        <f t="shared" si="9"/>
        <v>Medium</v>
      </c>
      <c r="L112" s="6">
        <f t="shared" si="10"/>
        <v>2025</v>
      </c>
      <c r="M112" s="6">
        <f t="shared" si="11"/>
        <v>8</v>
      </c>
    </row>
    <row r="113" spans="1:13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6"/>
        <v>Male</v>
      </c>
      <c r="I113" s="6" t="str">
        <f t="shared" si="7"/>
        <v>Mogadishu</v>
      </c>
      <c r="J113" s="6" t="str">
        <f t="shared" si="8"/>
        <v>Civil Servant</v>
      </c>
      <c r="K113" s="6" t="str">
        <f t="shared" si="9"/>
        <v>Medium</v>
      </c>
      <c r="L113" s="6">
        <f t="shared" si="10"/>
        <v>2025</v>
      </c>
      <c r="M113" s="6">
        <f t="shared" si="11"/>
        <v>8</v>
      </c>
    </row>
    <row r="114" spans="1:13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6"/>
        <v>Male</v>
      </c>
      <c r="I114" s="6" t="str">
        <f t="shared" si="7"/>
        <v>Baidoa</v>
      </c>
      <c r="J114" s="6" t="str">
        <f t="shared" si="8"/>
        <v>Missing</v>
      </c>
      <c r="K114" s="6" t="str">
        <f t="shared" si="9"/>
        <v>Low</v>
      </c>
      <c r="L114" s="6">
        <f t="shared" si="10"/>
        <v>2025</v>
      </c>
      <c r="M114" s="6">
        <f t="shared" si="11"/>
        <v>8</v>
      </c>
    </row>
    <row r="115" spans="1:13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6"/>
        <v>Male</v>
      </c>
      <c r="I115" s="6" t="str">
        <f t="shared" si="7"/>
        <v>Hargeisa</v>
      </c>
      <c r="J115" s="6" t="str">
        <f t="shared" si="8"/>
        <v>Civil Servant</v>
      </c>
      <c r="K115" s="6" t="str">
        <f t="shared" si="9"/>
        <v>Medium</v>
      </c>
      <c r="L115" s="6">
        <f t="shared" si="10"/>
        <v>2025</v>
      </c>
      <c r="M115" s="6">
        <f t="shared" si="11"/>
        <v>8</v>
      </c>
    </row>
    <row r="116" spans="1:13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6"/>
        <v>Male</v>
      </c>
      <c r="I116" s="6" t="str">
        <f t="shared" si="7"/>
        <v>Bosaso</v>
      </c>
      <c r="J116" s="6" t="str">
        <f t="shared" si="8"/>
        <v>Teacher</v>
      </c>
      <c r="K116" s="6" t="str">
        <f t="shared" si="9"/>
        <v>Medium</v>
      </c>
      <c r="L116" s="6">
        <f t="shared" si="10"/>
        <v>2025</v>
      </c>
      <c r="M116" s="6">
        <f t="shared" si="11"/>
        <v>8</v>
      </c>
    </row>
    <row r="117" spans="1:13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6"/>
        <v>Male</v>
      </c>
      <c r="I117" s="6" t="str">
        <f t="shared" si="7"/>
        <v>Kismayo</v>
      </c>
      <c r="J117" s="6" t="str">
        <f t="shared" si="8"/>
        <v>Teacher</v>
      </c>
      <c r="K117" s="6" t="str">
        <f t="shared" si="9"/>
        <v>Medium</v>
      </c>
      <c r="L117" s="6">
        <f t="shared" si="10"/>
        <v>2025</v>
      </c>
      <c r="M117" s="6">
        <f t="shared" si="11"/>
        <v>8</v>
      </c>
    </row>
    <row r="118" spans="1:13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6"/>
        <v>Female</v>
      </c>
      <c r="I118" s="6" t="str">
        <f t="shared" si="7"/>
        <v>Mogadishu</v>
      </c>
      <c r="J118" s="6" t="str">
        <f t="shared" si="8"/>
        <v>Student</v>
      </c>
      <c r="K118" s="6" t="str">
        <f t="shared" si="9"/>
        <v>Medium</v>
      </c>
      <c r="L118" s="6">
        <f t="shared" si="10"/>
        <v>2025</v>
      </c>
      <c r="M118" s="6">
        <f t="shared" si="11"/>
        <v>8</v>
      </c>
    </row>
    <row r="119" spans="1:13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6"/>
        <v>Male</v>
      </c>
      <c r="I119" s="6" t="str">
        <f t="shared" si="7"/>
        <v>Mogadishu</v>
      </c>
      <c r="J119" s="6" t="str">
        <f t="shared" si="8"/>
        <v>Self-Employed</v>
      </c>
      <c r="K119" s="6" t="str">
        <f t="shared" si="9"/>
        <v>Medium</v>
      </c>
      <c r="L119" s="6">
        <f t="shared" si="10"/>
        <v>2025</v>
      </c>
      <c r="M119" s="6">
        <f t="shared" si="11"/>
        <v>8</v>
      </c>
    </row>
    <row r="120" spans="1:13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6"/>
        <v>Male</v>
      </c>
      <c r="I120" s="6" t="str">
        <f t="shared" si="7"/>
        <v>Hargeisa</v>
      </c>
      <c r="J120" s="6" t="str">
        <f t="shared" si="8"/>
        <v>Business Owner</v>
      </c>
      <c r="K120" s="6" t="str">
        <f t="shared" si="9"/>
        <v>High</v>
      </c>
      <c r="L120" s="6">
        <f t="shared" si="10"/>
        <v>2025</v>
      </c>
      <c r="M120" s="6">
        <f t="shared" si="11"/>
        <v>8</v>
      </c>
    </row>
    <row r="121" spans="1:13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6"/>
        <v>Male</v>
      </c>
      <c r="I121" s="6" t="str">
        <f t="shared" si="7"/>
        <v>Mogadishu</v>
      </c>
      <c r="J121" s="6" t="str">
        <f t="shared" si="8"/>
        <v>Teacher</v>
      </c>
      <c r="K121" s="6" t="str">
        <f t="shared" si="9"/>
        <v>Low</v>
      </c>
      <c r="L121" s="6">
        <f t="shared" si="10"/>
        <v>2025</v>
      </c>
      <c r="M121" s="6">
        <f t="shared" si="11"/>
        <v>8</v>
      </c>
    </row>
    <row r="122" spans="1:13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6"/>
        <v>Male</v>
      </c>
      <c r="I122" s="6" t="str">
        <f t="shared" si="7"/>
        <v>Missing</v>
      </c>
      <c r="J122" s="6" t="str">
        <f t="shared" si="8"/>
        <v>Student</v>
      </c>
      <c r="K122" s="6" t="str">
        <f t="shared" si="9"/>
        <v>Low</v>
      </c>
      <c r="L122" s="6">
        <f t="shared" si="10"/>
        <v>2025</v>
      </c>
      <c r="M122" s="6">
        <f t="shared" si="11"/>
        <v>8</v>
      </c>
    </row>
    <row r="123" spans="1:13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6"/>
        <v>Male</v>
      </c>
      <c r="I123" s="6" t="str">
        <f t="shared" si="7"/>
        <v>Mogadishu</v>
      </c>
      <c r="J123" s="6" t="str">
        <f t="shared" si="8"/>
        <v>Self-Employed</v>
      </c>
      <c r="K123" s="6" t="str">
        <f t="shared" si="9"/>
        <v>Medium</v>
      </c>
      <c r="L123" s="6">
        <f t="shared" si="10"/>
        <v>2025</v>
      </c>
      <c r="M123" s="6">
        <f t="shared" si="11"/>
        <v>8</v>
      </c>
    </row>
    <row r="124" spans="1:13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6"/>
        <v>Male</v>
      </c>
      <c r="I124" s="6" t="str">
        <f t="shared" si="7"/>
        <v>Baidoa</v>
      </c>
      <c r="J124" s="6" t="str">
        <f t="shared" si="8"/>
        <v>Engineer</v>
      </c>
      <c r="K124" s="6" t="str">
        <f t="shared" si="9"/>
        <v>Medium</v>
      </c>
      <c r="L124" s="6">
        <f t="shared" si="10"/>
        <v>2025</v>
      </c>
      <c r="M124" s="6">
        <f t="shared" si="11"/>
        <v>8</v>
      </c>
    </row>
    <row r="125" spans="1:13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6"/>
        <v>Male</v>
      </c>
      <c r="I125" s="6" t="str">
        <f t="shared" si="7"/>
        <v>Mogadishu</v>
      </c>
      <c r="J125" s="6" t="str">
        <f t="shared" si="8"/>
        <v>Business Owner</v>
      </c>
      <c r="K125" s="6" t="str">
        <f t="shared" si="9"/>
        <v>Medium</v>
      </c>
      <c r="L125" s="6">
        <f t="shared" si="10"/>
        <v>2025</v>
      </c>
      <c r="M125" s="6">
        <f t="shared" si="11"/>
        <v>8</v>
      </c>
    </row>
    <row r="126" spans="1:13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6"/>
        <v>Female</v>
      </c>
      <c r="I126" s="6" t="str">
        <f t="shared" si="7"/>
        <v>Kismayo</v>
      </c>
      <c r="J126" s="6" t="str">
        <f t="shared" si="8"/>
        <v>Engineer</v>
      </c>
      <c r="K126" s="6" t="str">
        <f t="shared" si="9"/>
        <v>High</v>
      </c>
      <c r="L126" s="6">
        <f t="shared" si="10"/>
        <v>2025</v>
      </c>
      <c r="M126" s="6">
        <f t="shared" si="11"/>
        <v>8</v>
      </c>
    </row>
    <row r="127" spans="1:13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6"/>
        <v>Male</v>
      </c>
      <c r="I127" s="6" t="str">
        <f t="shared" si="7"/>
        <v>Hargeisa</v>
      </c>
      <c r="J127" s="6" t="str">
        <f t="shared" si="8"/>
        <v>Teacher</v>
      </c>
      <c r="K127" s="6" t="str">
        <f t="shared" si="9"/>
        <v>Low</v>
      </c>
      <c r="L127" s="6">
        <f t="shared" si="10"/>
        <v>2025</v>
      </c>
      <c r="M127" s="6">
        <f t="shared" si="11"/>
        <v>8</v>
      </c>
    </row>
    <row r="128" spans="1:13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6"/>
        <v>Female</v>
      </c>
      <c r="I128" s="6" t="str">
        <f t="shared" si="7"/>
        <v>Hargeisa</v>
      </c>
      <c r="J128" s="6" t="str">
        <f t="shared" si="8"/>
        <v>Self-Employed</v>
      </c>
      <c r="K128" s="6" t="str">
        <f t="shared" si="9"/>
        <v>Low</v>
      </c>
      <c r="L128" s="6">
        <f t="shared" si="10"/>
        <v>2025</v>
      </c>
      <c r="M128" s="6">
        <f t="shared" si="11"/>
        <v>8</v>
      </c>
    </row>
    <row r="129" spans="1:13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6"/>
        <v>Male</v>
      </c>
      <c r="I129" s="6" t="str">
        <f t="shared" si="7"/>
        <v>Missing</v>
      </c>
      <c r="J129" s="6" t="str">
        <f t="shared" si="8"/>
        <v>Student</v>
      </c>
      <c r="K129" s="6" t="str">
        <f t="shared" si="9"/>
        <v>Medium</v>
      </c>
      <c r="L129" s="6">
        <f t="shared" si="10"/>
        <v>2025</v>
      </c>
      <c r="M129" s="6">
        <f t="shared" si="11"/>
        <v>8</v>
      </c>
    </row>
    <row r="130" spans="1:13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12">PROPER(TRIM(C130))</f>
        <v>Male</v>
      </c>
      <c r="I130" s="6" t="str">
        <f t="shared" ref="I130:I193" si="13">PROPER(TRIM(E130))</f>
        <v>Kismayo</v>
      </c>
      <c r="J130" s="6" t="str">
        <f t="shared" ref="J130:J193" si="14">PROPER(TRIM(SUBSTITUTE(F130,"CS","Civil Servant")))</f>
        <v>Healthcare</v>
      </c>
      <c r="K130" s="6" t="str">
        <f t="shared" ref="K130:K193" si="15">IF(G130&gt;=1500,"High",IF(G130&gt;=800,"Medium","Low"))</f>
        <v>Medium</v>
      </c>
      <c r="L130" s="6">
        <f t="shared" si="10"/>
        <v>2025</v>
      </c>
      <c r="M130" s="6">
        <f t="shared" si="11"/>
        <v>8</v>
      </c>
    </row>
    <row r="131" spans="1:13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12"/>
        <v>Male</v>
      </c>
      <c r="I131" s="6" t="str">
        <f t="shared" si="13"/>
        <v>Bosaso</v>
      </c>
      <c r="J131" s="6" t="str">
        <f t="shared" si="14"/>
        <v>Business Owner</v>
      </c>
      <c r="K131" s="6" t="str">
        <f t="shared" si="15"/>
        <v>Medium</v>
      </c>
      <c r="L131" s="6">
        <f t="shared" ref="L131:L194" si="16">IF(ISNUMBER(B131),YEAR(B131),"")</f>
        <v>2025</v>
      </c>
      <c r="M131" s="6">
        <f t="shared" ref="M131:M194" si="17">IF(ISNUMBER(B131),MONTH(B131),"")</f>
        <v>8</v>
      </c>
    </row>
    <row r="132" spans="1:13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12"/>
        <v>Male</v>
      </c>
      <c r="I132" s="6" t="str">
        <f t="shared" si="13"/>
        <v>Hargeisa</v>
      </c>
      <c r="J132" s="6" t="str">
        <f t="shared" si="14"/>
        <v>Engineer</v>
      </c>
      <c r="K132" s="6" t="str">
        <f t="shared" si="15"/>
        <v>Medium</v>
      </c>
      <c r="L132" s="6">
        <f t="shared" si="16"/>
        <v>2025</v>
      </c>
      <c r="M132" s="6">
        <f t="shared" si="17"/>
        <v>8</v>
      </c>
    </row>
    <row r="133" spans="1:13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12"/>
        <v>Female</v>
      </c>
      <c r="I133" s="6" t="str">
        <f t="shared" si="13"/>
        <v>Mogadishu</v>
      </c>
      <c r="J133" s="6" t="str">
        <f t="shared" si="14"/>
        <v>Teacher</v>
      </c>
      <c r="K133" s="6" t="str">
        <f t="shared" si="15"/>
        <v>Medium</v>
      </c>
      <c r="L133" s="6">
        <f t="shared" si="16"/>
        <v>2025</v>
      </c>
      <c r="M133" s="6">
        <f t="shared" si="17"/>
        <v>8</v>
      </c>
    </row>
    <row r="134" spans="1:13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12"/>
        <v>Male</v>
      </c>
      <c r="I134" s="6" t="str">
        <f t="shared" si="13"/>
        <v>Bosaso</v>
      </c>
      <c r="J134" s="6" t="str">
        <f t="shared" si="14"/>
        <v>Engineer</v>
      </c>
      <c r="K134" s="6" t="str">
        <f t="shared" si="15"/>
        <v>Medium</v>
      </c>
      <c r="L134" s="6">
        <f t="shared" si="16"/>
        <v>2025</v>
      </c>
      <c r="M134" s="6">
        <f t="shared" si="17"/>
        <v>8</v>
      </c>
    </row>
    <row r="135" spans="1:13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12"/>
        <v>Male</v>
      </c>
      <c r="I135" s="6" t="str">
        <f t="shared" si="13"/>
        <v>Kismayo</v>
      </c>
      <c r="J135" s="6" t="str">
        <f t="shared" si="14"/>
        <v>Teacher</v>
      </c>
      <c r="K135" s="6" t="str">
        <f t="shared" si="15"/>
        <v>Medium</v>
      </c>
      <c r="L135" s="6">
        <f t="shared" si="16"/>
        <v>2025</v>
      </c>
      <c r="M135" s="6">
        <f t="shared" si="17"/>
        <v>8</v>
      </c>
    </row>
    <row r="136" spans="1:13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12"/>
        <v>Female</v>
      </c>
      <c r="I136" s="6" t="str">
        <f t="shared" si="13"/>
        <v>Hargeisa</v>
      </c>
      <c r="J136" s="6" t="str">
        <f t="shared" si="14"/>
        <v>Missing</v>
      </c>
      <c r="K136" s="6" t="str">
        <f t="shared" si="15"/>
        <v>Low</v>
      </c>
      <c r="L136" s="6">
        <f t="shared" si="16"/>
        <v>2025</v>
      </c>
      <c r="M136" s="6">
        <f t="shared" si="17"/>
        <v>8</v>
      </c>
    </row>
    <row r="137" spans="1:13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12"/>
        <v>Female</v>
      </c>
      <c r="I137" s="6" t="str">
        <f t="shared" si="13"/>
        <v>Mogadishu</v>
      </c>
      <c r="J137" s="6" t="str">
        <f t="shared" si="14"/>
        <v>Missing</v>
      </c>
      <c r="K137" s="6" t="str">
        <f t="shared" si="15"/>
        <v>Medium</v>
      </c>
      <c r="L137" s="6">
        <f t="shared" si="16"/>
        <v>2025</v>
      </c>
      <c r="M137" s="6">
        <f t="shared" si="17"/>
        <v>9</v>
      </c>
    </row>
    <row r="138" spans="1:13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12"/>
        <v>Female</v>
      </c>
      <c r="I138" s="6" t="str">
        <f t="shared" si="13"/>
        <v>Garowe</v>
      </c>
      <c r="J138" s="6" t="str">
        <f t="shared" si="14"/>
        <v>Business Owner</v>
      </c>
      <c r="K138" s="6" t="str">
        <f t="shared" si="15"/>
        <v>High</v>
      </c>
      <c r="L138" s="6">
        <f t="shared" si="16"/>
        <v>2025</v>
      </c>
      <c r="M138" s="6">
        <f t="shared" si="17"/>
        <v>9</v>
      </c>
    </row>
    <row r="139" spans="1:13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12"/>
        <v>Female</v>
      </c>
      <c r="I139" s="6" t="str">
        <f t="shared" si="13"/>
        <v>Mogadishu</v>
      </c>
      <c r="J139" s="6" t="str">
        <f t="shared" si="14"/>
        <v>Self-Employed</v>
      </c>
      <c r="K139" s="6" t="str">
        <f t="shared" si="15"/>
        <v>Medium</v>
      </c>
      <c r="L139" s="6">
        <f t="shared" si="16"/>
        <v>2025</v>
      </c>
      <c r="M139" s="6">
        <f t="shared" si="17"/>
        <v>9</v>
      </c>
    </row>
    <row r="140" spans="1:13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12"/>
        <v>Female</v>
      </c>
      <c r="I140" s="6" t="str">
        <f t="shared" si="13"/>
        <v>Baidoa</v>
      </c>
      <c r="J140" s="6" t="str">
        <f t="shared" si="14"/>
        <v>Engineer</v>
      </c>
      <c r="K140" s="6" t="str">
        <f t="shared" si="15"/>
        <v>Medium</v>
      </c>
      <c r="L140" s="6">
        <f t="shared" si="16"/>
        <v>2025</v>
      </c>
      <c r="M140" s="6">
        <f t="shared" si="17"/>
        <v>9</v>
      </c>
    </row>
    <row r="141" spans="1:13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12"/>
        <v>Female</v>
      </c>
      <c r="I141" s="6" t="str">
        <f t="shared" si="13"/>
        <v>Kismayo</v>
      </c>
      <c r="J141" s="6" t="str">
        <f t="shared" si="14"/>
        <v>Business Owner</v>
      </c>
      <c r="K141" s="6" t="str">
        <f t="shared" si="15"/>
        <v>Low</v>
      </c>
      <c r="L141" s="6">
        <f t="shared" si="16"/>
        <v>2025</v>
      </c>
      <c r="M141" s="6">
        <f t="shared" si="17"/>
        <v>9</v>
      </c>
    </row>
    <row r="142" spans="1:13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12"/>
        <v>Female</v>
      </c>
      <c r="I142" s="6" t="str">
        <f t="shared" si="13"/>
        <v>Hargeisa</v>
      </c>
      <c r="J142" s="6" t="str">
        <f t="shared" si="14"/>
        <v>Civil Servant</v>
      </c>
      <c r="K142" s="6" t="str">
        <f t="shared" si="15"/>
        <v>Medium</v>
      </c>
      <c r="L142" s="6">
        <f t="shared" si="16"/>
        <v>2025</v>
      </c>
      <c r="M142" s="6">
        <f t="shared" si="17"/>
        <v>9</v>
      </c>
    </row>
    <row r="143" spans="1:13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12"/>
        <v>Female</v>
      </c>
      <c r="I143" s="6" t="str">
        <f t="shared" si="13"/>
        <v>Mogadishu</v>
      </c>
      <c r="J143" s="6" t="str">
        <f t="shared" si="14"/>
        <v>Business Owner</v>
      </c>
      <c r="K143" s="6" t="str">
        <f t="shared" si="15"/>
        <v>Medium</v>
      </c>
      <c r="L143" s="6">
        <f t="shared" si="16"/>
        <v>2025</v>
      </c>
      <c r="M143" s="6">
        <f t="shared" si="17"/>
        <v>9</v>
      </c>
    </row>
    <row r="144" spans="1:13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12"/>
        <v>Female</v>
      </c>
      <c r="I144" s="6" t="str">
        <f t="shared" si="13"/>
        <v>Mogadishu</v>
      </c>
      <c r="J144" s="6" t="str">
        <f t="shared" si="14"/>
        <v>Civil Servant</v>
      </c>
      <c r="K144" s="6" t="str">
        <f t="shared" si="15"/>
        <v>Low</v>
      </c>
      <c r="L144" s="6">
        <f t="shared" si="16"/>
        <v>2025</v>
      </c>
      <c r="M144" s="6">
        <f t="shared" si="17"/>
        <v>9</v>
      </c>
    </row>
    <row r="145" spans="1:13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12"/>
        <v>Female</v>
      </c>
      <c r="I145" s="6" t="str">
        <f t="shared" si="13"/>
        <v>Hargeisa</v>
      </c>
      <c r="J145" s="6" t="str">
        <f t="shared" si="14"/>
        <v>Missing</v>
      </c>
      <c r="K145" s="6" t="str">
        <f t="shared" si="15"/>
        <v>Low</v>
      </c>
      <c r="L145" s="6">
        <f t="shared" si="16"/>
        <v>2025</v>
      </c>
      <c r="M145" s="6">
        <f t="shared" si="17"/>
        <v>9</v>
      </c>
    </row>
    <row r="146" spans="1:13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12"/>
        <v>Female</v>
      </c>
      <c r="I146" s="6" t="str">
        <f t="shared" si="13"/>
        <v>Mogadishu</v>
      </c>
      <c r="J146" s="6" t="str">
        <f t="shared" si="14"/>
        <v>Business Owner</v>
      </c>
      <c r="K146" s="6" t="str">
        <f t="shared" si="15"/>
        <v>Medium</v>
      </c>
      <c r="L146" s="6">
        <f t="shared" si="16"/>
        <v>2025</v>
      </c>
      <c r="M146" s="6">
        <f t="shared" si="17"/>
        <v>9</v>
      </c>
    </row>
    <row r="147" spans="1:13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12"/>
        <v>Male</v>
      </c>
      <c r="I147" s="6" t="str">
        <f t="shared" si="13"/>
        <v>Mogadishu</v>
      </c>
      <c r="J147" s="6" t="str">
        <f t="shared" si="14"/>
        <v>Missing</v>
      </c>
      <c r="K147" s="6" t="str">
        <f t="shared" si="15"/>
        <v>Medium</v>
      </c>
      <c r="L147" s="6">
        <f t="shared" si="16"/>
        <v>2025</v>
      </c>
      <c r="M147" s="6">
        <f t="shared" si="17"/>
        <v>10</v>
      </c>
    </row>
    <row r="148" spans="1:13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12"/>
        <v>Female</v>
      </c>
      <c r="I148" s="6" t="str">
        <f t="shared" si="13"/>
        <v>Garowe</v>
      </c>
      <c r="J148" s="6" t="str">
        <f t="shared" si="14"/>
        <v>Healthcare</v>
      </c>
      <c r="K148" s="6" t="str">
        <f t="shared" si="15"/>
        <v>Medium</v>
      </c>
      <c r="L148" s="6">
        <f t="shared" si="16"/>
        <v>2025</v>
      </c>
      <c r="M148" s="6">
        <f t="shared" si="17"/>
        <v>10</v>
      </c>
    </row>
    <row r="149" spans="1:13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12"/>
        <v>Male</v>
      </c>
      <c r="I149" s="6" t="str">
        <f t="shared" si="13"/>
        <v>Kismayo</v>
      </c>
      <c r="J149" s="6" t="str">
        <f t="shared" si="14"/>
        <v>Civil Servant</v>
      </c>
      <c r="K149" s="6" t="str">
        <f t="shared" si="15"/>
        <v>Medium</v>
      </c>
      <c r="L149" s="6">
        <f t="shared" si="16"/>
        <v>2025</v>
      </c>
      <c r="M149" s="6">
        <f t="shared" si="17"/>
        <v>10</v>
      </c>
    </row>
    <row r="150" spans="1:13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12"/>
        <v>Male</v>
      </c>
      <c r="I150" s="6" t="str">
        <f t="shared" si="13"/>
        <v>Bosaso</v>
      </c>
      <c r="J150" s="6" t="str">
        <f t="shared" si="14"/>
        <v>Civil Servant</v>
      </c>
      <c r="K150" s="6" t="str">
        <f t="shared" si="15"/>
        <v>Medium</v>
      </c>
      <c r="L150" s="6">
        <f t="shared" si="16"/>
        <v>2025</v>
      </c>
      <c r="M150" s="6">
        <f t="shared" si="17"/>
        <v>10</v>
      </c>
    </row>
    <row r="151" spans="1:13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12"/>
        <v>Female</v>
      </c>
      <c r="I151" s="6" t="str">
        <f t="shared" si="13"/>
        <v>Bosaso</v>
      </c>
      <c r="J151" s="6" t="str">
        <f t="shared" si="14"/>
        <v>Student</v>
      </c>
      <c r="K151" s="6" t="str">
        <f t="shared" si="15"/>
        <v>Low</v>
      </c>
      <c r="L151" s="6">
        <f t="shared" si="16"/>
        <v>2025</v>
      </c>
      <c r="M151" s="6">
        <f t="shared" si="17"/>
        <v>10</v>
      </c>
    </row>
    <row r="152" spans="1:13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12"/>
        <v>Male</v>
      </c>
      <c r="I152" s="6" t="str">
        <f t="shared" si="13"/>
        <v>Kismayo</v>
      </c>
      <c r="J152" s="6" t="str">
        <f t="shared" si="14"/>
        <v>Student</v>
      </c>
      <c r="K152" s="6" t="str">
        <f t="shared" si="15"/>
        <v>Low</v>
      </c>
      <c r="L152" s="6">
        <f t="shared" si="16"/>
        <v>2025</v>
      </c>
      <c r="M152" s="6">
        <f t="shared" si="17"/>
        <v>10</v>
      </c>
    </row>
    <row r="153" spans="1:13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12"/>
        <v>Male</v>
      </c>
      <c r="I153" s="6" t="str">
        <f t="shared" si="13"/>
        <v>Hargeisa</v>
      </c>
      <c r="J153" s="6" t="str">
        <f t="shared" si="14"/>
        <v>Self-Employed</v>
      </c>
      <c r="K153" s="6" t="str">
        <f t="shared" si="15"/>
        <v>Low</v>
      </c>
      <c r="L153" s="6">
        <f t="shared" si="16"/>
        <v>2025</v>
      </c>
      <c r="M153" s="6">
        <f t="shared" si="17"/>
        <v>10</v>
      </c>
    </row>
    <row r="154" spans="1:13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12"/>
        <v>Missing</v>
      </c>
      <c r="I154" s="6" t="str">
        <f t="shared" si="13"/>
        <v>Bosaso</v>
      </c>
      <c r="J154" s="6" t="str">
        <f t="shared" si="14"/>
        <v>Engineer</v>
      </c>
      <c r="K154" s="6" t="str">
        <f t="shared" si="15"/>
        <v>Medium</v>
      </c>
      <c r="L154" s="6">
        <f t="shared" si="16"/>
        <v>2025</v>
      </c>
      <c r="M154" s="6">
        <f t="shared" si="17"/>
        <v>10</v>
      </c>
    </row>
    <row r="155" spans="1:13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12"/>
        <v>Male</v>
      </c>
      <c r="I155" s="6" t="str">
        <f t="shared" si="13"/>
        <v>Mogadishu</v>
      </c>
      <c r="J155" s="6" t="str">
        <f t="shared" si="14"/>
        <v>Engineer</v>
      </c>
      <c r="K155" s="6" t="str">
        <f t="shared" si="15"/>
        <v>Low</v>
      </c>
      <c r="L155" s="6">
        <f t="shared" si="16"/>
        <v>2025</v>
      </c>
      <c r="M155" s="6">
        <f t="shared" si="17"/>
        <v>10</v>
      </c>
    </row>
    <row r="156" spans="1:13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12"/>
        <v>Female</v>
      </c>
      <c r="I156" s="6" t="str">
        <f t="shared" si="13"/>
        <v>Bosaso</v>
      </c>
      <c r="J156" s="6" t="str">
        <f t="shared" si="14"/>
        <v>Healthcare</v>
      </c>
      <c r="K156" s="6" t="str">
        <f t="shared" si="15"/>
        <v>Medium</v>
      </c>
      <c r="L156" s="6">
        <f t="shared" si="16"/>
        <v>2025</v>
      </c>
      <c r="M156" s="6">
        <f t="shared" si="17"/>
        <v>10</v>
      </c>
    </row>
    <row r="157" spans="1:13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12"/>
        <v>Missing</v>
      </c>
      <c r="I157" s="6" t="str">
        <f t="shared" si="13"/>
        <v>Mogadishu</v>
      </c>
      <c r="J157" s="6" t="str">
        <f t="shared" si="14"/>
        <v>Business Owner</v>
      </c>
      <c r="K157" s="6" t="str">
        <f t="shared" si="15"/>
        <v>High</v>
      </c>
      <c r="L157" s="6">
        <f t="shared" si="16"/>
        <v>2025</v>
      </c>
      <c r="M157" s="6">
        <f t="shared" si="17"/>
        <v>10</v>
      </c>
    </row>
    <row r="158" spans="1:13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12"/>
        <v>Female</v>
      </c>
      <c r="I158" s="6" t="str">
        <f t="shared" si="13"/>
        <v>Mogadishu</v>
      </c>
      <c r="J158" s="6" t="str">
        <f t="shared" si="14"/>
        <v>Teacher</v>
      </c>
      <c r="K158" s="6" t="str">
        <f t="shared" si="15"/>
        <v>Medium</v>
      </c>
      <c r="L158" s="6">
        <f t="shared" si="16"/>
        <v>2025</v>
      </c>
      <c r="M158" s="6">
        <f t="shared" si="17"/>
        <v>10</v>
      </c>
    </row>
    <row r="159" spans="1:13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12"/>
        <v>Female</v>
      </c>
      <c r="I159" s="6" t="str">
        <f t="shared" si="13"/>
        <v>Mogadishu</v>
      </c>
      <c r="J159" s="6" t="str">
        <f t="shared" si="14"/>
        <v>Student</v>
      </c>
      <c r="K159" s="6" t="str">
        <f t="shared" si="15"/>
        <v>Low</v>
      </c>
      <c r="L159" s="6">
        <f t="shared" si="16"/>
        <v>2025</v>
      </c>
      <c r="M159" s="6">
        <f t="shared" si="17"/>
        <v>10</v>
      </c>
    </row>
    <row r="160" spans="1:13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12"/>
        <v>Male</v>
      </c>
      <c r="I160" s="6" t="str">
        <f t="shared" si="13"/>
        <v>Bosaso</v>
      </c>
      <c r="J160" s="6" t="str">
        <f t="shared" si="14"/>
        <v>Civil Servant</v>
      </c>
      <c r="K160" s="6" t="str">
        <f t="shared" si="15"/>
        <v>Medium</v>
      </c>
      <c r="L160" s="6">
        <f t="shared" si="16"/>
        <v>2025</v>
      </c>
      <c r="M160" s="6">
        <f t="shared" si="17"/>
        <v>10</v>
      </c>
    </row>
    <row r="161" spans="1:13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12"/>
        <v>Male</v>
      </c>
      <c r="I161" s="6" t="str">
        <f t="shared" si="13"/>
        <v>Hargeisa</v>
      </c>
      <c r="J161" s="6" t="str">
        <f t="shared" si="14"/>
        <v>Healthcare</v>
      </c>
      <c r="K161" s="6" t="str">
        <f t="shared" si="15"/>
        <v>Medium</v>
      </c>
      <c r="L161" s="6">
        <f t="shared" si="16"/>
        <v>2025</v>
      </c>
      <c r="M161" s="6">
        <f t="shared" si="17"/>
        <v>10</v>
      </c>
    </row>
    <row r="162" spans="1:13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12"/>
        <v>Male</v>
      </c>
      <c r="I162" s="6" t="str">
        <f t="shared" si="13"/>
        <v>Bosaso</v>
      </c>
      <c r="J162" s="6" t="str">
        <f t="shared" si="14"/>
        <v>Student</v>
      </c>
      <c r="K162" s="6" t="str">
        <f t="shared" si="15"/>
        <v>Low</v>
      </c>
      <c r="L162" s="6">
        <f t="shared" si="16"/>
        <v>2025</v>
      </c>
      <c r="M162" s="6">
        <f t="shared" si="17"/>
        <v>10</v>
      </c>
    </row>
    <row r="163" spans="1:13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12"/>
        <v>Female</v>
      </c>
      <c r="I163" s="6" t="str">
        <f t="shared" si="13"/>
        <v>Hargeisa</v>
      </c>
      <c r="J163" s="6" t="str">
        <f t="shared" si="14"/>
        <v>Self-Employed</v>
      </c>
      <c r="K163" s="6" t="str">
        <f t="shared" si="15"/>
        <v>Low</v>
      </c>
      <c r="L163" s="6">
        <f t="shared" si="16"/>
        <v>2025</v>
      </c>
      <c r="M163" s="6">
        <f t="shared" si="17"/>
        <v>10</v>
      </c>
    </row>
    <row r="164" spans="1:13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12"/>
        <v>Female</v>
      </c>
      <c r="I164" s="6" t="str">
        <f t="shared" si="13"/>
        <v>Bosaso</v>
      </c>
      <c r="J164" s="6" t="str">
        <f t="shared" si="14"/>
        <v>Self-Employed</v>
      </c>
      <c r="K164" s="6" t="str">
        <f t="shared" si="15"/>
        <v>Low</v>
      </c>
      <c r="L164" s="6">
        <f t="shared" si="16"/>
        <v>2025</v>
      </c>
      <c r="M164" s="6">
        <f t="shared" si="17"/>
        <v>11</v>
      </c>
    </row>
    <row r="165" spans="1:13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12"/>
        <v>Female</v>
      </c>
      <c r="I165" s="6" t="str">
        <f t="shared" si="13"/>
        <v>Bosaso</v>
      </c>
      <c r="J165" s="6" t="str">
        <f t="shared" si="14"/>
        <v>Self-Employed</v>
      </c>
      <c r="K165" s="6" t="str">
        <f t="shared" si="15"/>
        <v>Medium</v>
      </c>
      <c r="L165" s="6">
        <f t="shared" si="16"/>
        <v>2025</v>
      </c>
      <c r="M165" s="6">
        <f t="shared" si="17"/>
        <v>11</v>
      </c>
    </row>
    <row r="166" spans="1:13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12"/>
        <v>Female</v>
      </c>
      <c r="I166" s="6" t="str">
        <f t="shared" si="13"/>
        <v>Mogadishu</v>
      </c>
      <c r="J166" s="6" t="str">
        <f t="shared" si="14"/>
        <v>Self-Employed</v>
      </c>
      <c r="K166" s="6" t="str">
        <f t="shared" si="15"/>
        <v>Low</v>
      </c>
      <c r="L166" s="6">
        <f t="shared" si="16"/>
        <v>2025</v>
      </c>
      <c r="M166" s="6">
        <f t="shared" si="17"/>
        <v>11</v>
      </c>
    </row>
    <row r="167" spans="1:13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12"/>
        <v>Female</v>
      </c>
      <c r="I167" s="6" t="str">
        <f t="shared" si="13"/>
        <v>Bosaso</v>
      </c>
      <c r="J167" s="6" t="str">
        <f t="shared" si="14"/>
        <v>Teacher</v>
      </c>
      <c r="K167" s="6" t="str">
        <f t="shared" si="15"/>
        <v>Low</v>
      </c>
      <c r="L167" s="6">
        <f t="shared" si="16"/>
        <v>2025</v>
      </c>
      <c r="M167" s="6">
        <f t="shared" si="17"/>
        <v>11</v>
      </c>
    </row>
    <row r="168" spans="1:13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12"/>
        <v>Male</v>
      </c>
      <c r="I168" s="6" t="str">
        <f t="shared" si="13"/>
        <v>Kismayo</v>
      </c>
      <c r="J168" s="6" t="str">
        <f t="shared" si="14"/>
        <v>Civil Servant</v>
      </c>
      <c r="K168" s="6" t="str">
        <f t="shared" si="15"/>
        <v>Medium</v>
      </c>
      <c r="L168" s="6">
        <f t="shared" si="16"/>
        <v>2025</v>
      </c>
      <c r="M168" s="6">
        <f t="shared" si="17"/>
        <v>11</v>
      </c>
    </row>
    <row r="169" spans="1:13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12"/>
        <v>Missing</v>
      </c>
      <c r="I169" s="6" t="str">
        <f t="shared" si="13"/>
        <v>Mogadishu</v>
      </c>
      <c r="J169" s="6" t="str">
        <f t="shared" si="14"/>
        <v>Civil Servant</v>
      </c>
      <c r="K169" s="6" t="str">
        <f t="shared" si="15"/>
        <v>Low</v>
      </c>
      <c r="L169" s="6">
        <f t="shared" si="16"/>
        <v>2025</v>
      </c>
      <c r="M169" s="6">
        <f t="shared" si="17"/>
        <v>11</v>
      </c>
    </row>
    <row r="170" spans="1:13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12"/>
        <v>Male</v>
      </c>
      <c r="I170" s="6" t="str">
        <f t="shared" si="13"/>
        <v>Mogadishu</v>
      </c>
      <c r="J170" s="6" t="str">
        <f t="shared" si="14"/>
        <v>Student</v>
      </c>
      <c r="K170" s="6" t="str">
        <f t="shared" si="15"/>
        <v>Low</v>
      </c>
      <c r="L170" s="6">
        <f t="shared" si="16"/>
        <v>2025</v>
      </c>
      <c r="M170" s="6">
        <f t="shared" si="17"/>
        <v>11</v>
      </c>
    </row>
    <row r="171" spans="1:13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12"/>
        <v>Missing</v>
      </c>
      <c r="I171" s="6" t="str">
        <f t="shared" si="13"/>
        <v>Baidoa</v>
      </c>
      <c r="J171" s="6" t="str">
        <f t="shared" si="14"/>
        <v>Engineer</v>
      </c>
      <c r="K171" s="6" t="str">
        <f t="shared" si="15"/>
        <v>Medium</v>
      </c>
      <c r="L171" s="6">
        <f t="shared" si="16"/>
        <v>2025</v>
      </c>
      <c r="M171" s="6">
        <f t="shared" si="17"/>
        <v>11</v>
      </c>
    </row>
    <row r="172" spans="1:13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12"/>
        <v>Male</v>
      </c>
      <c r="I172" s="6" t="str">
        <f t="shared" si="13"/>
        <v>Baidoa</v>
      </c>
      <c r="J172" s="6" t="str">
        <f t="shared" si="14"/>
        <v>Healthcare</v>
      </c>
      <c r="K172" s="6" t="str">
        <f t="shared" si="15"/>
        <v>Medium</v>
      </c>
      <c r="L172" s="6">
        <f t="shared" si="16"/>
        <v>2025</v>
      </c>
      <c r="M172" s="6">
        <f t="shared" si="17"/>
        <v>11</v>
      </c>
    </row>
    <row r="173" spans="1:13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12"/>
        <v>Male</v>
      </c>
      <c r="I173" s="6" t="str">
        <f t="shared" si="13"/>
        <v>Mogadishu</v>
      </c>
      <c r="J173" s="6" t="str">
        <f t="shared" si="14"/>
        <v>Business Owner</v>
      </c>
      <c r="K173" s="6" t="str">
        <f t="shared" si="15"/>
        <v>Medium</v>
      </c>
      <c r="L173" s="6">
        <f t="shared" si="16"/>
        <v>2025</v>
      </c>
      <c r="M173" s="6">
        <f t="shared" si="17"/>
        <v>11</v>
      </c>
    </row>
    <row r="174" spans="1:13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12"/>
        <v>Female</v>
      </c>
      <c r="I174" s="6" t="str">
        <f t="shared" si="13"/>
        <v>Mogadishu</v>
      </c>
      <c r="J174" s="6" t="str">
        <f t="shared" si="14"/>
        <v>Business Owner</v>
      </c>
      <c r="K174" s="6" t="str">
        <f t="shared" si="15"/>
        <v>Medium</v>
      </c>
      <c r="L174" s="6">
        <f t="shared" si="16"/>
        <v>2025</v>
      </c>
      <c r="M174" s="6">
        <f t="shared" si="17"/>
        <v>11</v>
      </c>
    </row>
    <row r="175" spans="1:13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12"/>
        <v>Female</v>
      </c>
      <c r="I175" s="6" t="str">
        <f t="shared" si="13"/>
        <v>Kismayo</v>
      </c>
      <c r="J175" s="6" t="str">
        <f t="shared" si="14"/>
        <v>Engineer</v>
      </c>
      <c r="K175" s="6" t="str">
        <f t="shared" si="15"/>
        <v>Low</v>
      </c>
      <c r="L175" s="6">
        <f t="shared" si="16"/>
        <v>2025</v>
      </c>
      <c r="M175" s="6">
        <f t="shared" si="17"/>
        <v>11</v>
      </c>
    </row>
    <row r="176" spans="1:13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12"/>
        <v>Male</v>
      </c>
      <c r="I176" s="6" t="str">
        <f t="shared" si="13"/>
        <v>Mogadishu</v>
      </c>
      <c r="J176" s="6" t="str">
        <f t="shared" si="14"/>
        <v>Teacher</v>
      </c>
      <c r="K176" s="6" t="str">
        <f t="shared" si="15"/>
        <v>Low</v>
      </c>
      <c r="L176" s="6">
        <f t="shared" si="16"/>
        <v>2025</v>
      </c>
      <c r="M176" s="6">
        <f t="shared" si="17"/>
        <v>11</v>
      </c>
    </row>
    <row r="177" spans="1:13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12"/>
        <v>Female</v>
      </c>
      <c r="I177" s="6" t="str">
        <f t="shared" si="13"/>
        <v>Mogadishu</v>
      </c>
      <c r="J177" s="6" t="str">
        <f t="shared" si="14"/>
        <v>Business Owner</v>
      </c>
      <c r="K177" s="6" t="str">
        <f t="shared" si="15"/>
        <v>High</v>
      </c>
      <c r="L177" s="6">
        <f t="shared" si="16"/>
        <v>2025</v>
      </c>
      <c r="M177" s="6">
        <f t="shared" si="17"/>
        <v>12</v>
      </c>
    </row>
    <row r="178" spans="1:13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12"/>
        <v>Female</v>
      </c>
      <c r="I178" s="6" t="str">
        <f t="shared" si="13"/>
        <v>Garowe</v>
      </c>
      <c r="J178" s="6" t="str">
        <f t="shared" si="14"/>
        <v>Teacher</v>
      </c>
      <c r="K178" s="6" t="str">
        <f t="shared" si="15"/>
        <v>Medium</v>
      </c>
      <c r="L178" s="6">
        <f t="shared" si="16"/>
        <v>2025</v>
      </c>
      <c r="M178" s="6">
        <f t="shared" si="17"/>
        <v>12</v>
      </c>
    </row>
    <row r="179" spans="1:13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12"/>
        <v>Female</v>
      </c>
      <c r="I179" s="6" t="str">
        <f t="shared" si="13"/>
        <v>Kismayo</v>
      </c>
      <c r="J179" s="6" t="str">
        <f t="shared" si="14"/>
        <v>Business Owner</v>
      </c>
      <c r="K179" s="6" t="str">
        <f t="shared" si="15"/>
        <v>Medium</v>
      </c>
      <c r="L179" s="6">
        <f t="shared" si="16"/>
        <v>2025</v>
      </c>
      <c r="M179" s="6">
        <f t="shared" si="17"/>
        <v>12</v>
      </c>
    </row>
    <row r="180" spans="1:13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12"/>
        <v>Female</v>
      </c>
      <c r="I180" s="6" t="str">
        <f t="shared" si="13"/>
        <v>Mogadishu</v>
      </c>
      <c r="J180" s="6" t="str">
        <f t="shared" si="14"/>
        <v>Engineer</v>
      </c>
      <c r="K180" s="6" t="str">
        <f t="shared" si="15"/>
        <v>Low</v>
      </c>
      <c r="L180" s="6">
        <f t="shared" si="16"/>
        <v>2025</v>
      </c>
      <c r="M180" s="6">
        <f t="shared" si="17"/>
        <v>12</v>
      </c>
    </row>
    <row r="181" spans="1:13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12"/>
        <v>Male</v>
      </c>
      <c r="I181" s="6" t="str">
        <f t="shared" si="13"/>
        <v>Kismayo</v>
      </c>
      <c r="J181" s="6" t="str">
        <f t="shared" si="14"/>
        <v>Engineer</v>
      </c>
      <c r="K181" s="6" t="str">
        <f t="shared" si="15"/>
        <v>Medium</v>
      </c>
      <c r="L181" s="6">
        <f t="shared" si="16"/>
        <v>2025</v>
      </c>
      <c r="M181" s="6">
        <f t="shared" si="17"/>
        <v>12</v>
      </c>
    </row>
    <row r="182" spans="1:13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12"/>
        <v>Male</v>
      </c>
      <c r="I182" s="6" t="str">
        <f t="shared" si="13"/>
        <v>Bosaso</v>
      </c>
      <c r="J182" s="6" t="str">
        <f t="shared" si="14"/>
        <v>Self-Employed</v>
      </c>
      <c r="K182" s="6" t="str">
        <f t="shared" si="15"/>
        <v>Low</v>
      </c>
      <c r="L182" s="6">
        <f t="shared" si="16"/>
        <v>2025</v>
      </c>
      <c r="M182" s="6">
        <f t="shared" si="17"/>
        <v>12</v>
      </c>
    </row>
    <row r="183" spans="1:13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12"/>
        <v>Missing</v>
      </c>
      <c r="I183" s="6" t="str">
        <f t="shared" si="13"/>
        <v>Bosaso</v>
      </c>
      <c r="J183" s="6" t="str">
        <f t="shared" si="14"/>
        <v>Self-Employed</v>
      </c>
      <c r="K183" s="6" t="str">
        <f t="shared" si="15"/>
        <v>Low</v>
      </c>
      <c r="L183" s="6">
        <f t="shared" si="16"/>
        <v>2025</v>
      </c>
      <c r="M183" s="6">
        <f t="shared" si="17"/>
        <v>12</v>
      </c>
    </row>
    <row r="184" spans="1:13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12"/>
        <v>Male</v>
      </c>
      <c r="I184" s="6" t="str">
        <f t="shared" si="13"/>
        <v>Missing</v>
      </c>
      <c r="J184" s="6" t="str">
        <f t="shared" si="14"/>
        <v>Business Owner</v>
      </c>
      <c r="K184" s="6" t="str">
        <f t="shared" si="15"/>
        <v>High</v>
      </c>
      <c r="L184" s="6">
        <f t="shared" si="16"/>
        <v>2025</v>
      </c>
      <c r="M184" s="6">
        <f t="shared" si="17"/>
        <v>12</v>
      </c>
    </row>
    <row r="185" spans="1:13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12"/>
        <v>Male</v>
      </c>
      <c r="I185" s="6" t="str">
        <f t="shared" si="13"/>
        <v>Hargeisa</v>
      </c>
      <c r="J185" s="6" t="str">
        <f t="shared" si="14"/>
        <v>Healthcare</v>
      </c>
      <c r="K185" s="6" t="str">
        <f t="shared" si="15"/>
        <v>Low</v>
      </c>
      <c r="L185" s="6">
        <f t="shared" si="16"/>
        <v>2025</v>
      </c>
      <c r="M185" s="6">
        <f t="shared" si="17"/>
        <v>12</v>
      </c>
    </row>
    <row r="186" spans="1:13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12"/>
        <v>Female</v>
      </c>
      <c r="I186" s="6" t="str">
        <f t="shared" si="13"/>
        <v>Baidoa</v>
      </c>
      <c r="J186" s="6" t="str">
        <f t="shared" si="14"/>
        <v>Engineer</v>
      </c>
      <c r="K186" s="6" t="str">
        <f t="shared" si="15"/>
        <v>Low</v>
      </c>
      <c r="L186" s="6">
        <f t="shared" si="16"/>
        <v>2025</v>
      </c>
      <c r="M186" s="6">
        <f t="shared" si="17"/>
        <v>12</v>
      </c>
    </row>
    <row r="187" spans="1:13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12"/>
        <v>Male</v>
      </c>
      <c r="I187" s="6" t="str">
        <f t="shared" si="13"/>
        <v>Mogadishu</v>
      </c>
      <c r="J187" s="6" t="str">
        <f t="shared" si="14"/>
        <v>Student</v>
      </c>
      <c r="K187" s="6" t="str">
        <f t="shared" si="15"/>
        <v>Low</v>
      </c>
      <c r="L187" s="6">
        <f t="shared" si="16"/>
        <v>2025</v>
      </c>
      <c r="M187" s="6">
        <f t="shared" si="17"/>
        <v>12</v>
      </c>
    </row>
    <row r="188" spans="1:13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12"/>
        <v>Female</v>
      </c>
      <c r="I188" s="6" t="str">
        <f t="shared" si="13"/>
        <v>Mogadishu</v>
      </c>
      <c r="J188" s="6" t="str">
        <f t="shared" si="14"/>
        <v>Self-Employed</v>
      </c>
      <c r="K188" s="6" t="str">
        <f t="shared" si="15"/>
        <v>Low</v>
      </c>
      <c r="L188" s="6">
        <f t="shared" si="16"/>
        <v>2025</v>
      </c>
      <c r="M188" s="6">
        <f t="shared" si="17"/>
        <v>12</v>
      </c>
    </row>
    <row r="189" spans="1:13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12"/>
        <v>Female</v>
      </c>
      <c r="I189" s="6" t="str">
        <f t="shared" si="13"/>
        <v>Bosaso</v>
      </c>
      <c r="J189" s="6" t="str">
        <f t="shared" si="14"/>
        <v>Business Owner</v>
      </c>
      <c r="K189" s="6" t="str">
        <f t="shared" si="15"/>
        <v>Medium</v>
      </c>
      <c r="L189" s="6">
        <f t="shared" si="16"/>
        <v>2025</v>
      </c>
      <c r="M189" s="6">
        <f t="shared" si="17"/>
        <v>12</v>
      </c>
    </row>
    <row r="190" spans="1:13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12"/>
        <v>Male</v>
      </c>
      <c r="I190" s="6" t="str">
        <f t="shared" si="13"/>
        <v>Garowe</v>
      </c>
      <c r="J190" s="6" t="str">
        <f t="shared" si="14"/>
        <v>Healthcare</v>
      </c>
      <c r="K190" s="6" t="str">
        <f t="shared" si="15"/>
        <v>Medium</v>
      </c>
      <c r="L190" s="6">
        <f t="shared" si="16"/>
        <v>2025</v>
      </c>
      <c r="M190" s="6">
        <f t="shared" si="17"/>
        <v>12</v>
      </c>
    </row>
    <row r="191" spans="1:13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12"/>
        <v>Missing</v>
      </c>
      <c r="I191" s="6" t="str">
        <f t="shared" si="13"/>
        <v>Mogadishu</v>
      </c>
      <c r="J191" s="6" t="str">
        <f t="shared" si="14"/>
        <v>Teacher</v>
      </c>
      <c r="K191" s="6" t="str">
        <f t="shared" si="15"/>
        <v>Low</v>
      </c>
      <c r="L191" s="6">
        <f t="shared" si="16"/>
        <v>2025</v>
      </c>
      <c r="M191" s="6">
        <f t="shared" si="17"/>
        <v>12</v>
      </c>
    </row>
    <row r="192" spans="1:13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12"/>
        <v>Female</v>
      </c>
      <c r="I192" s="6" t="str">
        <f t="shared" si="13"/>
        <v>Baidoa</v>
      </c>
      <c r="J192" s="6" t="str">
        <f t="shared" si="14"/>
        <v>Self-Employed</v>
      </c>
      <c r="K192" s="6" t="str">
        <f t="shared" si="15"/>
        <v>Low</v>
      </c>
      <c r="L192" s="6">
        <f t="shared" si="16"/>
        <v>2025</v>
      </c>
      <c r="M192" s="6">
        <f t="shared" si="17"/>
        <v>12</v>
      </c>
    </row>
    <row r="193" spans="1:13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12"/>
        <v>Female</v>
      </c>
      <c r="I193" s="6" t="str">
        <f t="shared" si="13"/>
        <v>Missing</v>
      </c>
      <c r="J193" s="6" t="str">
        <f t="shared" si="14"/>
        <v>Self-Employed</v>
      </c>
      <c r="K193" s="6" t="str">
        <f t="shared" si="15"/>
        <v>Medium</v>
      </c>
      <c r="L193" s="6">
        <f t="shared" si="16"/>
        <v>2026</v>
      </c>
      <c r="M193" s="6">
        <f t="shared" si="17"/>
        <v>1</v>
      </c>
    </row>
    <row r="194" spans="1:13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8">PROPER(TRIM(C194))</f>
        <v>Female</v>
      </c>
      <c r="I194" s="6" t="str">
        <f t="shared" ref="I194:I257" si="19">PROPER(TRIM(E194))</f>
        <v>Baidoa</v>
      </c>
      <c r="J194" s="6" t="str">
        <f t="shared" ref="J194:J257" si="20">PROPER(TRIM(SUBSTITUTE(F194,"CS","Civil Servant")))</f>
        <v>Student</v>
      </c>
      <c r="K194" s="6" t="str">
        <f t="shared" ref="K194:K257" si="21">IF(G194&gt;=1500,"High",IF(G194&gt;=800,"Medium","Low"))</f>
        <v>Low</v>
      </c>
      <c r="L194" s="6">
        <f t="shared" si="16"/>
        <v>2026</v>
      </c>
      <c r="M194" s="6">
        <f t="shared" si="17"/>
        <v>1</v>
      </c>
    </row>
    <row r="195" spans="1:13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8"/>
        <v>Female</v>
      </c>
      <c r="I195" s="6" t="str">
        <f t="shared" si="19"/>
        <v>Bosaso</v>
      </c>
      <c r="J195" s="6" t="str">
        <f t="shared" si="20"/>
        <v>Business Owner</v>
      </c>
      <c r="K195" s="6" t="str">
        <f t="shared" si="21"/>
        <v>High</v>
      </c>
      <c r="L195" s="6">
        <f t="shared" ref="L195:L258" si="22">IF(ISNUMBER(B195),YEAR(B195),"")</f>
        <v>2026</v>
      </c>
      <c r="M195" s="6">
        <f t="shared" ref="M195:M258" si="23">IF(ISNUMBER(B195),MONTH(B195),"")</f>
        <v>1</v>
      </c>
    </row>
    <row r="196" spans="1:13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8"/>
        <v>Female</v>
      </c>
      <c r="I196" s="6" t="str">
        <f t="shared" si="19"/>
        <v>Baidoa</v>
      </c>
      <c r="J196" s="6" t="str">
        <f t="shared" si="20"/>
        <v>Healthcare</v>
      </c>
      <c r="K196" s="6" t="str">
        <f t="shared" si="21"/>
        <v>Medium</v>
      </c>
      <c r="L196" s="6">
        <f t="shared" si="22"/>
        <v>2026</v>
      </c>
      <c r="M196" s="6">
        <f t="shared" si="23"/>
        <v>1</v>
      </c>
    </row>
    <row r="197" spans="1:13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8"/>
        <v>Male</v>
      </c>
      <c r="I197" s="6" t="str">
        <f t="shared" si="19"/>
        <v>Garowe</v>
      </c>
      <c r="J197" s="6" t="str">
        <f t="shared" si="20"/>
        <v>Teacher</v>
      </c>
      <c r="K197" s="6" t="str">
        <f t="shared" si="21"/>
        <v>Low</v>
      </c>
      <c r="L197" s="6">
        <f t="shared" si="22"/>
        <v>2026</v>
      </c>
      <c r="M197" s="6">
        <f t="shared" si="23"/>
        <v>1</v>
      </c>
    </row>
    <row r="198" spans="1:13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8"/>
        <v>Female</v>
      </c>
      <c r="I198" s="6" t="str">
        <f t="shared" si="19"/>
        <v>Mogadishu</v>
      </c>
      <c r="J198" s="6" t="str">
        <f t="shared" si="20"/>
        <v>Self-Employed</v>
      </c>
      <c r="K198" s="6" t="str">
        <f t="shared" si="21"/>
        <v>Medium</v>
      </c>
      <c r="L198" s="6">
        <f t="shared" si="22"/>
        <v>2026</v>
      </c>
      <c r="M198" s="6">
        <f t="shared" si="23"/>
        <v>1</v>
      </c>
    </row>
    <row r="199" spans="1:13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8"/>
        <v>Female</v>
      </c>
      <c r="I199" s="6" t="str">
        <f t="shared" si="19"/>
        <v>Bosaso</v>
      </c>
      <c r="J199" s="6" t="str">
        <f t="shared" si="20"/>
        <v>Student</v>
      </c>
      <c r="K199" s="6" t="str">
        <f t="shared" si="21"/>
        <v>Medium</v>
      </c>
      <c r="L199" s="6">
        <f t="shared" si="22"/>
        <v>2026</v>
      </c>
      <c r="M199" s="6">
        <f t="shared" si="23"/>
        <v>1</v>
      </c>
    </row>
    <row r="200" spans="1:13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8"/>
        <v>Female</v>
      </c>
      <c r="I200" s="6" t="str">
        <f t="shared" si="19"/>
        <v>Missing</v>
      </c>
      <c r="J200" s="6" t="str">
        <f t="shared" si="20"/>
        <v>Self-Employed</v>
      </c>
      <c r="K200" s="6" t="str">
        <f t="shared" si="21"/>
        <v>Low</v>
      </c>
      <c r="L200" s="6">
        <f t="shared" si="22"/>
        <v>2026</v>
      </c>
      <c r="M200" s="6">
        <f t="shared" si="23"/>
        <v>1</v>
      </c>
    </row>
    <row r="201" spans="1:13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8"/>
        <v>Female</v>
      </c>
      <c r="I201" s="6" t="str">
        <f t="shared" si="19"/>
        <v>Missing</v>
      </c>
      <c r="J201" s="6" t="str">
        <f t="shared" si="20"/>
        <v>Teacher</v>
      </c>
      <c r="K201" s="6" t="str">
        <f t="shared" si="21"/>
        <v>Medium</v>
      </c>
      <c r="L201" s="6">
        <f t="shared" si="22"/>
        <v>2026</v>
      </c>
      <c r="M201" s="6">
        <f t="shared" si="23"/>
        <v>1</v>
      </c>
    </row>
    <row r="202" spans="1:13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8"/>
        <v>Female</v>
      </c>
      <c r="I202" s="6" t="str">
        <f t="shared" si="19"/>
        <v>Missing</v>
      </c>
      <c r="J202" s="6" t="str">
        <f t="shared" si="20"/>
        <v>Self-Employed</v>
      </c>
      <c r="K202" s="6" t="str">
        <f t="shared" si="21"/>
        <v>Low</v>
      </c>
      <c r="L202" s="6">
        <f t="shared" si="22"/>
        <v>2026</v>
      </c>
      <c r="M202" s="6">
        <f t="shared" si="23"/>
        <v>1</v>
      </c>
    </row>
    <row r="203" spans="1:13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8"/>
        <v>Female</v>
      </c>
      <c r="I203" s="6" t="str">
        <f t="shared" si="19"/>
        <v>Mogadishu</v>
      </c>
      <c r="J203" s="6" t="str">
        <f t="shared" si="20"/>
        <v>Self-Employed</v>
      </c>
      <c r="K203" s="6" t="str">
        <f t="shared" si="21"/>
        <v>Low</v>
      </c>
      <c r="L203" s="6">
        <f t="shared" si="22"/>
        <v>2026</v>
      </c>
      <c r="M203" s="6">
        <f t="shared" si="23"/>
        <v>1</v>
      </c>
    </row>
    <row r="204" spans="1:13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8"/>
        <v>Male</v>
      </c>
      <c r="I204" s="6" t="str">
        <f t="shared" si="19"/>
        <v>Kismayo</v>
      </c>
      <c r="J204" s="6" t="str">
        <f t="shared" si="20"/>
        <v>Engineer</v>
      </c>
      <c r="K204" s="6" t="str">
        <f t="shared" si="21"/>
        <v>Medium</v>
      </c>
      <c r="L204" s="6">
        <f t="shared" si="22"/>
        <v>2026</v>
      </c>
      <c r="M204" s="6">
        <f t="shared" si="23"/>
        <v>2</v>
      </c>
    </row>
    <row r="205" spans="1:13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8"/>
        <v>Male</v>
      </c>
      <c r="I205" s="6" t="str">
        <f t="shared" si="19"/>
        <v>Mogadishu</v>
      </c>
      <c r="J205" s="6" t="str">
        <f t="shared" si="20"/>
        <v>Engineer</v>
      </c>
      <c r="K205" s="6" t="str">
        <f t="shared" si="21"/>
        <v>Medium</v>
      </c>
      <c r="L205" s="6">
        <f t="shared" si="22"/>
        <v>2026</v>
      </c>
      <c r="M205" s="6">
        <f t="shared" si="23"/>
        <v>2</v>
      </c>
    </row>
    <row r="206" spans="1:13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8"/>
        <v>Male</v>
      </c>
      <c r="I206" s="6" t="str">
        <f t="shared" si="19"/>
        <v>Hargeisa</v>
      </c>
      <c r="J206" s="6" t="str">
        <f t="shared" si="20"/>
        <v>Healthcare</v>
      </c>
      <c r="K206" s="6" t="str">
        <f t="shared" si="21"/>
        <v>Low</v>
      </c>
      <c r="L206" s="6">
        <f t="shared" si="22"/>
        <v>2026</v>
      </c>
      <c r="M206" s="6">
        <f t="shared" si="23"/>
        <v>2</v>
      </c>
    </row>
    <row r="207" spans="1:13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8"/>
        <v>Female</v>
      </c>
      <c r="I207" s="6" t="str">
        <f t="shared" si="19"/>
        <v>Hargeisa</v>
      </c>
      <c r="J207" s="6" t="str">
        <f t="shared" si="20"/>
        <v>Civil Servant</v>
      </c>
      <c r="K207" s="6" t="str">
        <f t="shared" si="21"/>
        <v>Medium</v>
      </c>
      <c r="L207" s="6">
        <f t="shared" si="22"/>
        <v>2026</v>
      </c>
      <c r="M207" s="6">
        <f t="shared" si="23"/>
        <v>2</v>
      </c>
    </row>
    <row r="208" spans="1:13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8"/>
        <v>Male</v>
      </c>
      <c r="I208" s="6" t="str">
        <f t="shared" si="19"/>
        <v>Kismayo</v>
      </c>
      <c r="J208" s="6" t="str">
        <f t="shared" si="20"/>
        <v>Civil Servant</v>
      </c>
      <c r="K208" s="6" t="str">
        <f t="shared" si="21"/>
        <v>Low</v>
      </c>
      <c r="L208" s="6">
        <f t="shared" si="22"/>
        <v>2026</v>
      </c>
      <c r="M208" s="6">
        <f t="shared" si="23"/>
        <v>2</v>
      </c>
    </row>
    <row r="209" spans="1:13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8"/>
        <v>Missing</v>
      </c>
      <c r="I209" s="6" t="str">
        <f t="shared" si="19"/>
        <v>Mogadishu</v>
      </c>
      <c r="J209" s="6" t="str">
        <f t="shared" si="20"/>
        <v>Civil Servant</v>
      </c>
      <c r="K209" s="6" t="str">
        <f t="shared" si="21"/>
        <v>Medium</v>
      </c>
      <c r="L209" s="6">
        <f t="shared" si="22"/>
        <v>2026</v>
      </c>
      <c r="M209" s="6">
        <f t="shared" si="23"/>
        <v>2</v>
      </c>
    </row>
    <row r="210" spans="1:13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8"/>
        <v>Female</v>
      </c>
      <c r="I210" s="6" t="str">
        <f t="shared" si="19"/>
        <v>Mogadishu</v>
      </c>
      <c r="J210" s="6" t="str">
        <f t="shared" si="20"/>
        <v>Student</v>
      </c>
      <c r="K210" s="6" t="str">
        <f t="shared" si="21"/>
        <v>Low</v>
      </c>
      <c r="L210" s="6">
        <f t="shared" si="22"/>
        <v>2026</v>
      </c>
      <c r="M210" s="6">
        <f t="shared" si="23"/>
        <v>2</v>
      </c>
    </row>
    <row r="211" spans="1:13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8"/>
        <v>Female</v>
      </c>
      <c r="I211" s="6" t="str">
        <f t="shared" si="19"/>
        <v>Missing</v>
      </c>
      <c r="J211" s="6" t="str">
        <f t="shared" si="20"/>
        <v>Teacher</v>
      </c>
      <c r="K211" s="6" t="str">
        <f t="shared" si="21"/>
        <v>Medium</v>
      </c>
      <c r="L211" s="6">
        <f t="shared" si="22"/>
        <v>2026</v>
      </c>
      <c r="M211" s="6">
        <f t="shared" si="23"/>
        <v>2</v>
      </c>
    </row>
    <row r="212" spans="1:13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8"/>
        <v>Female</v>
      </c>
      <c r="I212" s="6" t="str">
        <f t="shared" si="19"/>
        <v>Mogadishu</v>
      </c>
      <c r="J212" s="6" t="str">
        <f t="shared" si="20"/>
        <v>Self-Employed</v>
      </c>
      <c r="K212" s="6" t="str">
        <f t="shared" si="21"/>
        <v>Medium</v>
      </c>
      <c r="L212" s="6">
        <f t="shared" si="22"/>
        <v>2026</v>
      </c>
      <c r="M212" s="6">
        <f t="shared" si="23"/>
        <v>2</v>
      </c>
    </row>
    <row r="213" spans="1:13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8"/>
        <v>Female</v>
      </c>
      <c r="I213" s="6" t="str">
        <f t="shared" si="19"/>
        <v>Hargeisa</v>
      </c>
      <c r="J213" s="6" t="str">
        <f t="shared" si="20"/>
        <v>Civil Servant</v>
      </c>
      <c r="K213" s="6" t="str">
        <f t="shared" si="21"/>
        <v>Medium</v>
      </c>
      <c r="L213" s="6">
        <f t="shared" si="22"/>
        <v>2026</v>
      </c>
      <c r="M213" s="6">
        <f t="shared" si="23"/>
        <v>2</v>
      </c>
    </row>
    <row r="214" spans="1:13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8"/>
        <v>Female</v>
      </c>
      <c r="I214" s="6" t="str">
        <f t="shared" si="19"/>
        <v>Bosaso</v>
      </c>
      <c r="J214" s="6" t="str">
        <f t="shared" si="20"/>
        <v>Engineer</v>
      </c>
      <c r="K214" s="6" t="str">
        <f t="shared" si="21"/>
        <v>Medium</v>
      </c>
      <c r="L214" s="6">
        <f t="shared" si="22"/>
        <v>2026</v>
      </c>
      <c r="M214" s="6">
        <f t="shared" si="23"/>
        <v>2</v>
      </c>
    </row>
    <row r="215" spans="1:13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8"/>
        <v>Female</v>
      </c>
      <c r="I215" s="6" t="str">
        <f t="shared" si="19"/>
        <v>Hargeisa</v>
      </c>
      <c r="J215" s="6" t="str">
        <f t="shared" si="20"/>
        <v>Civil Servant</v>
      </c>
      <c r="K215" s="6" t="str">
        <f t="shared" si="21"/>
        <v>Medium</v>
      </c>
      <c r="L215" s="6">
        <f t="shared" si="22"/>
        <v>2026</v>
      </c>
      <c r="M215" s="6">
        <f t="shared" si="23"/>
        <v>2</v>
      </c>
    </row>
    <row r="216" spans="1:13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8"/>
        <v>Male</v>
      </c>
      <c r="I216" s="6" t="str">
        <f t="shared" si="19"/>
        <v>Bosaso</v>
      </c>
      <c r="J216" s="6" t="str">
        <f t="shared" si="20"/>
        <v>Healthcare</v>
      </c>
      <c r="K216" s="6" t="str">
        <f t="shared" si="21"/>
        <v>Medium</v>
      </c>
      <c r="L216" s="6">
        <f t="shared" si="22"/>
        <v>2026</v>
      </c>
      <c r="M216" s="6">
        <f t="shared" si="23"/>
        <v>2</v>
      </c>
    </row>
    <row r="217" spans="1:13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8"/>
        <v>Male</v>
      </c>
      <c r="I217" s="6" t="str">
        <f t="shared" si="19"/>
        <v>Garowe</v>
      </c>
      <c r="J217" s="6" t="str">
        <f t="shared" si="20"/>
        <v>Engineer</v>
      </c>
      <c r="K217" s="6" t="str">
        <f t="shared" si="21"/>
        <v>Low</v>
      </c>
      <c r="L217" s="6">
        <f t="shared" si="22"/>
        <v>2026</v>
      </c>
      <c r="M217" s="6">
        <f t="shared" si="23"/>
        <v>2</v>
      </c>
    </row>
    <row r="218" spans="1:13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8"/>
        <v>Female</v>
      </c>
      <c r="I218" s="6" t="str">
        <f t="shared" si="19"/>
        <v>Bosaso</v>
      </c>
      <c r="J218" s="6" t="str">
        <f t="shared" si="20"/>
        <v>Healthcare</v>
      </c>
      <c r="K218" s="6" t="str">
        <f t="shared" si="21"/>
        <v>Medium</v>
      </c>
      <c r="L218" s="6">
        <f t="shared" si="22"/>
        <v>2026</v>
      </c>
      <c r="M218" s="6">
        <f t="shared" si="23"/>
        <v>2</v>
      </c>
    </row>
    <row r="219" spans="1:13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8"/>
        <v>Female</v>
      </c>
      <c r="I219" s="6" t="str">
        <f t="shared" si="19"/>
        <v>Mogadishu</v>
      </c>
      <c r="J219" s="6" t="str">
        <f t="shared" si="20"/>
        <v>Engineer</v>
      </c>
      <c r="K219" s="6" t="str">
        <f t="shared" si="21"/>
        <v>Medium</v>
      </c>
      <c r="L219" s="6">
        <f t="shared" si="22"/>
        <v>2026</v>
      </c>
      <c r="M219" s="6">
        <f t="shared" si="23"/>
        <v>2</v>
      </c>
    </row>
    <row r="220" spans="1:13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8"/>
        <v>Female</v>
      </c>
      <c r="I220" s="6" t="str">
        <f t="shared" si="19"/>
        <v>Kismayo</v>
      </c>
      <c r="J220" s="6" t="str">
        <f t="shared" si="20"/>
        <v>Civil Servant</v>
      </c>
      <c r="K220" s="6" t="str">
        <f t="shared" si="21"/>
        <v>Low</v>
      </c>
      <c r="L220" s="6">
        <f t="shared" si="22"/>
        <v>2026</v>
      </c>
      <c r="M220" s="6">
        <f t="shared" si="23"/>
        <v>3</v>
      </c>
    </row>
    <row r="221" spans="1:13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8"/>
        <v>Female</v>
      </c>
      <c r="I221" s="6" t="str">
        <f t="shared" si="19"/>
        <v>Mogadishu</v>
      </c>
      <c r="J221" s="6" t="str">
        <f t="shared" si="20"/>
        <v>Healthcare</v>
      </c>
      <c r="K221" s="6" t="str">
        <f t="shared" si="21"/>
        <v>Medium</v>
      </c>
      <c r="L221" s="6">
        <f t="shared" si="22"/>
        <v>2026</v>
      </c>
      <c r="M221" s="6">
        <f t="shared" si="23"/>
        <v>3</v>
      </c>
    </row>
    <row r="222" spans="1:13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8"/>
        <v>Female</v>
      </c>
      <c r="I222" s="6" t="str">
        <f t="shared" si="19"/>
        <v>Mogadishu</v>
      </c>
      <c r="J222" s="6" t="str">
        <f t="shared" si="20"/>
        <v>Teacher</v>
      </c>
      <c r="K222" s="6" t="str">
        <f t="shared" si="21"/>
        <v>Low</v>
      </c>
      <c r="L222" s="6">
        <f t="shared" si="22"/>
        <v>2026</v>
      </c>
      <c r="M222" s="6">
        <f t="shared" si="23"/>
        <v>3</v>
      </c>
    </row>
    <row r="223" spans="1:13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8"/>
        <v>Female</v>
      </c>
      <c r="I223" s="6" t="str">
        <f t="shared" si="19"/>
        <v>Mogadishu</v>
      </c>
      <c r="J223" s="6" t="str">
        <f t="shared" si="20"/>
        <v>Missing</v>
      </c>
      <c r="K223" s="6" t="str">
        <f t="shared" si="21"/>
        <v>Low</v>
      </c>
      <c r="L223" s="6">
        <f t="shared" si="22"/>
        <v>2026</v>
      </c>
      <c r="M223" s="6">
        <f t="shared" si="23"/>
        <v>3</v>
      </c>
    </row>
    <row r="224" spans="1:13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8"/>
        <v>Female</v>
      </c>
      <c r="I224" s="6" t="str">
        <f t="shared" si="19"/>
        <v>Bosaso</v>
      </c>
      <c r="J224" s="6" t="str">
        <f t="shared" si="20"/>
        <v>Teacher</v>
      </c>
      <c r="K224" s="6" t="str">
        <f t="shared" si="21"/>
        <v>Low</v>
      </c>
      <c r="L224" s="6">
        <f t="shared" si="22"/>
        <v>2026</v>
      </c>
      <c r="M224" s="6">
        <f t="shared" si="23"/>
        <v>3</v>
      </c>
    </row>
    <row r="225" spans="1:13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8"/>
        <v>Male</v>
      </c>
      <c r="I225" s="6" t="str">
        <f t="shared" si="19"/>
        <v>Mogadishu</v>
      </c>
      <c r="J225" s="6" t="str">
        <f t="shared" si="20"/>
        <v>Business Owner</v>
      </c>
      <c r="K225" s="6" t="str">
        <f t="shared" si="21"/>
        <v>Medium</v>
      </c>
      <c r="L225" s="6">
        <f t="shared" si="22"/>
        <v>2026</v>
      </c>
      <c r="M225" s="6">
        <f t="shared" si="23"/>
        <v>3</v>
      </c>
    </row>
    <row r="226" spans="1:13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8"/>
        <v>Female</v>
      </c>
      <c r="I226" s="6" t="str">
        <f t="shared" si="19"/>
        <v>Mogadishu</v>
      </c>
      <c r="J226" s="6" t="str">
        <f t="shared" si="20"/>
        <v>Self-Employed</v>
      </c>
      <c r="K226" s="6" t="str">
        <f t="shared" si="21"/>
        <v>Medium</v>
      </c>
      <c r="L226" s="6">
        <f t="shared" si="22"/>
        <v>2026</v>
      </c>
      <c r="M226" s="6">
        <f t="shared" si="23"/>
        <v>3</v>
      </c>
    </row>
    <row r="227" spans="1:13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8"/>
        <v>Male</v>
      </c>
      <c r="I227" s="6" t="str">
        <f t="shared" si="19"/>
        <v>Baidoa</v>
      </c>
      <c r="J227" s="6" t="str">
        <f t="shared" si="20"/>
        <v>Student</v>
      </c>
      <c r="K227" s="6" t="str">
        <f t="shared" si="21"/>
        <v>Low</v>
      </c>
      <c r="L227" s="6">
        <f t="shared" si="22"/>
        <v>2026</v>
      </c>
      <c r="M227" s="6">
        <f t="shared" si="23"/>
        <v>3</v>
      </c>
    </row>
    <row r="228" spans="1:13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8"/>
        <v>Male</v>
      </c>
      <c r="I228" s="6" t="str">
        <f t="shared" si="19"/>
        <v>Bosaso</v>
      </c>
      <c r="J228" s="6" t="str">
        <f t="shared" si="20"/>
        <v>Business Owner</v>
      </c>
      <c r="K228" s="6" t="str">
        <f t="shared" si="21"/>
        <v>Low</v>
      </c>
      <c r="L228" s="6">
        <f t="shared" si="22"/>
        <v>2026</v>
      </c>
      <c r="M228" s="6">
        <f t="shared" si="23"/>
        <v>3</v>
      </c>
    </row>
    <row r="229" spans="1:13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8"/>
        <v>Female</v>
      </c>
      <c r="I229" s="6" t="str">
        <f t="shared" si="19"/>
        <v>Hargeisa</v>
      </c>
      <c r="J229" s="6" t="str">
        <f t="shared" si="20"/>
        <v>Healthcare</v>
      </c>
      <c r="K229" s="6" t="str">
        <f t="shared" si="21"/>
        <v>Low</v>
      </c>
      <c r="L229" s="6">
        <f t="shared" si="22"/>
        <v>2026</v>
      </c>
      <c r="M229" s="6">
        <f t="shared" si="23"/>
        <v>3</v>
      </c>
    </row>
    <row r="230" spans="1:13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8"/>
        <v>Female</v>
      </c>
      <c r="I230" s="6" t="str">
        <f t="shared" si="19"/>
        <v>Bosaso</v>
      </c>
      <c r="J230" s="6" t="str">
        <f t="shared" si="20"/>
        <v>Business Owner</v>
      </c>
      <c r="K230" s="6" t="str">
        <f t="shared" si="21"/>
        <v>Medium</v>
      </c>
      <c r="L230" s="6">
        <f t="shared" si="22"/>
        <v>2026</v>
      </c>
      <c r="M230" s="6">
        <f t="shared" si="23"/>
        <v>3</v>
      </c>
    </row>
    <row r="231" spans="1:13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8"/>
        <v>Female</v>
      </c>
      <c r="I231" s="6" t="str">
        <f t="shared" si="19"/>
        <v>Missing</v>
      </c>
      <c r="J231" s="6" t="str">
        <f t="shared" si="20"/>
        <v>Self-Employed</v>
      </c>
      <c r="K231" s="6" t="str">
        <f t="shared" si="21"/>
        <v>Low</v>
      </c>
      <c r="L231" s="6">
        <f t="shared" si="22"/>
        <v>2026</v>
      </c>
      <c r="M231" s="6">
        <f t="shared" si="23"/>
        <v>4</v>
      </c>
    </row>
    <row r="232" spans="1:13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8"/>
        <v>Male</v>
      </c>
      <c r="I232" s="6" t="str">
        <f t="shared" si="19"/>
        <v>Mogadishu</v>
      </c>
      <c r="J232" s="6" t="str">
        <f t="shared" si="20"/>
        <v>Engineer</v>
      </c>
      <c r="K232" s="6" t="str">
        <f t="shared" si="21"/>
        <v>Medium</v>
      </c>
      <c r="L232" s="6">
        <f t="shared" si="22"/>
        <v>2026</v>
      </c>
      <c r="M232" s="6">
        <f t="shared" si="23"/>
        <v>4</v>
      </c>
    </row>
    <row r="233" spans="1:13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8"/>
        <v>Male</v>
      </c>
      <c r="I233" s="6" t="str">
        <f t="shared" si="19"/>
        <v>Kismayo</v>
      </c>
      <c r="J233" s="6" t="str">
        <f t="shared" si="20"/>
        <v>Business Owner</v>
      </c>
      <c r="K233" s="6" t="str">
        <f t="shared" si="21"/>
        <v>Medium</v>
      </c>
      <c r="L233" s="6">
        <f t="shared" si="22"/>
        <v>2026</v>
      </c>
      <c r="M233" s="6">
        <f t="shared" si="23"/>
        <v>4</v>
      </c>
    </row>
    <row r="234" spans="1:13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8"/>
        <v>Female</v>
      </c>
      <c r="I234" s="6" t="str">
        <f t="shared" si="19"/>
        <v>Mogadishu</v>
      </c>
      <c r="J234" s="6" t="str">
        <f t="shared" si="20"/>
        <v>Civil Servant</v>
      </c>
      <c r="K234" s="6" t="str">
        <f t="shared" si="21"/>
        <v>Medium</v>
      </c>
      <c r="L234" s="6">
        <f t="shared" si="22"/>
        <v>2026</v>
      </c>
      <c r="M234" s="6">
        <f t="shared" si="23"/>
        <v>4</v>
      </c>
    </row>
    <row r="235" spans="1:13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8"/>
        <v>Female</v>
      </c>
      <c r="I235" s="6" t="str">
        <f t="shared" si="19"/>
        <v>Hargeisa</v>
      </c>
      <c r="J235" s="6" t="str">
        <f t="shared" si="20"/>
        <v>Student</v>
      </c>
      <c r="K235" s="6" t="str">
        <f t="shared" si="21"/>
        <v>Low</v>
      </c>
      <c r="L235" s="6">
        <f t="shared" si="22"/>
        <v>2026</v>
      </c>
      <c r="M235" s="6">
        <f t="shared" si="23"/>
        <v>4</v>
      </c>
    </row>
    <row r="236" spans="1:13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8"/>
        <v>Female</v>
      </c>
      <c r="I236" s="6" t="str">
        <f t="shared" si="19"/>
        <v>Kismayo</v>
      </c>
      <c r="J236" s="6" t="str">
        <f t="shared" si="20"/>
        <v>Business Owner</v>
      </c>
      <c r="K236" s="6" t="str">
        <f t="shared" si="21"/>
        <v>Low</v>
      </c>
      <c r="L236" s="6">
        <f t="shared" si="22"/>
        <v>2026</v>
      </c>
      <c r="M236" s="6">
        <f t="shared" si="23"/>
        <v>4</v>
      </c>
    </row>
    <row r="237" spans="1:13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8"/>
        <v>Female</v>
      </c>
      <c r="I237" s="6" t="str">
        <f t="shared" si="19"/>
        <v>Kismayo</v>
      </c>
      <c r="J237" s="6" t="str">
        <f t="shared" si="20"/>
        <v>Teacher</v>
      </c>
      <c r="K237" s="6" t="str">
        <f t="shared" si="21"/>
        <v>Low</v>
      </c>
      <c r="L237" s="6">
        <f t="shared" si="22"/>
        <v>2026</v>
      </c>
      <c r="M237" s="6">
        <f t="shared" si="23"/>
        <v>4</v>
      </c>
    </row>
    <row r="238" spans="1:13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8"/>
        <v>Male</v>
      </c>
      <c r="I238" s="6" t="str">
        <f t="shared" si="19"/>
        <v>Hargeisa</v>
      </c>
      <c r="J238" s="6" t="str">
        <f t="shared" si="20"/>
        <v>Healthcare</v>
      </c>
      <c r="K238" s="6" t="str">
        <f t="shared" si="21"/>
        <v>Medium</v>
      </c>
      <c r="L238" s="6">
        <f t="shared" si="22"/>
        <v>2026</v>
      </c>
      <c r="M238" s="6">
        <f t="shared" si="23"/>
        <v>4</v>
      </c>
    </row>
    <row r="239" spans="1:13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8"/>
        <v>Female</v>
      </c>
      <c r="I239" s="6" t="str">
        <f t="shared" si="19"/>
        <v>Mogadishu</v>
      </c>
      <c r="J239" s="6" t="str">
        <f t="shared" si="20"/>
        <v>Business Owner</v>
      </c>
      <c r="K239" s="6" t="str">
        <f t="shared" si="21"/>
        <v>Low</v>
      </c>
      <c r="L239" s="6">
        <f t="shared" si="22"/>
        <v>2026</v>
      </c>
      <c r="M239" s="6">
        <f t="shared" si="23"/>
        <v>5</v>
      </c>
    </row>
    <row r="240" spans="1:13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8"/>
        <v>Female</v>
      </c>
      <c r="I240" s="6" t="str">
        <f t="shared" si="19"/>
        <v>Bosaso</v>
      </c>
      <c r="J240" s="6" t="str">
        <f t="shared" si="20"/>
        <v>Student</v>
      </c>
      <c r="K240" s="6" t="str">
        <f t="shared" si="21"/>
        <v>Low</v>
      </c>
      <c r="L240" s="6">
        <f t="shared" si="22"/>
        <v>2026</v>
      </c>
      <c r="M240" s="6">
        <f t="shared" si="23"/>
        <v>5</v>
      </c>
    </row>
    <row r="241" spans="1:13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8"/>
        <v>Male</v>
      </c>
      <c r="I241" s="6" t="str">
        <f t="shared" si="19"/>
        <v>Mogadishu</v>
      </c>
      <c r="J241" s="6" t="str">
        <f t="shared" si="20"/>
        <v>Healthcare</v>
      </c>
      <c r="K241" s="6" t="str">
        <f t="shared" si="21"/>
        <v>Medium</v>
      </c>
      <c r="L241" s="6">
        <f t="shared" si="22"/>
        <v>2026</v>
      </c>
      <c r="M241" s="6">
        <f t="shared" si="23"/>
        <v>5</v>
      </c>
    </row>
    <row r="242" spans="1:13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8"/>
        <v>Male</v>
      </c>
      <c r="I242" s="6" t="str">
        <f t="shared" si="19"/>
        <v>Mogadishu</v>
      </c>
      <c r="J242" s="6" t="str">
        <f t="shared" si="20"/>
        <v>Civil Servant</v>
      </c>
      <c r="K242" s="6" t="str">
        <f t="shared" si="21"/>
        <v>Medium</v>
      </c>
      <c r="L242" s="6">
        <f t="shared" si="22"/>
        <v>2026</v>
      </c>
      <c r="M242" s="6">
        <f t="shared" si="23"/>
        <v>5</v>
      </c>
    </row>
    <row r="243" spans="1:13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8"/>
        <v>Female</v>
      </c>
      <c r="I243" s="6" t="str">
        <f t="shared" si="19"/>
        <v>Mogadishu</v>
      </c>
      <c r="J243" s="6" t="str">
        <f t="shared" si="20"/>
        <v>Self-Employed</v>
      </c>
      <c r="K243" s="6" t="str">
        <f t="shared" si="21"/>
        <v>Medium</v>
      </c>
      <c r="L243" s="6">
        <f t="shared" si="22"/>
        <v>2026</v>
      </c>
      <c r="M243" s="6">
        <f t="shared" si="23"/>
        <v>5</v>
      </c>
    </row>
    <row r="244" spans="1:13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8"/>
        <v>Male</v>
      </c>
      <c r="I244" s="6" t="str">
        <f t="shared" si="19"/>
        <v>Bosaso</v>
      </c>
      <c r="J244" s="6" t="str">
        <f t="shared" si="20"/>
        <v>Business Owner</v>
      </c>
      <c r="K244" s="6" t="str">
        <f t="shared" si="21"/>
        <v>Medium</v>
      </c>
      <c r="L244" s="6">
        <f t="shared" si="22"/>
        <v>2026</v>
      </c>
      <c r="M244" s="6">
        <f t="shared" si="23"/>
        <v>5</v>
      </c>
    </row>
    <row r="245" spans="1:13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8"/>
        <v>Female</v>
      </c>
      <c r="I245" s="6" t="str">
        <f t="shared" si="19"/>
        <v>Hargeisa</v>
      </c>
      <c r="J245" s="6" t="str">
        <f t="shared" si="20"/>
        <v>Business Owner</v>
      </c>
      <c r="K245" s="6" t="str">
        <f t="shared" si="21"/>
        <v>Low</v>
      </c>
      <c r="L245" s="6">
        <f t="shared" si="22"/>
        <v>2026</v>
      </c>
      <c r="M245" s="6">
        <f t="shared" si="23"/>
        <v>5</v>
      </c>
    </row>
    <row r="246" spans="1:13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8"/>
        <v>Female</v>
      </c>
      <c r="I246" s="6" t="str">
        <f t="shared" si="19"/>
        <v>Hargeisa</v>
      </c>
      <c r="J246" s="6" t="str">
        <f t="shared" si="20"/>
        <v>Student</v>
      </c>
      <c r="K246" s="6" t="str">
        <f t="shared" si="21"/>
        <v>Low</v>
      </c>
      <c r="L246" s="6">
        <f t="shared" si="22"/>
        <v>2026</v>
      </c>
      <c r="M246" s="6">
        <f t="shared" si="23"/>
        <v>5</v>
      </c>
    </row>
    <row r="247" spans="1:13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8"/>
        <v>Missing</v>
      </c>
      <c r="I247" s="6" t="str">
        <f t="shared" si="19"/>
        <v>Baidoa</v>
      </c>
      <c r="J247" s="6" t="str">
        <f t="shared" si="20"/>
        <v>Business Owner</v>
      </c>
      <c r="K247" s="6" t="str">
        <f t="shared" si="21"/>
        <v>Medium</v>
      </c>
      <c r="L247" s="6">
        <f t="shared" si="22"/>
        <v>2026</v>
      </c>
      <c r="M247" s="6">
        <f t="shared" si="23"/>
        <v>5</v>
      </c>
    </row>
    <row r="248" spans="1:13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8"/>
        <v>Female</v>
      </c>
      <c r="I248" s="6" t="str">
        <f t="shared" si="19"/>
        <v>Mogadishu</v>
      </c>
      <c r="J248" s="6" t="str">
        <f t="shared" si="20"/>
        <v>Business Owner</v>
      </c>
      <c r="K248" s="6" t="str">
        <f t="shared" si="21"/>
        <v>High</v>
      </c>
      <c r="L248" s="6">
        <f t="shared" si="22"/>
        <v>2026</v>
      </c>
      <c r="M248" s="6">
        <f t="shared" si="23"/>
        <v>5</v>
      </c>
    </row>
    <row r="249" spans="1:13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8"/>
        <v>Female</v>
      </c>
      <c r="I249" s="6" t="str">
        <f t="shared" si="19"/>
        <v>Hargeisa</v>
      </c>
      <c r="J249" s="6" t="str">
        <f t="shared" si="20"/>
        <v>Missing</v>
      </c>
      <c r="K249" s="6" t="str">
        <f t="shared" si="21"/>
        <v>Low</v>
      </c>
      <c r="L249" s="6">
        <f t="shared" si="22"/>
        <v>2026</v>
      </c>
      <c r="M249" s="6">
        <f t="shared" si="23"/>
        <v>5</v>
      </c>
    </row>
    <row r="250" spans="1:13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8"/>
        <v>Female</v>
      </c>
      <c r="I250" s="6" t="str">
        <f t="shared" si="19"/>
        <v>Bosaso</v>
      </c>
      <c r="J250" s="6" t="str">
        <f t="shared" si="20"/>
        <v>Healthcare</v>
      </c>
      <c r="K250" s="6" t="str">
        <f t="shared" si="21"/>
        <v>Medium</v>
      </c>
      <c r="L250" s="6">
        <f t="shared" si="22"/>
        <v>2026</v>
      </c>
      <c r="M250" s="6">
        <f t="shared" si="23"/>
        <v>5</v>
      </c>
    </row>
    <row r="251" spans="1:13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8"/>
        <v>Female</v>
      </c>
      <c r="I251" s="6" t="str">
        <f t="shared" si="19"/>
        <v>Mogadishu</v>
      </c>
      <c r="J251" s="6" t="str">
        <f t="shared" si="20"/>
        <v>Engineer</v>
      </c>
      <c r="K251" s="6" t="str">
        <f t="shared" si="21"/>
        <v>Medium</v>
      </c>
      <c r="L251" s="6">
        <f t="shared" si="22"/>
        <v>2026</v>
      </c>
      <c r="M251" s="6">
        <f t="shared" si="23"/>
        <v>5</v>
      </c>
    </row>
    <row r="252" spans="1:13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8"/>
        <v>Female</v>
      </c>
      <c r="I252" s="6" t="str">
        <f t="shared" si="19"/>
        <v>Mogadishu</v>
      </c>
      <c r="J252" s="6" t="str">
        <f t="shared" si="20"/>
        <v>Self-Employed</v>
      </c>
      <c r="K252" s="6" t="str">
        <f t="shared" si="21"/>
        <v>Medium</v>
      </c>
      <c r="L252" s="6">
        <f t="shared" si="22"/>
        <v>2026</v>
      </c>
      <c r="M252" s="6">
        <f t="shared" si="23"/>
        <v>5</v>
      </c>
    </row>
    <row r="253" spans="1:13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8"/>
        <v>Male</v>
      </c>
      <c r="I253" s="6" t="str">
        <f t="shared" si="19"/>
        <v>Mogadishu</v>
      </c>
      <c r="J253" s="6" t="str">
        <f t="shared" si="20"/>
        <v>Healthcare</v>
      </c>
      <c r="K253" s="6" t="str">
        <f t="shared" si="21"/>
        <v>Medium</v>
      </c>
      <c r="L253" s="6">
        <f t="shared" si="22"/>
        <v>2026</v>
      </c>
      <c r="M253" s="6">
        <f t="shared" si="23"/>
        <v>5</v>
      </c>
    </row>
    <row r="254" spans="1:13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8"/>
        <v>Male</v>
      </c>
      <c r="I254" s="6" t="str">
        <f t="shared" si="19"/>
        <v>Hargeisa</v>
      </c>
      <c r="J254" s="6" t="str">
        <f t="shared" si="20"/>
        <v>Student</v>
      </c>
      <c r="K254" s="6" t="str">
        <f t="shared" si="21"/>
        <v>Low</v>
      </c>
      <c r="L254" s="6">
        <f t="shared" si="22"/>
        <v>2026</v>
      </c>
      <c r="M254" s="6">
        <f t="shared" si="23"/>
        <v>5</v>
      </c>
    </row>
    <row r="255" spans="1:13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8"/>
        <v>Female</v>
      </c>
      <c r="I255" s="6" t="str">
        <f t="shared" si="19"/>
        <v>Hargeisa</v>
      </c>
      <c r="J255" s="6" t="str">
        <f t="shared" si="20"/>
        <v>Missing</v>
      </c>
      <c r="K255" s="6" t="str">
        <f t="shared" si="21"/>
        <v>Low</v>
      </c>
      <c r="L255" s="6">
        <f t="shared" si="22"/>
        <v>2026</v>
      </c>
      <c r="M255" s="6">
        <f t="shared" si="23"/>
        <v>5</v>
      </c>
    </row>
    <row r="256" spans="1:13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8"/>
        <v>Female</v>
      </c>
      <c r="I256" s="6" t="str">
        <f t="shared" si="19"/>
        <v>Hargeisa</v>
      </c>
      <c r="J256" s="6" t="str">
        <f t="shared" si="20"/>
        <v>Engineer</v>
      </c>
      <c r="K256" s="6" t="str">
        <f t="shared" si="21"/>
        <v>Medium</v>
      </c>
      <c r="L256" s="6">
        <f t="shared" si="22"/>
        <v>2026</v>
      </c>
      <c r="M256" s="6">
        <f t="shared" si="23"/>
        <v>5</v>
      </c>
    </row>
    <row r="257" spans="1:13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8"/>
        <v>Male</v>
      </c>
      <c r="I257" s="6" t="str">
        <f t="shared" si="19"/>
        <v>Hargeisa</v>
      </c>
      <c r="J257" s="6" t="str">
        <f t="shared" si="20"/>
        <v>Teacher</v>
      </c>
      <c r="K257" s="6" t="str">
        <f t="shared" si="21"/>
        <v>Low</v>
      </c>
      <c r="L257" s="6">
        <f t="shared" si="22"/>
        <v>2026</v>
      </c>
      <c r="M257" s="6">
        <f t="shared" si="23"/>
        <v>5</v>
      </c>
    </row>
    <row r="258" spans="1:13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24">PROPER(TRIM(C258))</f>
        <v>Missing</v>
      </c>
      <c r="I258" s="6" t="str">
        <f t="shared" ref="I258:I294" si="25">PROPER(TRIM(E258))</f>
        <v>Kismayo</v>
      </c>
      <c r="J258" s="6" t="str">
        <f t="shared" ref="J258:J294" si="26">PROPER(TRIM(SUBSTITUTE(F258,"CS","Civil Servant")))</f>
        <v>Self-Employed</v>
      </c>
      <c r="K258" s="6" t="str">
        <f t="shared" ref="K258:K294" si="27">IF(G258&gt;=1500,"High",IF(G258&gt;=800,"Medium","Low"))</f>
        <v>Medium</v>
      </c>
      <c r="L258" s="6">
        <f t="shared" si="22"/>
        <v>2026</v>
      </c>
      <c r="M258" s="6">
        <f t="shared" si="23"/>
        <v>5</v>
      </c>
    </row>
    <row r="259" spans="1:13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24"/>
        <v>Male</v>
      </c>
      <c r="I259" s="6" t="str">
        <f t="shared" si="25"/>
        <v>Mogadishu</v>
      </c>
      <c r="J259" s="6" t="str">
        <f t="shared" si="26"/>
        <v>Healthcare</v>
      </c>
      <c r="K259" s="6" t="str">
        <f t="shared" si="27"/>
        <v>Low</v>
      </c>
      <c r="L259" s="6">
        <f t="shared" ref="L259:L294" si="28">IF(ISNUMBER(B259),YEAR(B259),"")</f>
        <v>2026</v>
      </c>
      <c r="M259" s="6">
        <f t="shared" ref="M259:M294" si="29">IF(ISNUMBER(B259),MONTH(B259),"")</f>
        <v>6</v>
      </c>
    </row>
    <row r="260" spans="1:13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24"/>
        <v>Male</v>
      </c>
      <c r="I260" s="6" t="str">
        <f t="shared" si="25"/>
        <v>Garowe</v>
      </c>
      <c r="J260" s="6" t="str">
        <f t="shared" si="26"/>
        <v>Civil Servant</v>
      </c>
      <c r="K260" s="6" t="str">
        <f t="shared" si="27"/>
        <v>Low</v>
      </c>
      <c r="L260" s="6">
        <f t="shared" si="28"/>
        <v>2026</v>
      </c>
      <c r="M260" s="6">
        <f t="shared" si="29"/>
        <v>6</v>
      </c>
    </row>
    <row r="261" spans="1:13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24"/>
        <v>Male</v>
      </c>
      <c r="I261" s="6" t="str">
        <f t="shared" si="25"/>
        <v>Kismayo</v>
      </c>
      <c r="J261" s="6" t="str">
        <f t="shared" si="26"/>
        <v>Student</v>
      </c>
      <c r="K261" s="6" t="str">
        <f t="shared" si="27"/>
        <v>Low</v>
      </c>
      <c r="L261" s="6">
        <f t="shared" si="28"/>
        <v>2026</v>
      </c>
      <c r="M261" s="6">
        <f t="shared" si="29"/>
        <v>6</v>
      </c>
    </row>
    <row r="262" spans="1:13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24"/>
        <v>Male</v>
      </c>
      <c r="I262" s="6" t="str">
        <f t="shared" si="25"/>
        <v>Mogadishu</v>
      </c>
      <c r="J262" s="6" t="str">
        <f t="shared" si="26"/>
        <v>Teacher</v>
      </c>
      <c r="K262" s="6" t="str">
        <f t="shared" si="27"/>
        <v>Low</v>
      </c>
      <c r="L262" s="6">
        <f t="shared" si="28"/>
        <v>2026</v>
      </c>
      <c r="M262" s="6">
        <f t="shared" si="29"/>
        <v>6</v>
      </c>
    </row>
    <row r="263" spans="1:13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24"/>
        <v>Male</v>
      </c>
      <c r="I263" s="6" t="str">
        <f t="shared" si="25"/>
        <v>Garowe</v>
      </c>
      <c r="J263" s="6" t="str">
        <f t="shared" si="26"/>
        <v>Business Owner</v>
      </c>
      <c r="K263" s="6" t="str">
        <f t="shared" si="27"/>
        <v>High</v>
      </c>
      <c r="L263" s="6">
        <f t="shared" si="28"/>
        <v>2026</v>
      </c>
      <c r="M263" s="6">
        <f t="shared" si="29"/>
        <v>6</v>
      </c>
    </row>
    <row r="264" spans="1:13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24"/>
        <v>Female</v>
      </c>
      <c r="I264" s="6" t="str">
        <f t="shared" si="25"/>
        <v>Baidoa</v>
      </c>
      <c r="J264" s="6" t="str">
        <f t="shared" si="26"/>
        <v>Business Owner</v>
      </c>
      <c r="K264" s="6" t="str">
        <f t="shared" si="27"/>
        <v>High</v>
      </c>
      <c r="L264" s="6">
        <f t="shared" si="28"/>
        <v>2026</v>
      </c>
      <c r="M264" s="6">
        <f t="shared" si="29"/>
        <v>6</v>
      </c>
    </row>
    <row r="265" spans="1:13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24"/>
        <v>Male</v>
      </c>
      <c r="I265" s="6" t="str">
        <f t="shared" si="25"/>
        <v>Mogadishu</v>
      </c>
      <c r="J265" s="6" t="str">
        <f t="shared" si="26"/>
        <v>Teacher</v>
      </c>
      <c r="K265" s="6" t="str">
        <f t="shared" si="27"/>
        <v>Low</v>
      </c>
      <c r="L265" s="6">
        <f t="shared" si="28"/>
        <v>2026</v>
      </c>
      <c r="M265" s="6">
        <f t="shared" si="29"/>
        <v>6</v>
      </c>
    </row>
    <row r="266" spans="1:13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24"/>
        <v>Male</v>
      </c>
      <c r="I266" s="6" t="str">
        <f t="shared" si="25"/>
        <v>Baidoa</v>
      </c>
      <c r="J266" s="6" t="str">
        <f t="shared" si="26"/>
        <v>Student</v>
      </c>
      <c r="K266" s="6" t="str">
        <f t="shared" si="27"/>
        <v>Low</v>
      </c>
      <c r="L266" s="6">
        <f t="shared" si="28"/>
        <v>2026</v>
      </c>
      <c r="M266" s="6">
        <f t="shared" si="29"/>
        <v>7</v>
      </c>
    </row>
    <row r="267" spans="1:13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24"/>
        <v>Male</v>
      </c>
      <c r="I267" s="6" t="str">
        <f t="shared" si="25"/>
        <v>Mogadishu</v>
      </c>
      <c r="J267" s="6" t="str">
        <f t="shared" si="26"/>
        <v>Civil Servant</v>
      </c>
      <c r="K267" s="6" t="str">
        <f t="shared" si="27"/>
        <v>Medium</v>
      </c>
      <c r="L267" s="6">
        <f t="shared" si="28"/>
        <v>2026</v>
      </c>
      <c r="M267" s="6">
        <f t="shared" si="29"/>
        <v>7</v>
      </c>
    </row>
    <row r="268" spans="1:13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24"/>
        <v>Female</v>
      </c>
      <c r="I268" s="6" t="str">
        <f t="shared" si="25"/>
        <v>Hargeisa</v>
      </c>
      <c r="J268" s="6" t="str">
        <f t="shared" si="26"/>
        <v>Student</v>
      </c>
      <c r="K268" s="6" t="str">
        <f t="shared" si="27"/>
        <v>Low</v>
      </c>
      <c r="L268" s="6">
        <f t="shared" si="28"/>
        <v>2026</v>
      </c>
      <c r="M268" s="6">
        <f t="shared" si="29"/>
        <v>7</v>
      </c>
    </row>
    <row r="269" spans="1:13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24"/>
        <v>Female</v>
      </c>
      <c r="I269" s="6" t="str">
        <f t="shared" si="25"/>
        <v>Bosaso</v>
      </c>
      <c r="J269" s="6" t="str">
        <f t="shared" si="26"/>
        <v>Self-Employed</v>
      </c>
      <c r="K269" s="6" t="str">
        <f t="shared" si="27"/>
        <v>Low</v>
      </c>
      <c r="L269" s="6">
        <f t="shared" si="28"/>
        <v>2026</v>
      </c>
      <c r="M269" s="6">
        <f t="shared" si="29"/>
        <v>7</v>
      </c>
    </row>
    <row r="270" spans="1:13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24"/>
        <v>Male</v>
      </c>
      <c r="I270" s="6" t="str">
        <f t="shared" si="25"/>
        <v>Mogadishu</v>
      </c>
      <c r="J270" s="6" t="str">
        <f t="shared" si="26"/>
        <v>Teacher</v>
      </c>
      <c r="K270" s="6" t="str">
        <f t="shared" si="27"/>
        <v>Low</v>
      </c>
      <c r="L270" s="6">
        <f t="shared" si="28"/>
        <v>2026</v>
      </c>
      <c r="M270" s="6">
        <f t="shared" si="29"/>
        <v>7</v>
      </c>
    </row>
    <row r="271" spans="1:13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24"/>
        <v>Male</v>
      </c>
      <c r="I271" s="6" t="str">
        <f t="shared" si="25"/>
        <v>Hargeisa</v>
      </c>
      <c r="J271" s="6" t="str">
        <f t="shared" si="26"/>
        <v>Business Owner</v>
      </c>
      <c r="K271" s="6" t="str">
        <f t="shared" si="27"/>
        <v>Medium</v>
      </c>
      <c r="L271" s="6">
        <f t="shared" si="28"/>
        <v>2026</v>
      </c>
      <c r="M271" s="6">
        <f t="shared" si="29"/>
        <v>7</v>
      </c>
    </row>
    <row r="272" spans="1:13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24"/>
        <v>Male</v>
      </c>
      <c r="I272" s="6" t="str">
        <f t="shared" si="25"/>
        <v>Mogadishu</v>
      </c>
      <c r="J272" s="6" t="str">
        <f t="shared" si="26"/>
        <v>Engineer</v>
      </c>
      <c r="K272" s="6" t="str">
        <f t="shared" si="27"/>
        <v>Medium</v>
      </c>
      <c r="L272" s="6">
        <f t="shared" si="28"/>
        <v>2026</v>
      </c>
      <c r="M272" s="6">
        <f t="shared" si="29"/>
        <v>7</v>
      </c>
    </row>
    <row r="273" spans="1:13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24"/>
        <v>Male</v>
      </c>
      <c r="I273" s="6" t="str">
        <f t="shared" si="25"/>
        <v>Hargeisa</v>
      </c>
      <c r="J273" s="6" t="str">
        <f t="shared" si="26"/>
        <v>Engineer</v>
      </c>
      <c r="K273" s="6" t="str">
        <f t="shared" si="27"/>
        <v>Low</v>
      </c>
      <c r="L273" s="6">
        <f t="shared" si="28"/>
        <v>2026</v>
      </c>
      <c r="M273" s="6">
        <f t="shared" si="29"/>
        <v>7</v>
      </c>
    </row>
    <row r="274" spans="1:13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24"/>
        <v>Missing</v>
      </c>
      <c r="I274" s="6" t="str">
        <f t="shared" si="25"/>
        <v>Mogadishu</v>
      </c>
      <c r="J274" s="6" t="str">
        <f t="shared" si="26"/>
        <v>Healthcare</v>
      </c>
      <c r="K274" s="6" t="str">
        <f t="shared" si="27"/>
        <v>Medium</v>
      </c>
      <c r="L274" s="6">
        <f t="shared" si="28"/>
        <v>2026</v>
      </c>
      <c r="M274" s="6">
        <f t="shared" si="29"/>
        <v>7</v>
      </c>
    </row>
    <row r="275" spans="1:13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24"/>
        <v>Male</v>
      </c>
      <c r="I275" s="6" t="str">
        <f t="shared" si="25"/>
        <v>Bosaso</v>
      </c>
      <c r="J275" s="6" t="str">
        <f t="shared" si="26"/>
        <v>Engineer</v>
      </c>
      <c r="K275" s="6" t="str">
        <f t="shared" si="27"/>
        <v>Low</v>
      </c>
      <c r="L275" s="6" t="str">
        <f t="shared" si="28"/>
        <v/>
      </c>
      <c r="M275" s="6" t="str">
        <f t="shared" si="29"/>
        <v/>
      </c>
    </row>
    <row r="276" spans="1:13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24"/>
        <v>Female</v>
      </c>
      <c r="I276" s="6" t="str">
        <f t="shared" si="25"/>
        <v>Baidoa</v>
      </c>
      <c r="J276" s="6" t="str">
        <f t="shared" si="26"/>
        <v>Civil Servant</v>
      </c>
      <c r="K276" s="6" t="str">
        <f t="shared" si="27"/>
        <v>Low</v>
      </c>
      <c r="L276" s="6" t="str">
        <f t="shared" si="28"/>
        <v/>
      </c>
      <c r="M276" s="6" t="str">
        <f t="shared" si="29"/>
        <v/>
      </c>
    </row>
    <row r="277" spans="1:13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24"/>
        <v>Male</v>
      </c>
      <c r="I277" s="6" t="str">
        <f t="shared" si="25"/>
        <v>Mogadishu</v>
      </c>
      <c r="J277" s="6" t="str">
        <f t="shared" si="26"/>
        <v>Business Owner</v>
      </c>
      <c r="K277" s="6" t="str">
        <f t="shared" si="27"/>
        <v>High</v>
      </c>
      <c r="L277" s="6" t="str">
        <f t="shared" si="28"/>
        <v/>
      </c>
      <c r="M277" s="6" t="str">
        <f t="shared" si="29"/>
        <v/>
      </c>
    </row>
    <row r="278" spans="1:13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24"/>
        <v>Female</v>
      </c>
      <c r="I278" s="6" t="str">
        <f t="shared" si="25"/>
        <v>Mogadishu</v>
      </c>
      <c r="J278" s="6" t="str">
        <f t="shared" si="26"/>
        <v>Civil Servant</v>
      </c>
      <c r="K278" s="6" t="str">
        <f t="shared" si="27"/>
        <v>Medium</v>
      </c>
      <c r="L278" s="6" t="str">
        <f t="shared" si="28"/>
        <v/>
      </c>
      <c r="M278" s="6" t="str">
        <f t="shared" si="29"/>
        <v/>
      </c>
    </row>
    <row r="279" spans="1:13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24"/>
        <v>Male</v>
      </c>
      <c r="I279" s="6" t="str">
        <f t="shared" si="25"/>
        <v>Kismayo</v>
      </c>
      <c r="J279" s="6" t="str">
        <f t="shared" si="26"/>
        <v>Self-Employed</v>
      </c>
      <c r="K279" s="6" t="str">
        <f t="shared" si="27"/>
        <v>Low</v>
      </c>
      <c r="L279" s="6" t="str">
        <f t="shared" si="28"/>
        <v/>
      </c>
      <c r="M279" s="6" t="str">
        <f t="shared" si="29"/>
        <v/>
      </c>
    </row>
    <row r="280" spans="1:13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24"/>
        <v>Male</v>
      </c>
      <c r="I280" s="6" t="str">
        <f t="shared" si="25"/>
        <v>Baidoa</v>
      </c>
      <c r="J280" s="6" t="str">
        <f t="shared" si="26"/>
        <v>Teacher</v>
      </c>
      <c r="K280" s="6" t="str">
        <f t="shared" si="27"/>
        <v>Medium</v>
      </c>
      <c r="L280" s="6" t="str">
        <f t="shared" si="28"/>
        <v/>
      </c>
      <c r="M280" s="6" t="str">
        <f t="shared" si="29"/>
        <v/>
      </c>
    </row>
    <row r="281" spans="1:13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24"/>
        <v>Female</v>
      </c>
      <c r="I281" s="6" t="str">
        <f t="shared" si="25"/>
        <v>Mogadishu</v>
      </c>
      <c r="J281" s="6" t="str">
        <f t="shared" si="26"/>
        <v>Self-Employed</v>
      </c>
      <c r="K281" s="6" t="str">
        <f t="shared" si="27"/>
        <v>Low</v>
      </c>
      <c r="L281" s="6" t="str">
        <f t="shared" si="28"/>
        <v/>
      </c>
      <c r="M281" s="6" t="str">
        <f t="shared" si="29"/>
        <v/>
      </c>
    </row>
    <row r="282" spans="1:13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24"/>
        <v>Female</v>
      </c>
      <c r="I282" s="6" t="str">
        <f t="shared" si="25"/>
        <v>Garowe</v>
      </c>
      <c r="J282" s="6" t="str">
        <f t="shared" si="26"/>
        <v>Civil Servant</v>
      </c>
      <c r="K282" s="6" t="str">
        <f t="shared" si="27"/>
        <v>Low</v>
      </c>
      <c r="L282" s="6" t="str">
        <f t="shared" si="28"/>
        <v/>
      </c>
      <c r="M282" s="6" t="str">
        <f t="shared" si="29"/>
        <v/>
      </c>
    </row>
    <row r="283" spans="1:13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24"/>
        <v>Female</v>
      </c>
      <c r="I283" s="6" t="str">
        <f t="shared" si="25"/>
        <v>Garowe</v>
      </c>
      <c r="J283" s="6" t="str">
        <f t="shared" si="26"/>
        <v>Healthcare</v>
      </c>
      <c r="K283" s="6" t="str">
        <f t="shared" si="27"/>
        <v>Medium</v>
      </c>
      <c r="L283" s="6" t="str">
        <f t="shared" si="28"/>
        <v/>
      </c>
      <c r="M283" s="6" t="str">
        <f t="shared" si="29"/>
        <v/>
      </c>
    </row>
    <row r="284" spans="1:13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24"/>
        <v>Male</v>
      </c>
      <c r="I284" s="6" t="str">
        <f t="shared" si="25"/>
        <v>Kismayo</v>
      </c>
      <c r="J284" s="6" t="str">
        <f t="shared" si="26"/>
        <v>Teacher</v>
      </c>
      <c r="K284" s="6" t="str">
        <f t="shared" si="27"/>
        <v>Low</v>
      </c>
      <c r="L284" s="6" t="str">
        <f t="shared" si="28"/>
        <v/>
      </c>
      <c r="M284" s="6" t="str">
        <f t="shared" si="29"/>
        <v/>
      </c>
    </row>
    <row r="285" spans="1:13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24"/>
        <v>Female</v>
      </c>
      <c r="I285" s="6" t="str">
        <f t="shared" si="25"/>
        <v>Garowe</v>
      </c>
      <c r="J285" s="6" t="str">
        <f t="shared" si="26"/>
        <v>Civil Servant</v>
      </c>
      <c r="K285" s="6" t="str">
        <f t="shared" si="27"/>
        <v>Low</v>
      </c>
      <c r="L285" s="6" t="str">
        <f t="shared" si="28"/>
        <v/>
      </c>
      <c r="M285" s="6" t="str">
        <f t="shared" si="29"/>
        <v/>
      </c>
    </row>
    <row r="286" spans="1:13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24"/>
        <v>Male</v>
      </c>
      <c r="I286" s="6" t="str">
        <f t="shared" si="25"/>
        <v>Hargeisa</v>
      </c>
      <c r="J286" s="6" t="str">
        <f t="shared" si="26"/>
        <v>Business Owner</v>
      </c>
      <c r="K286" s="6" t="str">
        <f t="shared" si="27"/>
        <v>High</v>
      </c>
      <c r="L286" s="6" t="str">
        <f t="shared" si="28"/>
        <v/>
      </c>
      <c r="M286" s="6" t="str">
        <f t="shared" si="29"/>
        <v/>
      </c>
    </row>
    <row r="287" spans="1:13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24"/>
        <v>Female</v>
      </c>
      <c r="I287" s="6" t="str">
        <f t="shared" si="25"/>
        <v>Bosaso</v>
      </c>
      <c r="J287" s="6" t="str">
        <f t="shared" si="26"/>
        <v>Engineer</v>
      </c>
      <c r="K287" s="6" t="str">
        <f t="shared" si="27"/>
        <v>Low</v>
      </c>
      <c r="L287" s="6" t="str">
        <f t="shared" si="28"/>
        <v/>
      </c>
      <c r="M287" s="6" t="str">
        <f t="shared" si="29"/>
        <v/>
      </c>
    </row>
    <row r="288" spans="1:13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24"/>
        <v>Female</v>
      </c>
      <c r="I288" s="6" t="str">
        <f t="shared" si="25"/>
        <v>Kismayo</v>
      </c>
      <c r="J288" s="6" t="str">
        <f t="shared" si="26"/>
        <v>Engineer</v>
      </c>
      <c r="K288" s="6" t="str">
        <f t="shared" si="27"/>
        <v>High</v>
      </c>
      <c r="L288" s="6" t="str">
        <f t="shared" si="28"/>
        <v/>
      </c>
      <c r="M288" s="6" t="str">
        <f t="shared" si="29"/>
        <v/>
      </c>
    </row>
    <row r="289" spans="1:13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24"/>
        <v>Female</v>
      </c>
      <c r="I289" s="6" t="str">
        <f t="shared" si="25"/>
        <v>Mogadishu</v>
      </c>
      <c r="J289" s="6" t="str">
        <f t="shared" si="26"/>
        <v>Civil Servant</v>
      </c>
      <c r="K289" s="6" t="str">
        <f t="shared" si="27"/>
        <v>Low</v>
      </c>
      <c r="L289" s="6" t="str">
        <f t="shared" si="28"/>
        <v/>
      </c>
      <c r="M289" s="6" t="str">
        <f t="shared" si="29"/>
        <v/>
      </c>
    </row>
    <row r="290" spans="1:13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24"/>
        <v>Male</v>
      </c>
      <c r="I290" s="6" t="str">
        <f t="shared" si="25"/>
        <v>Garowe</v>
      </c>
      <c r="J290" s="6" t="str">
        <f t="shared" si="26"/>
        <v>Teacher</v>
      </c>
      <c r="K290" s="6" t="str">
        <f t="shared" si="27"/>
        <v>Low</v>
      </c>
      <c r="L290" s="6" t="str">
        <f t="shared" si="28"/>
        <v/>
      </c>
      <c r="M290" s="6" t="str">
        <f t="shared" si="29"/>
        <v/>
      </c>
    </row>
    <row r="291" spans="1:13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24"/>
        <v>Male</v>
      </c>
      <c r="I291" s="6" t="str">
        <f t="shared" si="25"/>
        <v>Mogadishu</v>
      </c>
      <c r="J291" s="6" t="str">
        <f t="shared" si="26"/>
        <v>Healthcare</v>
      </c>
      <c r="K291" s="6" t="str">
        <f t="shared" si="27"/>
        <v>Low</v>
      </c>
      <c r="L291" s="6" t="str">
        <f t="shared" si="28"/>
        <v/>
      </c>
      <c r="M291" s="6" t="str">
        <f t="shared" si="29"/>
        <v/>
      </c>
    </row>
    <row r="292" spans="1:13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24"/>
        <v>Male</v>
      </c>
      <c r="I292" s="6" t="str">
        <f t="shared" si="25"/>
        <v>Hargeisa</v>
      </c>
      <c r="J292" s="6" t="str">
        <f t="shared" si="26"/>
        <v>Student</v>
      </c>
      <c r="K292" s="6" t="str">
        <f t="shared" si="27"/>
        <v>Low</v>
      </c>
      <c r="L292" s="6" t="str">
        <f t="shared" si="28"/>
        <v/>
      </c>
      <c r="M292" s="6" t="str">
        <f t="shared" si="29"/>
        <v/>
      </c>
    </row>
    <row r="293" spans="1:13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24"/>
        <v>Male</v>
      </c>
      <c r="I293" s="6" t="str">
        <f t="shared" si="25"/>
        <v>Bosaso</v>
      </c>
      <c r="J293" s="6" t="str">
        <f t="shared" si="26"/>
        <v>Business Owner</v>
      </c>
      <c r="K293" s="6" t="str">
        <f t="shared" si="27"/>
        <v>Medium</v>
      </c>
      <c r="L293" s="6" t="str">
        <f t="shared" si="28"/>
        <v/>
      </c>
      <c r="M293" s="6" t="str">
        <f t="shared" si="29"/>
        <v/>
      </c>
    </row>
    <row r="294" spans="1:13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24"/>
        <v>Male</v>
      </c>
      <c r="I294" s="6" t="str">
        <f t="shared" si="25"/>
        <v>Garowe</v>
      </c>
      <c r="J294" s="6" t="str">
        <f t="shared" si="26"/>
        <v>Engineer</v>
      </c>
      <c r="K294" s="6" t="str">
        <f t="shared" si="27"/>
        <v>Low</v>
      </c>
      <c r="L294" s="6" t="str">
        <f t="shared" si="28"/>
        <v/>
      </c>
      <c r="M294" s="6" t="str">
        <f t="shared" si="29"/>
        <v/>
      </c>
    </row>
  </sheetData>
  <sortState ref="A2:K294">
    <sortCondition ref="B2:B294"/>
  </sortState>
  <conditionalFormatting sqref="A1:A1048576">
    <cfRule type="duplicateValues" dxfId="5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ellIs" dxfId="4" priority="1" operator="equal">
      <formula>"Medium"</formula>
    </cfRule>
    <cfRule type="cellIs" dxfId="3" priority="3" operator="equal">
      <formula>"High"</formula>
    </cfRule>
    <cfRule type="cellIs" dxfId="2" priority="4" operator="equal">
      <formula>"Low"</formula>
    </cfRule>
    <cfRule type="cellIs" dxfId="1" priority="5" operator="equal">
      <formula>"Low"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iconSet" priority="12">
      <iconSet iconSet="3Arrows">
        <cfvo type="percent" val="0"/>
        <cfvo type="percent" val="33"/>
        <cfvo type="percent" val="67"/>
      </iconSet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ellIs" dxfId="0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B20" sqref="B20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COUNTIF('Clean_Data '!E:E,"Mogadishu")</f>
        <v>110</v>
      </c>
      <c r="C19" s="6" t="s">
        <v>340</v>
      </c>
    </row>
    <row r="20" spans="1:3">
      <c r="A20" s="6" t="s">
        <v>341</v>
      </c>
      <c r="B20" s="6">
        <f>AVERAGEIF('Clean_Data '!C:C,"Female",'Clean_Data '!G:G)</f>
        <v>877.68643356643372</v>
      </c>
      <c r="C20" s="6" t="s">
        <v>339</v>
      </c>
    </row>
    <row r="21" spans="1:3">
      <c r="A21" s="6" t="s">
        <v>342</v>
      </c>
      <c r="B21" s="6">
        <f>AVERAGEIF('Clean_Data '!F:F,"Teacher",'Clean_Data '!G:G)</f>
        <v>703.55023809523789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46252</v>
      </c>
      <c r="C33" s="6" t="s">
        <v>352</v>
      </c>
    </row>
    <row r="34" spans="1:3">
      <c r="A34" s="6" t="s">
        <v>353</v>
      </c>
      <c r="B34" s="15">
        <f ca="1">NOW()</f>
        <v>46252.616959953702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412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U257"/>
  <sheetViews>
    <sheetView topLeftCell="A25" zoomScale="85" zoomScaleNormal="85" workbookViewId="0">
      <selection activeCell="L52" sqref="L52"/>
    </sheetView>
  </sheetViews>
  <sheetFormatPr defaultRowHeight="15"/>
  <cols>
    <col min="1" max="1" width="13.28515625" customWidth="1"/>
    <col min="2" max="2" width="23.140625" customWidth="1"/>
    <col min="3" max="3" width="4.5703125" customWidth="1"/>
    <col min="4" max="4" width="8.5703125" customWidth="1"/>
    <col min="5" max="5" width="11.28515625" customWidth="1"/>
    <col min="6" max="10" width="7.5703125" customWidth="1"/>
    <col min="11" max="11" width="13.140625" customWidth="1"/>
    <col min="12" max="12" width="20.7109375" customWidth="1"/>
    <col min="13" max="13" width="26.7109375" customWidth="1"/>
    <col min="14" max="14" width="7.85546875" customWidth="1"/>
    <col min="15" max="15" width="11.28515625" customWidth="1"/>
    <col min="16" max="19" width="7.5703125" customWidth="1"/>
    <col min="20" max="20" width="13.28515625" customWidth="1"/>
    <col min="21" max="21" width="20.7109375" customWidth="1"/>
    <col min="22" max="186" width="7.5703125" customWidth="1"/>
    <col min="273" max="274" width="10.140625" bestFit="1" customWidth="1"/>
    <col min="275" max="275" width="11.28515625" bestFit="1" customWidth="1"/>
  </cols>
  <sheetData>
    <row r="5" spans="1:21">
      <c r="A5" s="19" t="s">
        <v>365</v>
      </c>
      <c r="B5" t="s">
        <v>368</v>
      </c>
      <c r="T5" s="19" t="s">
        <v>365</v>
      </c>
      <c r="U5" t="s">
        <v>368</v>
      </c>
    </row>
    <row r="6" spans="1:21">
      <c r="A6" s="6" t="s">
        <v>12</v>
      </c>
      <c r="B6" s="20">
        <v>19068.93</v>
      </c>
      <c r="K6" s="19" t="s">
        <v>372</v>
      </c>
      <c r="L6" s="19" t="s">
        <v>367</v>
      </c>
      <c r="T6" s="6" t="s">
        <v>17</v>
      </c>
      <c r="U6" s="20">
        <v>125509.16000000002</v>
      </c>
    </row>
    <row r="7" spans="1:21">
      <c r="A7" s="6" t="s">
        <v>20</v>
      </c>
      <c r="B7" s="20">
        <v>39854.100000000006</v>
      </c>
      <c r="K7" s="19" t="s">
        <v>365</v>
      </c>
      <c r="L7" t="s">
        <v>17</v>
      </c>
      <c r="M7" t="s">
        <v>8</v>
      </c>
      <c r="N7" t="s">
        <v>312</v>
      </c>
      <c r="O7" t="s">
        <v>366</v>
      </c>
      <c r="T7" s="6" t="s">
        <v>8</v>
      </c>
      <c r="U7" s="20">
        <v>120191.5</v>
      </c>
    </row>
    <row r="8" spans="1:21">
      <c r="A8" s="6" t="s">
        <v>74</v>
      </c>
      <c r="B8" s="20">
        <v>17991.009999999998</v>
      </c>
      <c r="K8" s="6" t="s">
        <v>12</v>
      </c>
      <c r="L8" s="20">
        <v>12</v>
      </c>
      <c r="M8" s="20">
        <v>9</v>
      </c>
      <c r="N8" s="20">
        <v>3</v>
      </c>
      <c r="O8" s="20">
        <v>24</v>
      </c>
      <c r="T8" s="6" t="s">
        <v>312</v>
      </c>
      <c r="U8" s="20">
        <v>24992.530000000006</v>
      </c>
    </row>
    <row r="9" spans="1:21">
      <c r="A9" s="6" t="s">
        <v>15</v>
      </c>
      <c r="B9" s="20">
        <v>38385.03</v>
      </c>
      <c r="K9" s="6" t="s">
        <v>20</v>
      </c>
      <c r="L9" s="20">
        <v>16</v>
      </c>
      <c r="M9" s="20">
        <v>16</v>
      </c>
      <c r="N9" s="20">
        <v>3</v>
      </c>
      <c r="O9" s="20">
        <v>35</v>
      </c>
      <c r="T9" s="6" t="s">
        <v>366</v>
      </c>
      <c r="U9" s="20">
        <v>270693.19000000006</v>
      </c>
    </row>
    <row r="10" spans="1:21">
      <c r="A10" s="6" t="s">
        <v>39</v>
      </c>
      <c r="B10" s="20">
        <v>30250.91</v>
      </c>
      <c r="K10" s="6" t="s">
        <v>74</v>
      </c>
      <c r="L10" s="20">
        <v>10</v>
      </c>
      <c r="M10" s="20">
        <v>10</v>
      </c>
      <c r="N10" s="20">
        <v>1</v>
      </c>
      <c r="O10" s="20">
        <v>21</v>
      </c>
    </row>
    <row r="11" spans="1:21">
      <c r="A11" s="6" t="s">
        <v>312</v>
      </c>
      <c r="B11" s="20">
        <v>13639.55</v>
      </c>
      <c r="K11" s="6" t="s">
        <v>15</v>
      </c>
      <c r="L11" s="20">
        <v>23</v>
      </c>
      <c r="M11" s="20">
        <v>19</v>
      </c>
      <c r="N11" s="20">
        <v>1</v>
      </c>
      <c r="O11" s="20">
        <v>43</v>
      </c>
    </row>
    <row r="12" spans="1:21">
      <c r="A12" s="6" t="s">
        <v>9</v>
      </c>
      <c r="B12" s="20">
        <v>111503.65999999997</v>
      </c>
      <c r="K12" s="6" t="s">
        <v>39</v>
      </c>
      <c r="L12" s="20">
        <v>14</v>
      </c>
      <c r="M12" s="20">
        <v>19</v>
      </c>
      <c r="N12" s="20">
        <v>2</v>
      </c>
      <c r="O12" s="20">
        <v>35</v>
      </c>
    </row>
    <row r="13" spans="1:21">
      <c r="A13" s="6" t="s">
        <v>366</v>
      </c>
      <c r="B13" s="20">
        <v>270693.18999999994</v>
      </c>
      <c r="K13" s="6" t="s">
        <v>312</v>
      </c>
      <c r="L13" s="20">
        <v>10</v>
      </c>
      <c r="M13" s="20">
        <v>6</v>
      </c>
      <c r="N13" s="20"/>
      <c r="O13" s="20">
        <v>16</v>
      </c>
    </row>
    <row r="14" spans="1:21">
      <c r="K14" s="6" t="s">
        <v>9</v>
      </c>
      <c r="L14" s="20">
        <v>53</v>
      </c>
      <c r="M14" s="20">
        <v>45</v>
      </c>
      <c r="N14" s="20">
        <v>7</v>
      </c>
      <c r="O14" s="20">
        <v>105</v>
      </c>
    </row>
    <row r="15" spans="1:21">
      <c r="K15" s="6" t="s">
        <v>366</v>
      </c>
      <c r="L15" s="20">
        <v>138</v>
      </c>
      <c r="M15" s="20">
        <v>124</v>
      </c>
      <c r="N15" s="20">
        <v>17</v>
      </c>
      <c r="O15" s="20">
        <v>279</v>
      </c>
    </row>
    <row r="26" spans="1:21">
      <c r="T26" s="19" t="s">
        <v>365</v>
      </c>
      <c r="U26" t="s">
        <v>372</v>
      </c>
    </row>
    <row r="27" spans="1:21">
      <c r="A27" s="19" t="s">
        <v>365</v>
      </c>
      <c r="B27" t="s">
        <v>368</v>
      </c>
      <c r="T27" s="6">
        <v>1</v>
      </c>
      <c r="U27" s="20">
        <v>28</v>
      </c>
    </row>
    <row r="28" spans="1:21">
      <c r="A28" s="6" t="s">
        <v>30</v>
      </c>
      <c r="B28" s="20">
        <v>63062.01</v>
      </c>
      <c r="T28" s="6">
        <v>2</v>
      </c>
      <c r="U28" s="20">
        <v>26</v>
      </c>
    </row>
    <row r="29" spans="1:21">
      <c r="A29" s="6" t="s">
        <v>23</v>
      </c>
      <c r="B29" s="20">
        <v>30275.03000000001</v>
      </c>
      <c r="T29" s="6">
        <v>3</v>
      </c>
      <c r="U29" s="20">
        <v>27</v>
      </c>
    </row>
    <row r="30" spans="1:21">
      <c r="A30" s="6" t="s">
        <v>44</v>
      </c>
      <c r="B30" s="20">
        <v>43298.039999999994</v>
      </c>
      <c r="T30" s="6">
        <v>4</v>
      </c>
      <c r="U30" s="20">
        <v>29</v>
      </c>
    </row>
    <row r="31" spans="1:21">
      <c r="A31" s="6" t="s">
        <v>10</v>
      </c>
      <c r="B31" s="20">
        <v>41695.880000000005</v>
      </c>
      <c r="K31" s="19" t="s">
        <v>4</v>
      </c>
      <c r="L31" t="s">
        <v>373</v>
      </c>
      <c r="T31" s="6">
        <v>5</v>
      </c>
      <c r="U31" s="20">
        <v>32</v>
      </c>
    </row>
    <row r="32" spans="1:21">
      <c r="A32" s="6" t="s">
        <v>312</v>
      </c>
      <c r="B32" s="20">
        <v>9200.06</v>
      </c>
      <c r="T32" s="6">
        <v>6</v>
      </c>
      <c r="U32" s="20">
        <v>21</v>
      </c>
    </row>
    <row r="33" spans="1:21">
      <c r="A33" s="6" t="s">
        <v>21</v>
      </c>
      <c r="B33" s="20">
        <v>42372.009999999995</v>
      </c>
      <c r="K33" s="19" t="s">
        <v>365</v>
      </c>
      <c r="L33" t="s">
        <v>372</v>
      </c>
      <c r="M33" t="s">
        <v>374</v>
      </c>
      <c r="T33" s="6">
        <v>7</v>
      </c>
      <c r="U33" s="20">
        <v>21</v>
      </c>
    </row>
    <row r="34" spans="1:21">
      <c r="A34" s="6" t="s">
        <v>18</v>
      </c>
      <c r="B34" s="20">
        <v>11241.05</v>
      </c>
      <c r="K34" s="6" t="s">
        <v>369</v>
      </c>
      <c r="L34" s="20">
        <v>20</v>
      </c>
      <c r="M34" s="20">
        <v>2563.3863636363635</v>
      </c>
      <c r="T34" s="6">
        <v>8</v>
      </c>
      <c r="U34" s="20">
        <v>25</v>
      </c>
    </row>
    <row r="35" spans="1:21">
      <c r="A35" s="6" t="s">
        <v>13</v>
      </c>
      <c r="B35" s="20">
        <v>29549.109999999993</v>
      </c>
      <c r="K35" s="6" t="s">
        <v>370</v>
      </c>
      <c r="L35" s="20">
        <v>128</v>
      </c>
      <c r="M35" s="20">
        <v>518.12446969696919</v>
      </c>
      <c r="T35" s="6">
        <v>9</v>
      </c>
      <c r="U35" s="20">
        <v>9</v>
      </c>
    </row>
    <row r="36" spans="1:21">
      <c r="A36" s="6" t="s">
        <v>366</v>
      </c>
      <c r="B36" s="20">
        <v>270693.19</v>
      </c>
      <c r="K36" s="6" t="s">
        <v>371</v>
      </c>
      <c r="L36" s="20">
        <v>131</v>
      </c>
      <c r="M36" s="20">
        <v>1049.6853237410066</v>
      </c>
      <c r="T36" s="6">
        <v>10</v>
      </c>
      <c r="U36" s="20">
        <v>15</v>
      </c>
    </row>
    <row r="37" spans="1:21">
      <c r="K37" s="6" t="s">
        <v>366</v>
      </c>
      <c r="L37" s="20">
        <v>279</v>
      </c>
      <c r="M37" s="20">
        <v>923.86754266211562</v>
      </c>
      <c r="T37" s="6">
        <v>11</v>
      </c>
      <c r="U37" s="20">
        <v>12</v>
      </c>
    </row>
    <row r="38" spans="1:21">
      <c r="T38" s="6">
        <v>12</v>
      </c>
      <c r="U38" s="20">
        <v>16</v>
      </c>
    </row>
    <row r="39" spans="1:21">
      <c r="T39" s="6"/>
      <c r="U39" s="20">
        <v>18</v>
      </c>
    </row>
    <row r="40" spans="1:21">
      <c r="T40" s="6" t="s">
        <v>366</v>
      </c>
      <c r="U40" s="20">
        <v>279</v>
      </c>
    </row>
    <row r="48" spans="1:21">
      <c r="A48" s="19" t="s">
        <v>365</v>
      </c>
      <c r="B48" t="s">
        <v>368</v>
      </c>
    </row>
    <row r="49" spans="1:20">
      <c r="A49" s="6">
        <v>2025</v>
      </c>
      <c r="B49" s="20">
        <v>183206.52999999997</v>
      </c>
    </row>
    <row r="50" spans="1:20">
      <c r="A50" s="6">
        <v>2026</v>
      </c>
      <c r="B50" s="20">
        <v>70430.230000000025</v>
      </c>
      <c r="T50" s="14"/>
    </row>
    <row r="51" spans="1:20">
      <c r="A51" s="6"/>
      <c r="B51" s="20">
        <v>17056.43</v>
      </c>
      <c r="T51" s="14"/>
    </row>
    <row r="52" spans="1:20">
      <c r="A52" s="6" t="s">
        <v>366</v>
      </c>
      <c r="B52" s="20">
        <v>270693.19</v>
      </c>
      <c r="T52" s="14"/>
    </row>
    <row r="53" spans="1:20">
      <c r="T53" s="14"/>
    </row>
    <row r="54" spans="1:20">
      <c r="T54" s="14"/>
    </row>
    <row r="55" spans="1:20">
      <c r="T55" s="14"/>
    </row>
    <row r="56" spans="1:20">
      <c r="T56" s="14"/>
    </row>
    <row r="57" spans="1:20">
      <c r="T57" s="14"/>
    </row>
    <row r="58" spans="1:20">
      <c r="T58" s="14"/>
    </row>
    <row r="59" spans="1:20">
      <c r="T59" s="14"/>
    </row>
    <row r="60" spans="1:20">
      <c r="T60" s="14"/>
    </row>
    <row r="61" spans="1:20">
      <c r="T61" s="14"/>
    </row>
    <row r="62" spans="1:20">
      <c r="T62" s="14"/>
    </row>
    <row r="63" spans="1:20">
      <c r="T63" s="14"/>
    </row>
    <row r="64" spans="1:20">
      <c r="T64" s="14"/>
    </row>
    <row r="65" spans="20:20">
      <c r="T65" s="14"/>
    </row>
    <row r="66" spans="20:20">
      <c r="T66" s="14"/>
    </row>
    <row r="67" spans="20:20">
      <c r="T67" s="14"/>
    </row>
    <row r="68" spans="20:20">
      <c r="T68" s="14"/>
    </row>
    <row r="69" spans="20:20">
      <c r="T69" s="14"/>
    </row>
    <row r="70" spans="20:20">
      <c r="T70" s="14"/>
    </row>
    <row r="71" spans="20:20">
      <c r="T71" s="14"/>
    </row>
    <row r="72" spans="20:20">
      <c r="T72" s="14"/>
    </row>
    <row r="73" spans="20:20">
      <c r="T73" s="14"/>
    </row>
    <row r="74" spans="20:20">
      <c r="T74" s="14"/>
    </row>
    <row r="75" spans="20:20">
      <c r="T75" s="14"/>
    </row>
    <row r="76" spans="20:20">
      <c r="T76" s="14"/>
    </row>
    <row r="77" spans="20:20">
      <c r="T77" s="14"/>
    </row>
    <row r="78" spans="20:20">
      <c r="T78" s="14"/>
    </row>
    <row r="79" spans="20:20">
      <c r="T79" s="14"/>
    </row>
    <row r="80" spans="20:20">
      <c r="T80" s="14"/>
    </row>
    <row r="81" spans="20:20">
      <c r="T81" s="14"/>
    </row>
    <row r="82" spans="20:20">
      <c r="T82" s="14"/>
    </row>
    <row r="83" spans="20:20">
      <c r="T83" s="14"/>
    </row>
    <row r="84" spans="20:20">
      <c r="T84" s="14"/>
    </row>
    <row r="85" spans="20:20">
      <c r="T85" s="14"/>
    </row>
    <row r="86" spans="20:20">
      <c r="T86" s="14"/>
    </row>
    <row r="87" spans="20:20">
      <c r="T87" s="14"/>
    </row>
    <row r="88" spans="20:20">
      <c r="T88" s="14"/>
    </row>
    <row r="89" spans="20:20">
      <c r="T89" s="14"/>
    </row>
    <row r="90" spans="20:20">
      <c r="T90" s="14"/>
    </row>
    <row r="91" spans="20:20">
      <c r="T91" s="14"/>
    </row>
    <row r="92" spans="20:20">
      <c r="T92" s="14"/>
    </row>
    <row r="93" spans="20:20">
      <c r="T93" s="14"/>
    </row>
    <row r="94" spans="20:20">
      <c r="T94" s="14"/>
    </row>
    <row r="95" spans="20:20">
      <c r="T95" s="14"/>
    </row>
    <row r="96" spans="20:20">
      <c r="T96" s="14"/>
    </row>
    <row r="97" spans="20:20">
      <c r="T97" s="14"/>
    </row>
    <row r="98" spans="20:20">
      <c r="T98" s="14"/>
    </row>
    <row r="99" spans="20:20">
      <c r="T99" s="14"/>
    </row>
    <row r="100" spans="20:20">
      <c r="T100" s="14"/>
    </row>
    <row r="101" spans="20:20">
      <c r="T101" s="14"/>
    </row>
    <row r="102" spans="20:20">
      <c r="T102" s="14"/>
    </row>
    <row r="103" spans="20:20">
      <c r="T103" s="14"/>
    </row>
    <row r="104" spans="20:20">
      <c r="T104" s="14"/>
    </row>
    <row r="105" spans="20:20">
      <c r="T105" s="14"/>
    </row>
    <row r="106" spans="20:20">
      <c r="T106" s="14"/>
    </row>
    <row r="107" spans="20:20">
      <c r="T107" s="14"/>
    </row>
    <row r="108" spans="20:20">
      <c r="T108" s="14"/>
    </row>
    <row r="109" spans="20:20">
      <c r="T109" s="14"/>
    </row>
    <row r="110" spans="20:20">
      <c r="T110" s="14"/>
    </row>
    <row r="111" spans="20:20">
      <c r="T111" s="14"/>
    </row>
    <row r="112" spans="20:20">
      <c r="T112" s="14"/>
    </row>
    <row r="113" spans="20:20">
      <c r="T113" s="14"/>
    </row>
    <row r="114" spans="20:20">
      <c r="T114" s="14"/>
    </row>
    <row r="115" spans="20:20">
      <c r="T115" s="14"/>
    </row>
    <row r="116" spans="20:20">
      <c r="T116" s="14"/>
    </row>
    <row r="117" spans="20:20">
      <c r="T117" s="14"/>
    </row>
    <row r="118" spans="20:20">
      <c r="T118" s="14"/>
    </row>
    <row r="119" spans="20:20">
      <c r="T119" s="14"/>
    </row>
    <row r="120" spans="20:20">
      <c r="T120" s="14"/>
    </row>
    <row r="121" spans="20:20">
      <c r="T121" s="14"/>
    </row>
    <row r="122" spans="20:20">
      <c r="T122" s="14"/>
    </row>
    <row r="123" spans="20:20">
      <c r="T123" s="14"/>
    </row>
    <row r="124" spans="20:20">
      <c r="T124" s="14"/>
    </row>
    <row r="125" spans="20:20">
      <c r="T125" s="14"/>
    </row>
    <row r="126" spans="20:20">
      <c r="T126" s="14"/>
    </row>
    <row r="127" spans="20:20">
      <c r="T127" s="14"/>
    </row>
    <row r="128" spans="20:20">
      <c r="T128" s="14"/>
    </row>
    <row r="129" spans="20:20">
      <c r="T129" s="14"/>
    </row>
    <row r="130" spans="20:20">
      <c r="T130" s="14"/>
    </row>
    <row r="131" spans="20:20">
      <c r="T131" s="14"/>
    </row>
    <row r="132" spans="20:20">
      <c r="T132" s="14"/>
    </row>
    <row r="133" spans="20:20">
      <c r="T133" s="14"/>
    </row>
    <row r="134" spans="20:20">
      <c r="T134" s="14"/>
    </row>
    <row r="135" spans="20:20">
      <c r="T135" s="14"/>
    </row>
    <row r="136" spans="20:20">
      <c r="T136" s="14"/>
    </row>
    <row r="137" spans="20:20">
      <c r="T137" s="14"/>
    </row>
    <row r="138" spans="20:20">
      <c r="T138" s="14"/>
    </row>
    <row r="139" spans="20:20">
      <c r="T139" s="14"/>
    </row>
    <row r="140" spans="20:20">
      <c r="T140" s="14"/>
    </row>
    <row r="141" spans="20:20">
      <c r="T141" s="14"/>
    </row>
    <row r="142" spans="20:20">
      <c r="T142" s="14"/>
    </row>
    <row r="143" spans="20:20">
      <c r="T143" s="14"/>
    </row>
    <row r="144" spans="20:20">
      <c r="T144" s="14"/>
    </row>
    <row r="145" spans="20:20">
      <c r="T145" s="14"/>
    </row>
    <row r="146" spans="20:20">
      <c r="T146" s="14"/>
    </row>
    <row r="147" spans="20:20">
      <c r="T147" s="14"/>
    </row>
    <row r="148" spans="20:20">
      <c r="T148" s="14"/>
    </row>
    <row r="149" spans="20:20">
      <c r="T149" s="14"/>
    </row>
    <row r="150" spans="20:20">
      <c r="T150" s="14"/>
    </row>
    <row r="151" spans="20:20">
      <c r="T151" s="14"/>
    </row>
    <row r="152" spans="20:20">
      <c r="T152" s="14"/>
    </row>
    <row r="153" spans="20:20">
      <c r="T153" s="14"/>
    </row>
    <row r="154" spans="20:20">
      <c r="T154" s="14"/>
    </row>
    <row r="155" spans="20:20">
      <c r="T155" s="14"/>
    </row>
    <row r="156" spans="20:20">
      <c r="T156" s="14"/>
    </row>
    <row r="157" spans="20:20">
      <c r="T157" s="14"/>
    </row>
    <row r="158" spans="20:20">
      <c r="T158" s="14"/>
    </row>
    <row r="159" spans="20:20">
      <c r="T159" s="14"/>
    </row>
    <row r="160" spans="20:20">
      <c r="T160" s="14"/>
    </row>
    <row r="161" spans="20:20">
      <c r="T161" s="14"/>
    </row>
    <row r="162" spans="20:20">
      <c r="T162" s="14"/>
    </row>
    <row r="163" spans="20:20">
      <c r="T163" s="14"/>
    </row>
    <row r="164" spans="20:20">
      <c r="T164" s="14"/>
    </row>
    <row r="165" spans="20:20">
      <c r="T165" s="14"/>
    </row>
    <row r="166" spans="20:20">
      <c r="T166" s="14"/>
    </row>
    <row r="167" spans="20:20">
      <c r="T167" s="14"/>
    </row>
    <row r="168" spans="20:20">
      <c r="T168" s="14"/>
    </row>
    <row r="169" spans="20:20">
      <c r="T169" s="14"/>
    </row>
    <row r="170" spans="20:20">
      <c r="T170" s="14"/>
    </row>
    <row r="171" spans="20:20">
      <c r="T171" s="14"/>
    </row>
    <row r="172" spans="20:20">
      <c r="T172" s="14"/>
    </row>
    <row r="173" spans="20:20">
      <c r="T173" s="14"/>
    </row>
    <row r="174" spans="20:20">
      <c r="T174" s="14"/>
    </row>
    <row r="175" spans="20:20">
      <c r="T175" s="14"/>
    </row>
    <row r="176" spans="20:20">
      <c r="T176" s="14"/>
    </row>
    <row r="177" spans="20:20">
      <c r="T177" s="14"/>
    </row>
    <row r="178" spans="20:20">
      <c r="T178" s="14"/>
    </row>
    <row r="179" spans="20:20">
      <c r="T179" s="14"/>
    </row>
    <row r="180" spans="20:20">
      <c r="T180" s="14"/>
    </row>
    <row r="181" spans="20:20">
      <c r="T181" s="14"/>
    </row>
    <row r="182" spans="20:20">
      <c r="T182" s="14"/>
    </row>
    <row r="183" spans="20:20">
      <c r="T183" s="14"/>
    </row>
    <row r="184" spans="20:20">
      <c r="T184" s="14"/>
    </row>
    <row r="185" spans="20:20">
      <c r="T185" s="14"/>
    </row>
    <row r="186" spans="20:20">
      <c r="T186" s="14"/>
    </row>
    <row r="187" spans="20:20">
      <c r="T187" s="14"/>
    </row>
    <row r="188" spans="20:20">
      <c r="T188" s="14"/>
    </row>
    <row r="189" spans="20:20">
      <c r="T189" s="14"/>
    </row>
    <row r="190" spans="20:20">
      <c r="T190" s="14"/>
    </row>
    <row r="191" spans="20:20">
      <c r="T191" s="14"/>
    </row>
    <row r="192" spans="20:20">
      <c r="T192" s="14"/>
    </row>
    <row r="193" spans="20:20">
      <c r="T193" s="14"/>
    </row>
    <row r="194" spans="20:20">
      <c r="T194" s="14"/>
    </row>
    <row r="195" spans="20:20">
      <c r="T195" s="14"/>
    </row>
    <row r="196" spans="20:20">
      <c r="T196" s="14"/>
    </row>
    <row r="197" spans="20:20">
      <c r="T197" s="14"/>
    </row>
    <row r="198" spans="20:20">
      <c r="T198" s="14"/>
    </row>
    <row r="199" spans="20:20">
      <c r="T199" s="14"/>
    </row>
    <row r="200" spans="20:20">
      <c r="T200" s="14"/>
    </row>
    <row r="201" spans="20:20">
      <c r="T201" s="14"/>
    </row>
    <row r="202" spans="20:20">
      <c r="T202" s="14"/>
    </row>
    <row r="203" spans="20:20">
      <c r="T203" s="14"/>
    </row>
    <row r="204" spans="20:20">
      <c r="T204" s="14"/>
    </row>
    <row r="205" spans="20:20">
      <c r="T205" s="14"/>
    </row>
    <row r="206" spans="20:20">
      <c r="T206" s="14"/>
    </row>
    <row r="207" spans="20:20">
      <c r="T207" s="14"/>
    </row>
    <row r="208" spans="20:20">
      <c r="T208" s="14"/>
    </row>
    <row r="209" spans="20:20">
      <c r="T209" s="14"/>
    </row>
    <row r="210" spans="20:20">
      <c r="T210" s="14"/>
    </row>
    <row r="211" spans="20:20">
      <c r="T211" s="14"/>
    </row>
    <row r="212" spans="20:20">
      <c r="T212" s="14"/>
    </row>
    <row r="213" spans="20:20">
      <c r="T213" s="14"/>
    </row>
    <row r="214" spans="20:20">
      <c r="T214" s="14"/>
    </row>
    <row r="215" spans="20:20">
      <c r="T215" s="14"/>
    </row>
    <row r="216" spans="20:20">
      <c r="T216" s="14"/>
    </row>
    <row r="217" spans="20:20">
      <c r="T217" s="14"/>
    </row>
    <row r="218" spans="20:20">
      <c r="T218" s="14"/>
    </row>
    <row r="219" spans="20:20">
      <c r="T219" s="14"/>
    </row>
    <row r="220" spans="20:20">
      <c r="T220" s="14"/>
    </row>
    <row r="221" spans="20:20">
      <c r="T221" s="14"/>
    </row>
    <row r="222" spans="20:20">
      <c r="T222" s="14"/>
    </row>
    <row r="223" spans="20:20">
      <c r="T223" s="14"/>
    </row>
    <row r="224" spans="20:20">
      <c r="T224" s="14"/>
    </row>
    <row r="225" spans="20:20">
      <c r="T225" s="14"/>
    </row>
    <row r="226" spans="20:20">
      <c r="T226" s="14"/>
    </row>
    <row r="227" spans="20:20">
      <c r="T227" s="14"/>
    </row>
    <row r="228" spans="20:20">
      <c r="T228" s="14"/>
    </row>
    <row r="229" spans="20:20">
      <c r="T229" s="14"/>
    </row>
    <row r="230" spans="20:20">
      <c r="T230" s="14"/>
    </row>
    <row r="231" spans="20:20">
      <c r="T231" s="14"/>
    </row>
    <row r="232" spans="20:20">
      <c r="T232" s="14"/>
    </row>
    <row r="233" spans="20:20">
      <c r="T233" s="14"/>
    </row>
    <row r="234" spans="20:20">
      <c r="T234" s="14"/>
    </row>
    <row r="235" spans="20:20">
      <c r="T235" s="14"/>
    </row>
    <row r="236" spans="20:20">
      <c r="T236" s="14"/>
    </row>
    <row r="237" spans="20:20">
      <c r="T237" s="14"/>
    </row>
    <row r="238" spans="20:20">
      <c r="T238" s="14"/>
    </row>
    <row r="239" spans="20:20">
      <c r="T239" s="14"/>
    </row>
    <row r="240" spans="20:20">
      <c r="T240" s="14"/>
    </row>
    <row r="241" spans="20:20">
      <c r="T241" s="14"/>
    </row>
    <row r="242" spans="20:20">
      <c r="T242" s="14"/>
    </row>
    <row r="243" spans="20:20">
      <c r="T243" s="14"/>
    </row>
    <row r="244" spans="20:20">
      <c r="T244" s="14"/>
    </row>
    <row r="245" spans="20:20">
      <c r="T245" s="14"/>
    </row>
    <row r="246" spans="20:20">
      <c r="T246" s="14"/>
    </row>
    <row r="247" spans="20:20">
      <c r="T247" s="14"/>
    </row>
    <row r="248" spans="20:20">
      <c r="T248" s="14"/>
    </row>
    <row r="249" spans="20:20">
      <c r="T249" s="14"/>
    </row>
    <row r="250" spans="20:20">
      <c r="T250" s="14"/>
    </row>
    <row r="251" spans="20:20">
      <c r="T251" s="14"/>
    </row>
    <row r="252" spans="20:20">
      <c r="T252" s="14"/>
    </row>
    <row r="253" spans="20:20">
      <c r="T253" s="14"/>
    </row>
    <row r="254" spans="20:20">
      <c r="T254" s="14"/>
    </row>
    <row r="255" spans="20:20">
      <c r="T255" s="14"/>
    </row>
    <row r="256" spans="20:20">
      <c r="T256" s="6"/>
    </row>
    <row r="257" spans="20:20">
      <c r="T257" s="6"/>
    </row>
  </sheetData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24"/>
  <sheetViews>
    <sheetView tabSelected="1" workbookViewId="0">
      <pane ySplit="1" topLeftCell="A2" activePane="bottomLeft" state="frozen"/>
      <selection pane="bottomLeft" activeCell="R20" sqref="R20"/>
    </sheetView>
  </sheetViews>
  <sheetFormatPr defaultRowHeight="15"/>
  <sheetData>
    <row r="2" spans="2:18" s="22" customFormat="1" ht="15" customHeight="1"/>
    <row r="3" spans="2:18" ht="28.5">
      <c r="B3" s="23" t="s">
        <v>377</v>
      </c>
      <c r="H3" s="21"/>
    </row>
    <row r="4" spans="2:18">
      <c r="D4" s="21"/>
    </row>
    <row r="5" spans="2:18">
      <c r="B5" s="25"/>
      <c r="C5" s="25"/>
      <c r="D5" s="25"/>
      <c r="F5" s="25"/>
      <c r="G5" s="24"/>
      <c r="H5" s="24"/>
      <c r="J5" s="25"/>
      <c r="K5" s="25"/>
      <c r="L5" s="25"/>
      <c r="M5" s="25"/>
      <c r="P5" s="30"/>
      <c r="Q5" s="30"/>
      <c r="R5" s="30"/>
    </row>
    <row r="6" spans="2:18" ht="31.5">
      <c r="B6" s="25"/>
      <c r="C6" s="29">
        <f>COUNTA('Clean_Data '!C:C)-1</f>
        <v>293</v>
      </c>
      <c r="D6" s="26"/>
      <c r="F6" s="25"/>
      <c r="G6" s="28">
        <f>AVERAGE('Clean_Data '!G:G)</f>
        <v>923.8675426621154</v>
      </c>
      <c r="H6" s="24"/>
      <c r="J6" s="25"/>
      <c r="K6" s="27">
        <f>COUNTIF('Clean_Data '!E:E,"Mogadishu")</f>
        <v>110</v>
      </c>
      <c r="L6" s="25"/>
      <c r="M6" s="25"/>
      <c r="P6" s="25"/>
      <c r="Q6" s="31">
        <f>COUNTIF('Clean_Data '!C:C,"Female")</f>
        <v>143</v>
      </c>
      <c r="R6" s="30"/>
    </row>
    <row r="7" spans="2:18">
      <c r="B7" s="25"/>
      <c r="C7" s="26" t="s">
        <v>378</v>
      </c>
      <c r="D7" s="26"/>
      <c r="F7" s="24" t="s">
        <v>379</v>
      </c>
      <c r="G7" s="24"/>
      <c r="H7" s="24"/>
      <c r="J7" s="25" t="s">
        <v>380</v>
      </c>
      <c r="K7" s="25"/>
      <c r="L7" s="25"/>
      <c r="M7" s="25"/>
      <c r="P7" s="25"/>
      <c r="Q7" s="30" t="s">
        <v>381</v>
      </c>
      <c r="R7" s="30"/>
    </row>
    <row r="8" spans="2:18">
      <c r="B8" s="26"/>
      <c r="C8" s="26"/>
      <c r="D8" s="26"/>
      <c r="F8" s="24"/>
      <c r="G8" s="24"/>
      <c r="H8" s="24"/>
      <c r="J8" s="25"/>
      <c r="K8" s="25"/>
      <c r="L8" s="25"/>
      <c r="M8" s="25"/>
      <c r="P8" s="30"/>
      <c r="Q8" s="30"/>
      <c r="R8" s="30"/>
    </row>
    <row r="24" spans="14:14">
      <c r="N24" t="s">
        <v>382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2026-08-18T11:48:25Z</dcterms:modified>
</cp:coreProperties>
</file>