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Deero DS Course\"/>
    </mc:Choice>
  </mc:AlternateContent>
  <bookViews>
    <workbookView xWindow="0" yWindow="0" windowWidth="28800" windowHeight="12210" activeTab="1"/>
  </bookViews>
  <sheets>
    <sheet name="Raw_Student_Data (2)" sheetId="8" r:id="rId1"/>
    <sheet name="Cleaned_Data" sheetId="2" r:id="rId2"/>
    <sheet name="Analysis" sheetId="9" r:id="rId3"/>
  </sheets>
  <calcPr calcId="162913"/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T5" i="2" l="1"/>
  <c r="T6" i="2"/>
  <c r="T17" i="2"/>
  <c r="T18" i="2"/>
  <c r="T29" i="2"/>
  <c r="T30" i="2"/>
  <c r="T41" i="2"/>
  <c r="T42" i="2"/>
  <c r="T53" i="2"/>
  <c r="T54" i="2"/>
  <c r="T65" i="2"/>
  <c r="T66" i="2"/>
  <c r="T77" i="2"/>
  <c r="T78" i="2"/>
  <c r="T89" i="2"/>
  <c r="T90" i="2"/>
  <c r="T101" i="2"/>
  <c r="T102" i="2"/>
  <c r="T113" i="2"/>
  <c r="T114" i="2"/>
  <c r="T125" i="2"/>
  <c r="T126" i="2"/>
  <c r="T137" i="2"/>
  <c r="T138" i="2"/>
  <c r="T149" i="2"/>
  <c r="T150" i="2"/>
  <c r="T161" i="2"/>
  <c r="T162" i="2"/>
  <c r="T173" i="2"/>
  <c r="T174" i="2"/>
  <c r="T185" i="2"/>
  <c r="T186" i="2"/>
  <c r="T197" i="2"/>
  <c r="T198" i="2"/>
  <c r="T209" i="2"/>
  <c r="T210" i="2"/>
  <c r="T221" i="2"/>
  <c r="T222" i="2"/>
  <c r="T233" i="2"/>
  <c r="T234" i="2"/>
  <c r="T245" i="2"/>
  <c r="T246" i="2"/>
  <c r="T257" i="2"/>
  <c r="T258" i="2"/>
  <c r="T269" i="2"/>
  <c r="T270" i="2"/>
  <c r="T281" i="2"/>
  <c r="T282" i="2"/>
  <c r="T293" i="2"/>
  <c r="T294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Q309" i="2"/>
  <c r="R309" i="2"/>
  <c r="S309" i="2"/>
  <c r="Q308" i="2"/>
  <c r="Q307" i="2"/>
  <c r="Q306" i="2"/>
  <c r="Q305" i="2"/>
  <c r="Q304" i="2"/>
  <c r="Q303" i="2"/>
  <c r="I2" i="9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C2" i="9"/>
  <c r="B2" i="9"/>
  <c r="S5" i="2"/>
  <c r="S15" i="2"/>
  <c r="S22" i="2"/>
  <c r="S112" i="2"/>
  <c r="S138" i="2"/>
  <c r="S139" i="2"/>
  <c r="S197" i="2"/>
  <c r="S198" i="2"/>
  <c r="S231" i="2"/>
  <c r="S282" i="2"/>
  <c r="S283" i="2"/>
  <c r="R2" i="2"/>
  <c r="N303" i="2" s="1"/>
  <c r="R3" i="2"/>
  <c r="S3" i="2" s="1"/>
  <c r="R4" i="2"/>
  <c r="S4" i="2" s="1"/>
  <c r="R5" i="2"/>
  <c r="R6" i="2"/>
  <c r="S6" i="2" s="1"/>
  <c r="R7" i="2"/>
  <c r="S7" i="2" s="1"/>
  <c r="R8" i="2"/>
  <c r="S8" i="2" s="1"/>
  <c r="R9" i="2"/>
  <c r="S9" i="2" s="1"/>
  <c r="R10" i="2"/>
  <c r="S10" i="2" s="1"/>
  <c r="R11" i="2"/>
  <c r="S11" i="2" s="1"/>
  <c r="R12" i="2"/>
  <c r="S12" i="2" s="1"/>
  <c r="R13" i="2"/>
  <c r="S13" i="2" s="1"/>
  <c r="R14" i="2"/>
  <c r="S14" i="2" s="1"/>
  <c r="R15" i="2"/>
  <c r="T15" i="2" s="1"/>
  <c r="R16" i="2"/>
  <c r="S16" i="2" s="1"/>
  <c r="R17" i="2"/>
  <c r="S17" i="2" s="1"/>
  <c r="R18" i="2"/>
  <c r="S18" i="2" s="1"/>
  <c r="R19" i="2"/>
  <c r="S19" i="2" s="1"/>
  <c r="R20" i="2"/>
  <c r="S20" i="2" s="1"/>
  <c r="R21" i="2"/>
  <c r="S21" i="2" s="1"/>
  <c r="R22" i="2"/>
  <c r="T22" i="2" s="1"/>
  <c r="R23" i="2"/>
  <c r="S23" i="2" s="1"/>
  <c r="R24" i="2"/>
  <c r="S24" i="2" s="1"/>
  <c r="R25" i="2"/>
  <c r="S25" i="2" s="1"/>
  <c r="R26" i="2"/>
  <c r="S26" i="2" s="1"/>
  <c r="R27" i="2"/>
  <c r="S27" i="2" s="1"/>
  <c r="R28" i="2"/>
  <c r="S28" i="2" s="1"/>
  <c r="R29" i="2"/>
  <c r="S29" i="2" s="1"/>
  <c r="R30" i="2"/>
  <c r="S30" i="2" s="1"/>
  <c r="R31" i="2"/>
  <c r="S31" i="2" s="1"/>
  <c r="R32" i="2"/>
  <c r="S32" i="2" s="1"/>
  <c r="R33" i="2"/>
  <c r="S33" i="2" s="1"/>
  <c r="R34" i="2"/>
  <c r="S34" i="2" s="1"/>
  <c r="R35" i="2"/>
  <c r="S35" i="2" s="1"/>
  <c r="R36" i="2"/>
  <c r="S36" i="2" s="1"/>
  <c r="R37" i="2"/>
  <c r="S37" i="2" s="1"/>
  <c r="R38" i="2"/>
  <c r="S38" i="2" s="1"/>
  <c r="R39" i="2"/>
  <c r="T39" i="2" s="1"/>
  <c r="R40" i="2"/>
  <c r="T40" i="2" s="1"/>
  <c r="R41" i="2"/>
  <c r="S41" i="2" s="1"/>
  <c r="R42" i="2"/>
  <c r="S42" i="2" s="1"/>
  <c r="R43" i="2"/>
  <c r="S43" i="2" s="1"/>
  <c r="R44" i="2"/>
  <c r="S44" i="2" s="1"/>
  <c r="R45" i="2"/>
  <c r="S45" i="2" s="1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S52" i="2" s="1"/>
  <c r="R53" i="2"/>
  <c r="S53" i="2" s="1"/>
  <c r="R54" i="2"/>
  <c r="S54" i="2" s="1"/>
  <c r="R55" i="2"/>
  <c r="S55" i="2" s="1"/>
  <c r="R56" i="2"/>
  <c r="S56" i="2" s="1"/>
  <c r="R57" i="2"/>
  <c r="S57" i="2" s="1"/>
  <c r="R58" i="2"/>
  <c r="S58" i="2" s="1"/>
  <c r="R59" i="2"/>
  <c r="S59" i="2" s="1"/>
  <c r="R60" i="2"/>
  <c r="S60" i="2" s="1"/>
  <c r="R61" i="2"/>
  <c r="S61" i="2" s="1"/>
  <c r="R62" i="2"/>
  <c r="S62" i="2" s="1"/>
  <c r="R63" i="2"/>
  <c r="S63" i="2" s="1"/>
  <c r="R64" i="2"/>
  <c r="S64" i="2" s="1"/>
  <c r="R65" i="2"/>
  <c r="S65" i="2" s="1"/>
  <c r="R66" i="2"/>
  <c r="S66" i="2" s="1"/>
  <c r="R67" i="2"/>
  <c r="S67" i="2" s="1"/>
  <c r="R68" i="2"/>
  <c r="S68" i="2" s="1"/>
  <c r="R69" i="2"/>
  <c r="S69" i="2" s="1"/>
  <c r="R70" i="2"/>
  <c r="S70" i="2" s="1"/>
  <c r="R71" i="2"/>
  <c r="S71" i="2" s="1"/>
  <c r="R72" i="2"/>
  <c r="S72" i="2" s="1"/>
  <c r="R73" i="2"/>
  <c r="S73" i="2" s="1"/>
  <c r="R74" i="2"/>
  <c r="S74" i="2" s="1"/>
  <c r="R75" i="2"/>
  <c r="S75" i="2" s="1"/>
  <c r="R76" i="2"/>
  <c r="T76" i="2" s="1"/>
  <c r="R77" i="2"/>
  <c r="S77" i="2" s="1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R84" i="2"/>
  <c r="S84" i="2" s="1"/>
  <c r="R85" i="2"/>
  <c r="S85" i="2" s="1"/>
  <c r="R86" i="2"/>
  <c r="S86" i="2" s="1"/>
  <c r="R87" i="2"/>
  <c r="S87" i="2" s="1"/>
  <c r="R88" i="2"/>
  <c r="S88" i="2" s="1"/>
  <c r="R89" i="2"/>
  <c r="S89" i="2" s="1"/>
  <c r="R90" i="2"/>
  <c r="S90" i="2" s="1"/>
  <c r="R91" i="2"/>
  <c r="S91" i="2" s="1"/>
  <c r="R92" i="2"/>
  <c r="S92" i="2" s="1"/>
  <c r="R93" i="2"/>
  <c r="S93" i="2" s="1"/>
  <c r="R94" i="2"/>
  <c r="S94" i="2" s="1"/>
  <c r="R95" i="2"/>
  <c r="S95" i="2" s="1"/>
  <c r="R96" i="2"/>
  <c r="S96" i="2" s="1"/>
  <c r="R97" i="2"/>
  <c r="S97" i="2" s="1"/>
  <c r="R98" i="2"/>
  <c r="S98" i="2" s="1"/>
  <c r="R99" i="2"/>
  <c r="S99" i="2" s="1"/>
  <c r="R100" i="2"/>
  <c r="S100" i="2" s="1"/>
  <c r="R101" i="2"/>
  <c r="S101" i="2" s="1"/>
  <c r="R102" i="2"/>
  <c r="S102" i="2" s="1"/>
  <c r="R103" i="2"/>
  <c r="S103" i="2" s="1"/>
  <c r="R104" i="2"/>
  <c r="S104" i="2" s="1"/>
  <c r="R105" i="2"/>
  <c r="S105" i="2" s="1"/>
  <c r="R106" i="2"/>
  <c r="S106" i="2" s="1"/>
  <c r="R107" i="2"/>
  <c r="S107" i="2" s="1"/>
  <c r="R108" i="2"/>
  <c r="S108" i="2" s="1"/>
  <c r="R109" i="2"/>
  <c r="S109" i="2" s="1"/>
  <c r="R110" i="2"/>
  <c r="S110" i="2" s="1"/>
  <c r="R111" i="2"/>
  <c r="S111" i="2" s="1"/>
  <c r="R112" i="2"/>
  <c r="T112" i="2" s="1"/>
  <c r="R113" i="2"/>
  <c r="S113" i="2" s="1"/>
  <c r="R114" i="2"/>
  <c r="S114" i="2" s="1"/>
  <c r="R115" i="2"/>
  <c r="S115" i="2" s="1"/>
  <c r="R116" i="2"/>
  <c r="S116" i="2" s="1"/>
  <c r="R117" i="2"/>
  <c r="S117" i="2" s="1"/>
  <c r="R118" i="2"/>
  <c r="S118" i="2" s="1"/>
  <c r="R119" i="2"/>
  <c r="S119" i="2" s="1"/>
  <c r="R120" i="2"/>
  <c r="S120" i="2" s="1"/>
  <c r="R121" i="2"/>
  <c r="S121" i="2" s="1"/>
  <c r="R122" i="2"/>
  <c r="S122" i="2" s="1"/>
  <c r="R123" i="2"/>
  <c r="S123" i="2" s="1"/>
  <c r="R124" i="2"/>
  <c r="S124" i="2" s="1"/>
  <c r="R125" i="2"/>
  <c r="S125" i="2" s="1"/>
  <c r="R126" i="2"/>
  <c r="S126" i="2" s="1"/>
  <c r="R127" i="2"/>
  <c r="S127" i="2" s="1"/>
  <c r="R128" i="2"/>
  <c r="S128" i="2" s="1"/>
  <c r="R129" i="2"/>
  <c r="S129" i="2" s="1"/>
  <c r="R130" i="2"/>
  <c r="S130" i="2" s="1"/>
  <c r="R131" i="2"/>
  <c r="S131" i="2" s="1"/>
  <c r="R132" i="2"/>
  <c r="S132" i="2" s="1"/>
  <c r="R133" i="2"/>
  <c r="S133" i="2" s="1"/>
  <c r="R134" i="2"/>
  <c r="S134" i="2" s="1"/>
  <c r="R135" i="2"/>
  <c r="T135" i="2" s="1"/>
  <c r="R136" i="2"/>
  <c r="S136" i="2" s="1"/>
  <c r="R137" i="2"/>
  <c r="S137" i="2" s="1"/>
  <c r="R138" i="2"/>
  <c r="R139" i="2"/>
  <c r="T139" i="2" s="1"/>
  <c r="R140" i="2"/>
  <c r="S140" i="2" s="1"/>
  <c r="R141" i="2"/>
  <c r="S141" i="2" s="1"/>
  <c r="R142" i="2"/>
  <c r="S142" i="2" s="1"/>
  <c r="R143" i="2"/>
  <c r="S143" i="2" s="1"/>
  <c r="R144" i="2"/>
  <c r="S144" i="2" s="1"/>
  <c r="R145" i="2"/>
  <c r="S145" i="2" s="1"/>
  <c r="R146" i="2"/>
  <c r="S146" i="2" s="1"/>
  <c r="R147" i="2"/>
  <c r="T147" i="2" s="1"/>
  <c r="R148" i="2"/>
  <c r="S148" i="2" s="1"/>
  <c r="R149" i="2"/>
  <c r="S149" i="2" s="1"/>
  <c r="R150" i="2"/>
  <c r="S150" i="2" s="1"/>
  <c r="R151" i="2"/>
  <c r="S151" i="2" s="1"/>
  <c r="R152" i="2"/>
  <c r="S152" i="2" s="1"/>
  <c r="R153" i="2"/>
  <c r="S153" i="2" s="1"/>
  <c r="R154" i="2"/>
  <c r="S154" i="2" s="1"/>
  <c r="R155" i="2"/>
  <c r="S155" i="2" s="1"/>
  <c r="R156" i="2"/>
  <c r="S156" i="2" s="1"/>
  <c r="R157" i="2"/>
  <c r="S157" i="2" s="1"/>
  <c r="R158" i="2"/>
  <c r="S158" i="2" s="1"/>
  <c r="R159" i="2"/>
  <c r="T159" i="2" s="1"/>
  <c r="R160" i="2"/>
  <c r="S160" i="2" s="1"/>
  <c r="R161" i="2"/>
  <c r="S161" i="2" s="1"/>
  <c r="R162" i="2"/>
  <c r="S162" i="2" s="1"/>
  <c r="R163" i="2"/>
  <c r="S163" i="2" s="1"/>
  <c r="R164" i="2"/>
  <c r="S164" i="2" s="1"/>
  <c r="R165" i="2"/>
  <c r="S165" i="2" s="1"/>
  <c r="R166" i="2"/>
  <c r="S166" i="2" s="1"/>
  <c r="R167" i="2"/>
  <c r="S167" i="2" s="1"/>
  <c r="R168" i="2"/>
  <c r="S168" i="2" s="1"/>
  <c r="R169" i="2"/>
  <c r="S169" i="2" s="1"/>
  <c r="R170" i="2"/>
  <c r="S170" i="2" s="1"/>
  <c r="R171" i="2"/>
  <c r="T171" i="2" s="1"/>
  <c r="R172" i="2"/>
  <c r="T172" i="2" s="1"/>
  <c r="R173" i="2"/>
  <c r="S173" i="2" s="1"/>
  <c r="R174" i="2"/>
  <c r="S174" i="2" s="1"/>
  <c r="R175" i="2"/>
  <c r="S175" i="2" s="1"/>
  <c r="R176" i="2"/>
  <c r="S176" i="2" s="1"/>
  <c r="R177" i="2"/>
  <c r="S177" i="2" s="1"/>
  <c r="R178" i="2"/>
  <c r="S178" i="2" s="1"/>
  <c r="R179" i="2"/>
  <c r="S179" i="2" s="1"/>
  <c r="R180" i="2"/>
  <c r="S180" i="2" s="1"/>
  <c r="R181" i="2"/>
  <c r="S181" i="2" s="1"/>
  <c r="R182" i="2"/>
  <c r="S182" i="2" s="1"/>
  <c r="R183" i="2"/>
  <c r="S183" i="2" s="1"/>
  <c r="R184" i="2"/>
  <c r="S184" i="2" s="1"/>
  <c r="R185" i="2"/>
  <c r="S185" i="2" s="1"/>
  <c r="R186" i="2"/>
  <c r="S186" i="2" s="1"/>
  <c r="R187" i="2"/>
  <c r="S187" i="2" s="1"/>
  <c r="R188" i="2"/>
  <c r="S188" i="2" s="1"/>
  <c r="R189" i="2"/>
  <c r="S189" i="2" s="1"/>
  <c r="R190" i="2"/>
  <c r="S190" i="2" s="1"/>
  <c r="R191" i="2"/>
  <c r="S191" i="2" s="1"/>
  <c r="R192" i="2"/>
  <c r="S192" i="2" s="1"/>
  <c r="R193" i="2"/>
  <c r="S193" i="2" s="1"/>
  <c r="R194" i="2"/>
  <c r="S194" i="2" s="1"/>
  <c r="R195" i="2"/>
  <c r="T195" i="2" s="1"/>
  <c r="R196" i="2"/>
  <c r="T196" i="2" s="1"/>
  <c r="R197" i="2"/>
  <c r="R198" i="2"/>
  <c r="R199" i="2"/>
  <c r="S199" i="2" s="1"/>
  <c r="R200" i="2"/>
  <c r="S200" i="2" s="1"/>
  <c r="R201" i="2"/>
  <c r="S201" i="2" s="1"/>
  <c r="R202" i="2"/>
  <c r="S202" i="2" s="1"/>
  <c r="R203" i="2"/>
  <c r="S203" i="2" s="1"/>
  <c r="R204" i="2"/>
  <c r="S204" i="2" s="1"/>
  <c r="R205" i="2"/>
  <c r="S205" i="2" s="1"/>
  <c r="R206" i="2"/>
  <c r="S206" i="2" s="1"/>
  <c r="R207" i="2"/>
  <c r="S207" i="2" s="1"/>
  <c r="R208" i="2"/>
  <c r="S208" i="2" s="1"/>
  <c r="R209" i="2"/>
  <c r="S209" i="2" s="1"/>
  <c r="R210" i="2"/>
  <c r="S210" i="2" s="1"/>
  <c r="R211" i="2"/>
  <c r="S211" i="2" s="1"/>
  <c r="R212" i="2"/>
  <c r="S212" i="2" s="1"/>
  <c r="R213" i="2"/>
  <c r="S213" i="2" s="1"/>
  <c r="R214" i="2"/>
  <c r="S214" i="2" s="1"/>
  <c r="R215" i="2"/>
  <c r="S215" i="2" s="1"/>
  <c r="R216" i="2"/>
  <c r="S216" i="2" s="1"/>
  <c r="R217" i="2"/>
  <c r="S217" i="2" s="1"/>
  <c r="R218" i="2"/>
  <c r="S218" i="2" s="1"/>
  <c r="R219" i="2"/>
  <c r="S219" i="2" s="1"/>
  <c r="R220" i="2"/>
  <c r="S220" i="2" s="1"/>
  <c r="R221" i="2"/>
  <c r="S221" i="2" s="1"/>
  <c r="R222" i="2"/>
  <c r="S222" i="2" s="1"/>
  <c r="R223" i="2"/>
  <c r="S223" i="2" s="1"/>
  <c r="R224" i="2"/>
  <c r="S224" i="2" s="1"/>
  <c r="R225" i="2"/>
  <c r="S225" i="2" s="1"/>
  <c r="R226" i="2"/>
  <c r="S226" i="2" s="1"/>
  <c r="R227" i="2"/>
  <c r="S227" i="2" s="1"/>
  <c r="R228" i="2"/>
  <c r="S228" i="2" s="1"/>
  <c r="R229" i="2"/>
  <c r="S229" i="2" s="1"/>
  <c r="R230" i="2"/>
  <c r="S230" i="2" s="1"/>
  <c r="R231" i="2"/>
  <c r="T231" i="2" s="1"/>
  <c r="R232" i="2"/>
  <c r="T232" i="2" s="1"/>
  <c r="R233" i="2"/>
  <c r="S233" i="2" s="1"/>
  <c r="R234" i="2"/>
  <c r="S234" i="2" s="1"/>
  <c r="R235" i="2"/>
  <c r="S235" i="2" s="1"/>
  <c r="R236" i="2"/>
  <c r="S236" i="2" s="1"/>
  <c r="R237" i="2"/>
  <c r="S237" i="2" s="1"/>
  <c r="R238" i="2"/>
  <c r="S238" i="2" s="1"/>
  <c r="R239" i="2"/>
  <c r="S239" i="2" s="1"/>
  <c r="R240" i="2"/>
  <c r="S240" i="2" s="1"/>
  <c r="R241" i="2"/>
  <c r="S241" i="2" s="1"/>
  <c r="R242" i="2"/>
  <c r="S242" i="2" s="1"/>
  <c r="R243" i="2"/>
  <c r="S243" i="2" s="1"/>
  <c r="R244" i="2"/>
  <c r="S244" i="2" s="1"/>
  <c r="R245" i="2"/>
  <c r="S245" i="2" s="1"/>
  <c r="R246" i="2"/>
  <c r="S246" i="2" s="1"/>
  <c r="R247" i="2"/>
  <c r="S247" i="2" s="1"/>
  <c r="R248" i="2"/>
  <c r="S248" i="2" s="1"/>
  <c r="R249" i="2"/>
  <c r="S249" i="2" s="1"/>
  <c r="R250" i="2"/>
  <c r="S250" i="2" s="1"/>
  <c r="R251" i="2"/>
  <c r="S251" i="2" s="1"/>
  <c r="R252" i="2"/>
  <c r="S252" i="2" s="1"/>
  <c r="R253" i="2"/>
  <c r="S253" i="2" s="1"/>
  <c r="R254" i="2"/>
  <c r="S254" i="2" s="1"/>
  <c r="R255" i="2"/>
  <c r="T255" i="2" s="1"/>
  <c r="R256" i="2"/>
  <c r="T256" i="2" s="1"/>
  <c r="R257" i="2"/>
  <c r="S257" i="2" s="1"/>
  <c r="R258" i="2"/>
  <c r="S258" i="2" s="1"/>
  <c r="R259" i="2"/>
  <c r="S259" i="2" s="1"/>
  <c r="R260" i="2"/>
  <c r="S260" i="2" s="1"/>
  <c r="R261" i="2"/>
  <c r="S261" i="2" s="1"/>
  <c r="R262" i="2"/>
  <c r="S262" i="2" s="1"/>
  <c r="R263" i="2"/>
  <c r="S263" i="2" s="1"/>
  <c r="R264" i="2"/>
  <c r="S264" i="2" s="1"/>
  <c r="R265" i="2"/>
  <c r="S265" i="2" s="1"/>
  <c r="R266" i="2"/>
  <c r="S266" i="2" s="1"/>
  <c r="R267" i="2"/>
  <c r="S267" i="2" s="1"/>
  <c r="R268" i="2"/>
  <c r="S268" i="2" s="1"/>
  <c r="R269" i="2"/>
  <c r="S269" i="2" s="1"/>
  <c r="R270" i="2"/>
  <c r="S270" i="2" s="1"/>
  <c r="R271" i="2"/>
  <c r="S271" i="2" s="1"/>
  <c r="R272" i="2"/>
  <c r="S272" i="2" s="1"/>
  <c r="R273" i="2"/>
  <c r="S273" i="2" s="1"/>
  <c r="R274" i="2"/>
  <c r="S274" i="2" s="1"/>
  <c r="R275" i="2"/>
  <c r="S275" i="2" s="1"/>
  <c r="R276" i="2"/>
  <c r="S276" i="2" s="1"/>
  <c r="R277" i="2"/>
  <c r="S277" i="2" s="1"/>
  <c r="R278" i="2"/>
  <c r="S278" i="2" s="1"/>
  <c r="R279" i="2"/>
  <c r="T279" i="2" s="1"/>
  <c r="R280" i="2"/>
  <c r="T280" i="2" s="1"/>
  <c r="R281" i="2"/>
  <c r="S281" i="2" s="1"/>
  <c r="R282" i="2"/>
  <c r="R283" i="2"/>
  <c r="T283" i="2" s="1"/>
  <c r="R284" i="2"/>
  <c r="S284" i="2" s="1"/>
  <c r="R285" i="2"/>
  <c r="S285" i="2" s="1"/>
  <c r="R286" i="2"/>
  <c r="S286" i="2" s="1"/>
  <c r="R287" i="2"/>
  <c r="S287" i="2" s="1"/>
  <c r="R288" i="2"/>
  <c r="S288" i="2" s="1"/>
  <c r="R289" i="2"/>
  <c r="S289" i="2" s="1"/>
  <c r="R290" i="2"/>
  <c r="S290" i="2" s="1"/>
  <c r="R291" i="2"/>
  <c r="T291" i="2" s="1"/>
  <c r="R292" i="2"/>
  <c r="S292" i="2" s="1"/>
  <c r="R293" i="2"/>
  <c r="S293" i="2" s="1"/>
  <c r="R294" i="2"/>
  <c r="S294" i="2" s="1"/>
  <c r="R295" i="2"/>
  <c r="S295" i="2" s="1"/>
  <c r="R296" i="2"/>
  <c r="S296" i="2" s="1"/>
  <c r="T62" i="2" l="1"/>
  <c r="S196" i="2"/>
  <c r="N305" i="2"/>
  <c r="T289" i="2"/>
  <c r="T277" i="2"/>
  <c r="T265" i="2"/>
  <c r="T253" i="2"/>
  <c r="T241" i="2"/>
  <c r="T229" i="2"/>
  <c r="T217" i="2"/>
  <c r="T205" i="2"/>
  <c r="T193" i="2"/>
  <c r="T181" i="2"/>
  <c r="T169" i="2"/>
  <c r="T157" i="2"/>
  <c r="T145" i="2"/>
  <c r="T133" i="2"/>
  <c r="T121" i="2"/>
  <c r="T109" i="2"/>
  <c r="T97" i="2"/>
  <c r="T85" i="2"/>
  <c r="T73" i="2"/>
  <c r="T61" i="2"/>
  <c r="T49" i="2"/>
  <c r="T37" i="2"/>
  <c r="T25" i="2"/>
  <c r="T13" i="2"/>
  <c r="T26" i="2"/>
  <c r="S280" i="2"/>
  <c r="S195" i="2"/>
  <c r="N306" i="2"/>
  <c r="T288" i="2"/>
  <c r="T276" i="2"/>
  <c r="T264" i="2"/>
  <c r="T252" i="2"/>
  <c r="T240" i="2"/>
  <c r="T228" i="2"/>
  <c r="T216" i="2"/>
  <c r="T204" i="2"/>
  <c r="T192" i="2"/>
  <c r="T180" i="2"/>
  <c r="T168" i="2"/>
  <c r="T156" i="2"/>
  <c r="T144" i="2"/>
  <c r="T132" i="2"/>
  <c r="T120" i="2"/>
  <c r="T108" i="2"/>
  <c r="T96" i="2"/>
  <c r="T84" i="2"/>
  <c r="T72" i="2"/>
  <c r="T60" i="2"/>
  <c r="T48" i="2"/>
  <c r="T36" i="2"/>
  <c r="T24" i="2"/>
  <c r="T12" i="2"/>
  <c r="T2" i="2"/>
  <c r="S279" i="2"/>
  <c r="N307" i="2"/>
  <c r="T287" i="2"/>
  <c r="T275" i="2"/>
  <c r="T263" i="2"/>
  <c r="T251" i="2"/>
  <c r="T239" i="2"/>
  <c r="T227" i="2"/>
  <c r="T215" i="2"/>
  <c r="T203" i="2"/>
  <c r="T191" i="2"/>
  <c r="T179" i="2"/>
  <c r="T167" i="2"/>
  <c r="T155" i="2"/>
  <c r="T143" i="2"/>
  <c r="T131" i="2"/>
  <c r="T119" i="2"/>
  <c r="T107" i="2"/>
  <c r="T95" i="2"/>
  <c r="T83" i="2"/>
  <c r="T71" i="2"/>
  <c r="T59" i="2"/>
  <c r="T47" i="2"/>
  <c r="T35" i="2"/>
  <c r="T23" i="2"/>
  <c r="T11" i="2"/>
  <c r="T50" i="2"/>
  <c r="S172" i="2"/>
  <c r="S76" i="2"/>
  <c r="N308" i="2"/>
  <c r="S2" i="2"/>
  <c r="T286" i="2"/>
  <c r="T274" i="2"/>
  <c r="T262" i="2"/>
  <c r="T250" i="2"/>
  <c r="T238" i="2"/>
  <c r="T226" i="2"/>
  <c r="T214" i="2"/>
  <c r="T202" i="2"/>
  <c r="T190" i="2"/>
  <c r="T178" i="2"/>
  <c r="T166" i="2"/>
  <c r="T154" i="2"/>
  <c r="T142" i="2"/>
  <c r="T130" i="2"/>
  <c r="T118" i="2"/>
  <c r="T106" i="2"/>
  <c r="T94" i="2"/>
  <c r="T82" i="2"/>
  <c r="T70" i="2"/>
  <c r="T58" i="2"/>
  <c r="T46" i="2"/>
  <c r="T34" i="2"/>
  <c r="T10" i="2"/>
  <c r="T38" i="2"/>
  <c r="S171" i="2"/>
  <c r="T285" i="2"/>
  <c r="T273" i="2"/>
  <c r="T261" i="2"/>
  <c r="T249" i="2"/>
  <c r="T237" i="2"/>
  <c r="T225" i="2"/>
  <c r="T213" i="2"/>
  <c r="T201" i="2"/>
  <c r="T189" i="2"/>
  <c r="T177" i="2"/>
  <c r="T165" i="2"/>
  <c r="T153" i="2"/>
  <c r="T141" i="2"/>
  <c r="T129" i="2"/>
  <c r="T117" i="2"/>
  <c r="T105" i="2"/>
  <c r="T93" i="2"/>
  <c r="T81" i="2"/>
  <c r="T69" i="2"/>
  <c r="T57" i="2"/>
  <c r="T45" i="2"/>
  <c r="T33" i="2"/>
  <c r="T21" i="2"/>
  <c r="T9" i="2"/>
  <c r="S135" i="2"/>
  <c r="N304" i="2"/>
  <c r="T290" i="2"/>
  <c r="T278" i="2"/>
  <c r="T266" i="2"/>
  <c r="T254" i="2"/>
  <c r="T242" i="2"/>
  <c r="T230" i="2"/>
  <c r="T218" i="2"/>
  <c r="T206" i="2"/>
  <c r="T194" i="2"/>
  <c r="T182" i="2"/>
  <c r="T170" i="2"/>
  <c r="T158" i="2"/>
  <c r="T146" i="2"/>
  <c r="T134" i="2"/>
  <c r="T122" i="2"/>
  <c r="T110" i="2"/>
  <c r="T98" i="2"/>
  <c r="T86" i="2"/>
  <c r="T74" i="2"/>
  <c r="T14" i="2"/>
  <c r="S256" i="2"/>
  <c r="S159" i="2"/>
  <c r="S40" i="2"/>
  <c r="T296" i="2"/>
  <c r="T284" i="2"/>
  <c r="T272" i="2"/>
  <c r="T260" i="2"/>
  <c r="T248" i="2"/>
  <c r="T236" i="2"/>
  <c r="T224" i="2"/>
  <c r="T212" i="2"/>
  <c r="T200" i="2"/>
  <c r="T188" i="2"/>
  <c r="T176" i="2"/>
  <c r="T164" i="2"/>
  <c r="T152" i="2"/>
  <c r="T140" i="2"/>
  <c r="T128" i="2"/>
  <c r="T116" i="2"/>
  <c r="T104" i="2"/>
  <c r="T92" i="2"/>
  <c r="T80" i="2"/>
  <c r="T68" i="2"/>
  <c r="T56" i="2"/>
  <c r="T44" i="2"/>
  <c r="T32" i="2"/>
  <c r="T20" i="2"/>
  <c r="T8" i="2"/>
  <c r="S255" i="2"/>
  <c r="S147" i="2"/>
  <c r="S39" i="2"/>
  <c r="T295" i="2"/>
  <c r="T271" i="2"/>
  <c r="T259" i="2"/>
  <c r="T247" i="2"/>
  <c r="T235" i="2"/>
  <c r="T223" i="2"/>
  <c r="T211" i="2"/>
  <c r="T199" i="2"/>
  <c r="T187" i="2"/>
  <c r="T175" i="2"/>
  <c r="T163" i="2"/>
  <c r="T151" i="2"/>
  <c r="T127" i="2"/>
  <c r="T115" i="2"/>
  <c r="T103" i="2"/>
  <c r="T91" i="2"/>
  <c r="T79" i="2"/>
  <c r="T67" i="2"/>
  <c r="T55" i="2"/>
  <c r="T43" i="2"/>
  <c r="T31" i="2"/>
  <c r="T19" i="2"/>
  <c r="T7" i="2"/>
  <c r="S232" i="2"/>
  <c r="S291" i="2"/>
  <c r="T292" i="2"/>
  <c r="T268" i="2"/>
  <c r="T244" i="2"/>
  <c r="T220" i="2"/>
  <c r="T208" i="2"/>
  <c r="T184" i="2"/>
  <c r="T160" i="2"/>
  <c r="T148" i="2"/>
  <c r="T136" i="2"/>
  <c r="T124" i="2"/>
  <c r="T100" i="2"/>
  <c r="T88" i="2"/>
  <c r="T64" i="2"/>
  <c r="T52" i="2"/>
  <c r="T28" i="2"/>
  <c r="T16" i="2"/>
  <c r="T4" i="2"/>
  <c r="T267" i="2"/>
  <c r="T243" i="2"/>
  <c r="T219" i="2"/>
  <c r="T207" i="2"/>
  <c r="T183" i="2"/>
  <c r="T123" i="2"/>
  <c r="T111" i="2"/>
  <c r="T99" i="2"/>
  <c r="T87" i="2"/>
  <c r="T75" i="2"/>
  <c r="T63" i="2"/>
  <c r="T51" i="2"/>
  <c r="T27" i="2"/>
  <c r="T3" i="2"/>
</calcChain>
</file>

<file path=xl/sharedStrings.xml><?xml version="1.0" encoding="utf-8"?>
<sst xmlns="http://schemas.openxmlformats.org/spreadsheetml/2006/main" count="6237" uniqueCount="1429">
  <si>
    <t>Student_ID</t>
  </si>
  <si>
    <t>Full_Name</t>
  </si>
  <si>
    <t>Gender</t>
  </si>
  <si>
    <t>Department_Code</t>
  </si>
  <si>
    <t>Department_Entered</t>
  </si>
  <si>
    <t>City</t>
  </si>
  <si>
    <t>Registration_Date</t>
  </si>
  <si>
    <t>Exam_Date</t>
  </si>
  <si>
    <t>Attendance</t>
  </si>
  <si>
    <t>GPA</t>
  </si>
  <si>
    <t>Assignment_Score</t>
  </si>
  <si>
    <t>Midterm_Score</t>
  </si>
  <si>
    <t>Final_Score</t>
  </si>
  <si>
    <t>Status</t>
  </si>
  <si>
    <t>Email</t>
  </si>
  <si>
    <t>Phone</t>
  </si>
  <si>
    <t>Contact_Block</t>
  </si>
  <si>
    <t>STD-2026-0001</t>
  </si>
  <si>
    <t>Amina Ali</t>
  </si>
  <si>
    <t>Female</t>
  </si>
  <si>
    <t>BUS</t>
  </si>
  <si>
    <t>Business Administration</t>
  </si>
  <si>
    <t>Hargeisa</t>
  </si>
  <si>
    <t>Active</t>
  </si>
  <si>
    <t>amina.ali1@student.example.edu</t>
  </si>
  <si>
    <t>0622575562</t>
  </si>
  <si>
    <t>amina.ali1@student.example.edu;0622575562</t>
  </si>
  <si>
    <t>STD-2026-0002</t>
  </si>
  <si>
    <t>Yusuf Mohamud</t>
  </si>
  <si>
    <t>Male</t>
  </si>
  <si>
    <t>ECO</t>
  </si>
  <si>
    <t>Economics</t>
  </si>
  <si>
    <t>Deferred</t>
  </si>
  <si>
    <t>yusuf.mohamud2@student.example.edu</t>
  </si>
  <si>
    <t>0631429110</t>
  </si>
  <si>
    <t>yusuf.mohamud2@student.example.edu;0631429110</t>
  </si>
  <si>
    <t>STD-2026-0003</t>
  </si>
  <si>
    <t>Nimo Yusuf</t>
  </si>
  <si>
    <t>nimo.yusuf3@student.example.edu</t>
  </si>
  <si>
    <t>0671662963</t>
  </si>
  <si>
    <t>nimo.yusuf3@student.example.edu;0671662963</t>
  </si>
  <si>
    <t>STD-2026-0004</t>
  </si>
  <si>
    <t>Zahra Abdi</t>
  </si>
  <si>
    <t>CS</t>
  </si>
  <si>
    <t>Computer Science</t>
  </si>
  <si>
    <t>Baidoa</t>
  </si>
  <si>
    <t>zahra.abdi4@student.example.edu</t>
  </si>
  <si>
    <t>0620709497</t>
  </si>
  <si>
    <t>zahra.abdi4@student.example.edu;0620709497</t>
  </si>
  <si>
    <t>STD-2026-0005</t>
  </si>
  <si>
    <t>Maryan Abdi</t>
  </si>
  <si>
    <t>ENG</t>
  </si>
  <si>
    <t>Engineering</t>
  </si>
  <si>
    <t>Kismayo</t>
  </si>
  <si>
    <t>maryan.abdi5@student.example.edu</t>
  </si>
  <si>
    <t>0632969840</t>
  </si>
  <si>
    <t>maryan.abdi5@student.example.edu;0632969840</t>
  </si>
  <si>
    <t>STD-2026-0006</t>
  </si>
  <si>
    <t>Zahra Mohamud</t>
  </si>
  <si>
    <t>PH</t>
  </si>
  <si>
    <t>Public Health</t>
  </si>
  <si>
    <t>zahra.mohamud6@student.example.edu</t>
  </si>
  <si>
    <t>0652339391</t>
  </si>
  <si>
    <t>zahra.mohamud6@student.example.edu;0652339391</t>
  </si>
  <si>
    <t>STD-2026-0007</t>
  </si>
  <si>
    <t>Hassan Farah</t>
  </si>
  <si>
    <t>hassan.farah7@student.example.edu</t>
  </si>
  <si>
    <t>0643101783</t>
  </si>
  <si>
    <t>hassan.farah7@student.example.edu;0643101783</t>
  </si>
  <si>
    <t>STD-2026-0008</t>
  </si>
  <si>
    <t>Zahra Samatar</t>
  </si>
  <si>
    <t>EDU</t>
  </si>
  <si>
    <t>Education</t>
  </si>
  <si>
    <t>zahra.samatar8@student.example.edu</t>
  </si>
  <si>
    <t>0616323852</t>
  </si>
  <si>
    <t>zahra.samatar8@student.example.edu;0616323852</t>
  </si>
  <si>
    <t>STD-2026-0009</t>
  </si>
  <si>
    <t>Amina Nur</t>
  </si>
  <si>
    <t>Graduated</t>
  </si>
  <si>
    <t>amina.nur9@student.example.edu</t>
  </si>
  <si>
    <t>0611540956</t>
  </si>
  <si>
    <t>amina.nur9@student.example.edu;0611540956</t>
  </si>
  <si>
    <t>STD-2026-0010</t>
  </si>
  <si>
    <t>Amina Samatar</t>
  </si>
  <si>
    <t>Garowe</t>
  </si>
  <si>
    <t>amina.samatar10@student.example.edu</t>
  </si>
  <si>
    <t>0678139880</t>
  </si>
  <si>
    <t>amina.samatar10@student.example.edu;0678139880</t>
  </si>
  <si>
    <t>STD-2026-0011</t>
  </si>
  <si>
    <t>Amina Aden</t>
  </si>
  <si>
    <t>amina.aden11@student.example.edu</t>
  </si>
  <si>
    <t>0658718453</t>
  </si>
  <si>
    <t>amina.aden11@student.example.edu;0658718453</t>
  </si>
  <si>
    <t>STD-2026-0012</t>
  </si>
  <si>
    <t>Sahra Mohamud</t>
  </si>
  <si>
    <t>sahra.mohamud12@student.example.edu</t>
  </si>
  <si>
    <t>0683793389</t>
  </si>
  <si>
    <t>sahra.mohamud12@student.example.edu;0683793389</t>
  </si>
  <si>
    <t>STD-2026-0013</t>
  </si>
  <si>
    <t>FADUMO FARAH</t>
  </si>
  <si>
    <t>fadumo.farah13@student.example.edu</t>
  </si>
  <si>
    <t>0670597444</t>
  </si>
  <si>
    <t>fadumo.farah13@student.example.edu;0670597444</t>
  </si>
  <si>
    <t>STD-2026-0014</t>
  </si>
  <si>
    <t>Amina Mohamud</t>
  </si>
  <si>
    <t>amina.mohamud14@student.example.edu</t>
  </si>
  <si>
    <t>0614216175</t>
  </si>
  <si>
    <t>amina.mohamud14@student.example.edu;0614216175</t>
  </si>
  <si>
    <t>STD-2026-0015</t>
  </si>
  <si>
    <t>Omar Hassan</t>
  </si>
  <si>
    <t>male</t>
  </si>
  <si>
    <t>Bosaso</t>
  </si>
  <si>
    <t>omar.hassan15@student.example.edu</t>
  </si>
  <si>
    <t>0664634663</t>
  </si>
  <si>
    <t>omar.hassan15@student.example.edu;0664634663</t>
  </si>
  <si>
    <t>STD-2026-0016</t>
  </si>
  <si>
    <t>Yusuf Abdi</t>
  </si>
  <si>
    <t>yusuf.abdi16@student.example.edu</t>
  </si>
  <si>
    <t>0655540424</t>
  </si>
  <si>
    <t>yusuf.abdi16@student.example.edu;0655540424</t>
  </si>
  <si>
    <t>STD-2026-0017</t>
  </si>
  <si>
    <t>AMINA.MOHAMUD17@STUDENT.EXAMPLE.EDU</t>
  </si>
  <si>
    <t>0683863413</t>
  </si>
  <si>
    <t>amina.mohamud17@student.example.edu;0683863413</t>
  </si>
  <si>
    <t>STD-2026-0018</t>
  </si>
  <si>
    <t>Amina Omar</t>
  </si>
  <si>
    <t>mogadishu</t>
  </si>
  <si>
    <t>amina.omar18@student.example.edu</t>
  </si>
  <si>
    <t>0610289289</t>
  </si>
  <si>
    <t>amina.omar18@student.example.edu;0610289289</t>
  </si>
  <si>
    <t>STD-2026-0019</t>
  </si>
  <si>
    <t>hassan.farah19@student.example.edu</t>
  </si>
  <si>
    <t>0652091325</t>
  </si>
  <si>
    <t>hassan.farah19@student.example.edu;0652091325</t>
  </si>
  <si>
    <t>STD-2026-0020</t>
  </si>
  <si>
    <t>Hodan Omar</t>
  </si>
  <si>
    <t>computer science</t>
  </si>
  <si>
    <t>hodan.omar20@student.example.edu</t>
  </si>
  <si>
    <t>0641568532</t>
  </si>
  <si>
    <t>hodan.omar20@student.example.edu;0641568532</t>
  </si>
  <si>
    <t>STD-2026-0021</t>
  </si>
  <si>
    <t>Hassan Abdi</t>
  </si>
  <si>
    <t>hassan.abdi21@student.example.edu</t>
  </si>
  <si>
    <t>0652169044</t>
  </si>
  <si>
    <t>hassan.abdi21@student.example.edu;0652169044</t>
  </si>
  <si>
    <t>STD-2026-0022</t>
  </si>
  <si>
    <t>Maryan Farah</t>
  </si>
  <si>
    <t>maryan.farah22@student.example.edu</t>
  </si>
  <si>
    <t>0685563727</t>
  </si>
  <si>
    <t>maryan.farah22@student.example.edu;0685563727</t>
  </si>
  <si>
    <t>STD-2026-0023</t>
  </si>
  <si>
    <t>Amina Hassan</t>
  </si>
  <si>
    <t>active</t>
  </si>
  <si>
    <t>amina.hassan23@student.example.edu</t>
  </si>
  <si>
    <t>0682909480</t>
  </si>
  <si>
    <t>amina.hassan23@student.example.edu;0682909480</t>
  </si>
  <si>
    <t>STD-2026-0024</t>
  </si>
  <si>
    <t>Sahra Roble</t>
  </si>
  <si>
    <t>sahra.roble24@student.example.edu</t>
  </si>
  <si>
    <t>0647816686</t>
  </si>
  <si>
    <t>sahra.roble24@student.example.edu;0647816686</t>
  </si>
  <si>
    <t>STD-2026-0026</t>
  </si>
  <si>
    <t>Hodan Ali</t>
  </si>
  <si>
    <t>hodan.ali26@student.example.edu</t>
  </si>
  <si>
    <t>0630005727</t>
  </si>
  <si>
    <t>hodan.ali26@student.example.edu;0630005727</t>
  </si>
  <si>
    <t>STD-2026-0027</t>
  </si>
  <si>
    <t>Zahra Omar</t>
  </si>
  <si>
    <t>zahra.omar27@student.example.edu</t>
  </si>
  <si>
    <t>0643491314</t>
  </si>
  <si>
    <t>zahra.omar27@student.example.edu;0643491314</t>
  </si>
  <si>
    <t>STD-2026-0028</t>
  </si>
  <si>
    <t>Amina Osman</t>
  </si>
  <si>
    <t>amina.osman28@student.example.edu</t>
  </si>
  <si>
    <t>0654585178</t>
  </si>
  <si>
    <t>amina.osman28@student.example.edu;0654585178</t>
  </si>
  <si>
    <t>STD-2026-0029</t>
  </si>
  <si>
    <t>Nimo Mohamud</t>
  </si>
  <si>
    <t>nimo.mohamud29@student.example.edu</t>
  </si>
  <si>
    <t>0640547349</t>
  </si>
  <si>
    <t>nimo.mohamud29@student.example.edu;0640547349</t>
  </si>
  <si>
    <t>STD-2026-0030</t>
  </si>
  <si>
    <t>Maryan Ali</t>
  </si>
  <si>
    <t>maryan.ali30@student.example.edu</t>
  </si>
  <si>
    <t>0613704481</t>
  </si>
  <si>
    <t>maryan.ali30@student.example.edu;0613704481</t>
  </si>
  <si>
    <t>STD-2026-0031</t>
  </si>
  <si>
    <t>Amina Farah</t>
  </si>
  <si>
    <t>amina.farah31@student.example.edu</t>
  </si>
  <si>
    <t>0678642041</t>
  </si>
  <si>
    <t>amina.farah31@student.example.edu;0678642041</t>
  </si>
  <si>
    <t>STD-2026-0032</t>
  </si>
  <si>
    <t>Amina Jama</t>
  </si>
  <si>
    <t>Mogadishu</t>
  </si>
  <si>
    <t>amina.jama32@student.example.edu</t>
  </si>
  <si>
    <t>0699152472</t>
  </si>
  <si>
    <t>amina.jama32@student.example.edu;0699152472</t>
  </si>
  <si>
    <t>STD-2026-0033</t>
  </si>
  <si>
    <t>Omar Roble</t>
  </si>
  <si>
    <t>omar.roble33@student.example.edu</t>
  </si>
  <si>
    <t>0635748341</t>
  </si>
  <si>
    <t>omar.roble33@student.example.edu;0635748341</t>
  </si>
  <si>
    <t>STD-2026-0034</t>
  </si>
  <si>
    <t>Nimo Jama</t>
  </si>
  <si>
    <t>nimo.jama34@student.example.edu</t>
  </si>
  <si>
    <t>0687844239</t>
  </si>
  <si>
    <t>nimo.jama34@student.example.edu;0687844239</t>
  </si>
  <si>
    <t>STD-2026-0035</t>
  </si>
  <si>
    <t>Ikram Yusuf</t>
  </si>
  <si>
    <t>ikram.yusuf35@student.example.edu</t>
  </si>
  <si>
    <t>0699100953</t>
  </si>
  <si>
    <t>ikram.yusuf35@student.example.edu;0699100953</t>
  </si>
  <si>
    <t>STD-2026-0036</t>
  </si>
  <si>
    <t>ikram.yusuf36@student.example.edu</t>
  </si>
  <si>
    <t>0619774839</t>
  </si>
  <si>
    <t>ikram.yusuf36@student.example.edu;0619774839</t>
  </si>
  <si>
    <t>STD-2026-0037</t>
  </si>
  <si>
    <t>Khalid Sheikh</t>
  </si>
  <si>
    <t>khalid.sheikh37@student.example.edu</t>
  </si>
  <si>
    <t>0639372360</t>
  </si>
  <si>
    <t>khalid.sheikh37@student.example.edu;0639372360</t>
  </si>
  <si>
    <t>STD-2026-0038</t>
  </si>
  <si>
    <t>Fadumo Muse</t>
  </si>
  <si>
    <t>fadumo.muse38@student.example.edu</t>
  </si>
  <si>
    <t>0677750178</t>
  </si>
  <si>
    <t>fadumo.muse38@student.example.edu;0677750178</t>
  </si>
  <si>
    <t>STD-2026-0039</t>
  </si>
  <si>
    <t>Nimo Samatar</t>
  </si>
  <si>
    <t>nimo.samatar39@student.example.edu</t>
  </si>
  <si>
    <t>0642111036</t>
  </si>
  <si>
    <t>nimo.samatar39@student.example.edu;0642111036</t>
  </si>
  <si>
    <t>STD-2026-0041</t>
  </si>
  <si>
    <t>Abdi Warsame</t>
  </si>
  <si>
    <t>abdi.warsame41@student.example.edu</t>
  </si>
  <si>
    <t>0688393811</t>
  </si>
  <si>
    <t>abdi.warsame41@student.example.edu;0688393811</t>
  </si>
  <si>
    <t>STD-2026-0042</t>
  </si>
  <si>
    <t>Ahmed Dahir</t>
  </si>
  <si>
    <t>0683300637</t>
  </si>
  <si>
    <t>ahmed.dahir42@student.example.edu;0683300637</t>
  </si>
  <si>
    <t>STD-2026-0043</t>
  </si>
  <si>
    <t>Ikram Mohamud</t>
  </si>
  <si>
    <t>ikram.mohamud43@student.example.edu</t>
  </si>
  <si>
    <t>0627129912</t>
  </si>
  <si>
    <t>ikram.mohamud43@student.example.edu;0627129912</t>
  </si>
  <si>
    <t>STD-2026-0044</t>
  </si>
  <si>
    <t>Ikram Samatar</t>
  </si>
  <si>
    <t>ikram.samatar44@student.example.edu</t>
  </si>
  <si>
    <t>0660882459</t>
  </si>
  <si>
    <t>ikram.samatar44@student.example.edu;0660882459</t>
  </si>
  <si>
    <t>STD-2026-0045</t>
  </si>
  <si>
    <t>Omar Warsame</t>
  </si>
  <si>
    <t>MALE</t>
  </si>
  <si>
    <t>omar.warsame45@student.example.edu</t>
  </si>
  <si>
    <t>0616990811</t>
  </si>
  <si>
    <t>omar.warsame45@student.example.edu;0616990811</t>
  </si>
  <si>
    <t>STD-2026-0046</t>
  </si>
  <si>
    <t>Nasra Mohamud</t>
  </si>
  <si>
    <t>nasra.mohamud46@student.example.edu</t>
  </si>
  <si>
    <t>0699853245</t>
  </si>
  <si>
    <t>nasra.mohamud46@student.example.edu;0699853245</t>
  </si>
  <si>
    <t>STD-2026-0047</t>
  </si>
  <si>
    <t>Amina Dahir</t>
  </si>
  <si>
    <t>amina.dahir47@student.example.edu</t>
  </si>
  <si>
    <t>0624508768</t>
  </si>
  <si>
    <t>amina.dahir47@student.example.edu;0624508768</t>
  </si>
  <si>
    <t>STD-2026-0048</t>
  </si>
  <si>
    <t>Mahad Ali</t>
  </si>
  <si>
    <t>MOGADISHU</t>
  </si>
  <si>
    <t>mahad.ali48@student.example.edu</t>
  </si>
  <si>
    <t>0650477742</t>
  </si>
  <si>
    <t>mahad.ali48@student.example.edu;0650477742</t>
  </si>
  <si>
    <t>STD-2026-0049</t>
  </si>
  <si>
    <t>Ikram Abdi</t>
  </si>
  <si>
    <t>ikram.abdi49@student.example.edu</t>
  </si>
  <si>
    <t>0624165187</t>
  </si>
  <si>
    <t>ikram.abdi49@student.example.edu;0624165187</t>
  </si>
  <si>
    <t>STD-2026-0051</t>
  </si>
  <si>
    <t>Ali Yusuf</t>
  </si>
  <si>
    <t>ali.yusuf51@student.example.edu</t>
  </si>
  <si>
    <t>0653622663</t>
  </si>
  <si>
    <t>ali.yusuf51@student.example.edu;0653622663</t>
  </si>
  <si>
    <t>STD-2026-0052</t>
  </si>
  <si>
    <t>Fadumo Dualeh</t>
  </si>
  <si>
    <t>fadumo.dualeh52@student.example.edu</t>
  </si>
  <si>
    <t>0621490777</t>
  </si>
  <si>
    <t>fadumo.dualeh52@student.example.edu;0621490777</t>
  </si>
  <si>
    <t>STD-2026-0053</t>
  </si>
  <si>
    <t>MARYAN SHEIKH</t>
  </si>
  <si>
    <t>maryan.sheikh53@student.example.edu</t>
  </si>
  <si>
    <t>0664277800</t>
  </si>
  <si>
    <t>maryan.sheikh53@student.example.edu;0664277800</t>
  </si>
  <si>
    <t>STD-2026-0054</t>
  </si>
  <si>
    <t>Maryan Aden</t>
  </si>
  <si>
    <t>maryan.aden54@student.example.edu</t>
  </si>
  <si>
    <t>0646361787</t>
  </si>
  <si>
    <t>maryan.aden54@student.example.edu;0646361787</t>
  </si>
  <si>
    <t>STD-2026-0055</t>
  </si>
  <si>
    <t>Sahra Farah</t>
  </si>
  <si>
    <t>sahra.farah55@student.example.edu</t>
  </si>
  <si>
    <t>0674988034</t>
  </si>
  <si>
    <t>sahra.farah55@student.example.edu;0674988034</t>
  </si>
  <si>
    <t>STD-2026-0056</t>
  </si>
  <si>
    <t>Ali Dahir</t>
  </si>
  <si>
    <t>ali.dahir56@student.example.edu</t>
  </si>
  <si>
    <t>0617318358</t>
  </si>
  <si>
    <t>ali.dahir56@student.example.edu;0617318358</t>
  </si>
  <si>
    <t>STD-2026-0057</t>
  </si>
  <si>
    <t>Zahra Aden</t>
  </si>
  <si>
    <t>ZAHRA.ADEN57@STUDENT.EXAMPLE.EDU</t>
  </si>
  <si>
    <t>0616895666</t>
  </si>
  <si>
    <t>zahra.aden57@student.example.edu;0616895666</t>
  </si>
  <si>
    <t>STD-2026-0058</t>
  </si>
  <si>
    <t>Ali Dualeh</t>
  </si>
  <si>
    <t>ali.dualeh58@student.example.edu</t>
  </si>
  <si>
    <t>0650780112</t>
  </si>
  <si>
    <t>ali.dualeh58@student.example.edu;0650780112</t>
  </si>
  <si>
    <t>STD-2026-0059</t>
  </si>
  <si>
    <t>Mohamed Mohamud</t>
  </si>
  <si>
    <t>mohamed.mohamud59@student.example.edu</t>
  </si>
  <si>
    <t>0667556566</t>
  </si>
  <si>
    <t>mohamed.mohamud59@student.example.edu;0667556566</t>
  </si>
  <si>
    <t>STD-2026-0060</t>
  </si>
  <si>
    <t>Sahra Dahir</t>
  </si>
  <si>
    <t>BUSINESS ADMIN</t>
  </si>
  <si>
    <t>sahra.dahir60@student.example.edu</t>
  </si>
  <si>
    <t>0684087145</t>
  </si>
  <si>
    <t>sahra.dahir60@student.example.edu;0684087145</t>
  </si>
  <si>
    <t>STD-2026-0061</t>
  </si>
  <si>
    <t>Mohamed Isse</t>
  </si>
  <si>
    <t>mohamed.isse61@student.example.edu</t>
  </si>
  <si>
    <t>0641329612</t>
  </si>
  <si>
    <t>mohamed.isse61@student.example.edu;0641329612</t>
  </si>
  <si>
    <t>STD-2026-0062</t>
  </si>
  <si>
    <t>ali.dahir62@student.example.edu</t>
  </si>
  <si>
    <t>0651286958</t>
  </si>
  <si>
    <t>ali.dahir62@student.example.edu;0651286958</t>
  </si>
  <si>
    <t>STD-2026-0063</t>
  </si>
  <si>
    <t>Ikram Dahir</t>
  </si>
  <si>
    <t>ikram.dahir63@student.example.edu</t>
  </si>
  <si>
    <t>0620796722</t>
  </si>
  <si>
    <t>ikram.dahir63@student.example.edu;0620796722</t>
  </si>
  <si>
    <t>STD-2026-0064</t>
  </si>
  <si>
    <t>Ikram Omar</t>
  </si>
  <si>
    <t>ikram.omar64@student.example.edu</t>
  </si>
  <si>
    <t>0633513701</t>
  </si>
  <si>
    <t>ikram.omar64@student.example.edu;0633513701</t>
  </si>
  <si>
    <t>STD-2026-0065</t>
  </si>
  <si>
    <t>Ifrah Muse</t>
  </si>
  <si>
    <t>ifrah.muse65@student.example.edu</t>
  </si>
  <si>
    <t>0653091709</t>
  </si>
  <si>
    <t>ifrah.muse65@student.example.edu;0653091709</t>
  </si>
  <si>
    <t>STD-2026-0066</t>
  </si>
  <si>
    <t>Amina Isse</t>
  </si>
  <si>
    <t>amina.isse66@student.example.edu</t>
  </si>
  <si>
    <t>0643876400</t>
  </si>
  <si>
    <t>amina.isse66@student.example.edu;0643876400</t>
  </si>
  <si>
    <t>STD-2026-0067</t>
  </si>
  <si>
    <t>Omar Abdi</t>
  </si>
  <si>
    <t>omar.abdi67@student.example.edu</t>
  </si>
  <si>
    <t>0616927215</t>
  </si>
  <si>
    <t>omar.abdi67@student.example.edu;0616927215</t>
  </si>
  <si>
    <t>STD-2026-0068</t>
  </si>
  <si>
    <t>Yusuf Farah</t>
  </si>
  <si>
    <t>yusuf.farah68@student.example.edu</t>
  </si>
  <si>
    <t>0611835355</t>
  </si>
  <si>
    <t>yusuf.farah68@student.example.edu;0611835355</t>
  </si>
  <si>
    <t>STD-2026-0069</t>
  </si>
  <si>
    <t>Zahra Sheikh</t>
  </si>
  <si>
    <t>zahra.sheikh69@student.example.edu</t>
  </si>
  <si>
    <t>0665766169</t>
  </si>
  <si>
    <t>zahra.sheikh69@student.example.edu;0665766169</t>
  </si>
  <si>
    <t>STD-2026-0070</t>
  </si>
  <si>
    <t>Ifrah Dualeh</t>
  </si>
  <si>
    <t>ifrah.dualeh70@student.example.edu</t>
  </si>
  <si>
    <t>0665692629</t>
  </si>
  <si>
    <t>ifrah.dualeh70@student.example.edu;0665692629</t>
  </si>
  <si>
    <t>STD-2026-0071</t>
  </si>
  <si>
    <t>Omar Muse</t>
  </si>
  <si>
    <t>omar.muse71@student.example.edu</t>
  </si>
  <si>
    <t>0682937948</t>
  </si>
  <si>
    <t>omar.muse71@student.example.edu;0682937948</t>
  </si>
  <si>
    <t>STD-2026-0072</t>
  </si>
  <si>
    <t>Hassan Ibrahim</t>
  </si>
  <si>
    <t>hassan.ibrahim72@student.example.edu</t>
  </si>
  <si>
    <t>0661167978</t>
  </si>
  <si>
    <t>hassan.ibrahim72@student.example.edu;0661167978</t>
  </si>
  <si>
    <t>STD-2026-0073</t>
  </si>
  <si>
    <t>Hassan Nur</t>
  </si>
  <si>
    <t>hassan.nur73@student.example.edu</t>
  </si>
  <si>
    <t>0612059919</t>
  </si>
  <si>
    <t>hassan.nur73@student.example.edu;0612059919</t>
  </si>
  <si>
    <t>STD-2026-0074</t>
  </si>
  <si>
    <t>Abdi Sheikh</t>
  </si>
  <si>
    <t>abdi.sheikh74@student.example.edu</t>
  </si>
  <si>
    <t>0681621574</t>
  </si>
  <si>
    <t>abdi.sheikh74@student.example.edu;0681621574</t>
  </si>
  <si>
    <t>STD-2026-0075</t>
  </si>
  <si>
    <t>Hassan Yusuf</t>
  </si>
  <si>
    <t>M</t>
  </si>
  <si>
    <t>hassan.yusuf75@student.example.edu</t>
  </si>
  <si>
    <t>0668246664</t>
  </si>
  <si>
    <t>hassan.yusuf75@student.example.edu;0668246664</t>
  </si>
  <si>
    <t>STD-2026-0076</t>
  </si>
  <si>
    <t>Amina Abdi</t>
  </si>
  <si>
    <t>amina.abdi76@student.example.edu</t>
  </si>
  <si>
    <t>0629538047</t>
  </si>
  <si>
    <t>amina.abdi76@student.example.edu;0629538047</t>
  </si>
  <si>
    <t>STD-2026-0077</t>
  </si>
  <si>
    <t>Maryan Muse</t>
  </si>
  <si>
    <t>maryan.muse77@student.example.edu</t>
  </si>
  <si>
    <t>0688270025</t>
  </si>
  <si>
    <t>maryan.muse77@student.example.edu;0688270025</t>
  </si>
  <si>
    <t>STD-2026-0078</t>
  </si>
  <si>
    <t>Abdi Mohamud</t>
  </si>
  <si>
    <t>hargeisa</t>
  </si>
  <si>
    <t>abdi.mohamud78@student.example.edu</t>
  </si>
  <si>
    <t>0631203129</t>
  </si>
  <si>
    <t>abdi.mohamud78@student.example.edu;0631203129</t>
  </si>
  <si>
    <t>STD-2026-0079</t>
  </si>
  <si>
    <t>Mohamed Ibrahim</t>
  </si>
  <si>
    <t>mohamed.ibrahim79@student.example.edu</t>
  </si>
  <si>
    <t>0674855088</t>
  </si>
  <si>
    <t>mohamed.ibrahim79@student.example.edu;0674855088</t>
  </si>
  <si>
    <t>STD-2026-0081</t>
  </si>
  <si>
    <t>Ikram Dualeh</t>
  </si>
  <si>
    <t>ikram.dualeh81@student.example.edu</t>
  </si>
  <si>
    <t>0696750368</t>
  </si>
  <si>
    <t>ikram.dualeh81@student.example.edu;0696750368</t>
  </si>
  <si>
    <t>STD-2026-0082</t>
  </si>
  <si>
    <t>Hodan Aden</t>
  </si>
  <si>
    <t>hodan.aden82@student.example.edu</t>
  </si>
  <si>
    <t>0682398083</t>
  </si>
  <si>
    <t>hodan.aden82@student.example.edu;0682398083</t>
  </si>
  <si>
    <t>STD-2026-0083</t>
  </si>
  <si>
    <t>Nasra Muse</t>
  </si>
  <si>
    <t>ACTIVE</t>
  </si>
  <si>
    <t>nasra.muse83@student.example.edu</t>
  </si>
  <si>
    <t>0640281491</t>
  </si>
  <si>
    <t>nasra.muse83@student.example.edu;0640281491</t>
  </si>
  <si>
    <t>STD-2026-0084</t>
  </si>
  <si>
    <t>Hassan Samatar</t>
  </si>
  <si>
    <t>hassan.samatar84@student.example.edu</t>
  </si>
  <si>
    <t>0659858348</t>
  </si>
  <si>
    <t>hassan.samatar84@student.example.edu;0659858348</t>
  </si>
  <si>
    <t>STD-2026-0085</t>
  </si>
  <si>
    <t>amina.mohamud85@student.example.edu</t>
  </si>
  <si>
    <t>0625659979</t>
  </si>
  <si>
    <t>amina.mohamud85@student.example.edu;0625659979</t>
  </si>
  <si>
    <t>STD-2026-0086</t>
  </si>
  <si>
    <t>Abdi Omar</t>
  </si>
  <si>
    <t>abdi.omar86@student.example.edu</t>
  </si>
  <si>
    <t>0682503409</t>
  </si>
  <si>
    <t>abdi.omar86@student.example.edu;0682503409</t>
  </si>
  <si>
    <t>STD-2026-0087</t>
  </si>
  <si>
    <t>Nimo Dahir</t>
  </si>
  <si>
    <t>nimo.dahir87@student.example.edu</t>
  </si>
  <si>
    <t>0639161443</t>
  </si>
  <si>
    <t>nimo.dahir87@student.example.edu;0639161443</t>
  </si>
  <si>
    <t>STD-2026-0088</t>
  </si>
  <si>
    <t>Khalid Ibrahim</t>
  </si>
  <si>
    <t>khalid.ibrahim88@student.example.edu</t>
  </si>
  <si>
    <t>0635475673</t>
  </si>
  <si>
    <t>khalid.ibrahim88@student.example.edu;0635475673</t>
  </si>
  <si>
    <t>STD-2026-0089</t>
  </si>
  <si>
    <t>Amina Ibrahim</t>
  </si>
  <si>
    <t>amina.ibrahim89@student.example.edu</t>
  </si>
  <si>
    <t>0684384510</t>
  </si>
  <si>
    <t>amina.ibrahim89@student.example.edu;0684384510</t>
  </si>
  <si>
    <t>STD-2026-0091</t>
  </si>
  <si>
    <t>amina.ali91@student.example.edu</t>
  </si>
  <si>
    <t>0618530615</t>
  </si>
  <si>
    <t>amina.ali91@student.example.edu;0618530615</t>
  </si>
  <si>
    <t>STD-2026-0092</t>
  </si>
  <si>
    <t>Ifrah Ibrahim</t>
  </si>
  <si>
    <t>0696347724</t>
  </si>
  <si>
    <t>ifrah.ibrahim92@student.example.edu;0696347724</t>
  </si>
  <si>
    <t>STD-2026-0093</t>
  </si>
  <si>
    <t>AHMED OMAR</t>
  </si>
  <si>
    <t>ahmed.omar93@student.example.edu</t>
  </si>
  <si>
    <t>0629909029</t>
  </si>
  <si>
    <t>ahmed.omar93@student.example.edu;0629909029</t>
  </si>
  <si>
    <t>STD-2026-0094</t>
  </si>
  <si>
    <t>Mohamed Nur</t>
  </si>
  <si>
    <t>mohamed.nur94@student.example.edu</t>
  </si>
  <si>
    <t>0667740376</t>
  </si>
  <si>
    <t>mohamed.nur94@student.example.edu;0667740376</t>
  </si>
  <si>
    <t>STD-2026-0095</t>
  </si>
  <si>
    <t>amina.abdi95@student.example.edu</t>
  </si>
  <si>
    <t>0651946203</t>
  </si>
  <si>
    <t>amina.abdi95@student.example.edu;0651946203</t>
  </si>
  <si>
    <t>STD-2026-0096</t>
  </si>
  <si>
    <t>Ali Osman</t>
  </si>
  <si>
    <t>ali.osman96@student.example.edu</t>
  </si>
  <si>
    <t>0688714010</t>
  </si>
  <si>
    <t>ali.osman96@student.example.edu;0688714010</t>
  </si>
  <si>
    <t>STD-2026-0097</t>
  </si>
  <si>
    <t>zahra.samatar97@student.example.edu</t>
  </si>
  <si>
    <t>0657197152</t>
  </si>
  <si>
    <t>zahra.samatar97@student.example.edu;0657197152</t>
  </si>
  <si>
    <t>STD-2026-0098</t>
  </si>
  <si>
    <t>amina.dahir98@student.example.edu</t>
  </si>
  <si>
    <t>0687054398</t>
  </si>
  <si>
    <t>amina.dahir98@student.example.edu;0687054398</t>
  </si>
  <si>
    <t>STD-2026-0099</t>
  </si>
  <si>
    <t>Maryan Sheikh</t>
  </si>
  <si>
    <t>maryan.sheikh99@student.example.edu</t>
  </si>
  <si>
    <t>0634347841</t>
  </si>
  <si>
    <t>maryan.sheikh99@student.example.edu;0634347841</t>
  </si>
  <si>
    <t>STD-2026-0100</t>
  </si>
  <si>
    <t>Abdi Dahir</t>
  </si>
  <si>
    <t>abdi.dahir100@student.example.edu</t>
  </si>
  <si>
    <t>0631127115</t>
  </si>
  <si>
    <t>abdi.dahir100@student.example.edu;0631127115</t>
  </si>
  <si>
    <t>STD-2026-0101</t>
  </si>
  <si>
    <t>Nasra Aden</t>
  </si>
  <si>
    <t>nasra.aden101@student.example.edu</t>
  </si>
  <si>
    <t>0698843907</t>
  </si>
  <si>
    <t>nasra.aden101@student.example.edu;0698843907</t>
  </si>
  <si>
    <t>STD-2026-0102</t>
  </si>
  <si>
    <t>Nimo Dualeh</t>
  </si>
  <si>
    <t>nimo.dualeh102@student.example.edu</t>
  </si>
  <si>
    <t>0651395350</t>
  </si>
  <si>
    <t>nimo.dualeh102@student.example.edu;0651395350</t>
  </si>
  <si>
    <t>STD-2026-0103</t>
  </si>
  <si>
    <t>Hodan Mohamud</t>
  </si>
  <si>
    <t>hodan.mohamud103@student.example.edu</t>
  </si>
  <si>
    <t>0626104026</t>
  </si>
  <si>
    <t>hodan.mohamud103@student.example.edu;0626104026</t>
  </si>
  <si>
    <t>STD-2026-0104</t>
  </si>
  <si>
    <t>Ahmed Dualeh</t>
  </si>
  <si>
    <t>ahmed.dualeh104@student.example.edu</t>
  </si>
  <si>
    <t>0615677713</t>
  </si>
  <si>
    <t>ahmed.dualeh104@student.example.edu;0615677713</t>
  </si>
  <si>
    <t>STD-2026-0105</t>
  </si>
  <si>
    <t>Nimo Ali</t>
  </si>
  <si>
    <t>female</t>
  </si>
  <si>
    <t>nimo.ali105@student.example.edu</t>
  </si>
  <si>
    <t>0612799319</t>
  </si>
  <si>
    <t>nimo.ali105@student.example.edu;0612799319</t>
  </si>
  <si>
    <t>STD-2026-0106</t>
  </si>
  <si>
    <t>Omar Isse</t>
  </si>
  <si>
    <t>omar.isse106@student.example.edu</t>
  </si>
  <si>
    <t>0651644346</t>
  </si>
  <si>
    <t>omar.isse106@student.example.edu;0651644346</t>
  </si>
  <si>
    <t>STD-2026-0107</t>
  </si>
  <si>
    <t>Omar Mohamud</t>
  </si>
  <si>
    <t>omar.mohamud107@student.example.edu</t>
  </si>
  <si>
    <t>0696629889</t>
  </si>
  <si>
    <t>omar.mohamud107@student.example.edu;0696629889</t>
  </si>
  <si>
    <t>STD-2026-0108</t>
  </si>
  <si>
    <t>GAROWE</t>
  </si>
  <si>
    <t>abdi.mohamud108@student.example.edu</t>
  </si>
  <si>
    <t>0694281857</t>
  </si>
  <si>
    <t>abdi.mohamud108@student.example.edu;0694281857</t>
  </si>
  <si>
    <t>STD-2026-0109</t>
  </si>
  <si>
    <t>ifrah.ibrahim109@student.example.edu</t>
  </si>
  <si>
    <t>0650643870</t>
  </si>
  <si>
    <t>ifrah.ibrahim109@student.example.edu;0650643870</t>
  </si>
  <si>
    <t>STD-2026-0111</t>
  </si>
  <si>
    <t>Ikram Roble</t>
  </si>
  <si>
    <t>ikram.roble111@student.example.edu</t>
  </si>
  <si>
    <t>0677292380</t>
  </si>
  <si>
    <t>ikram.roble111@student.example.edu;0677292380</t>
  </si>
  <si>
    <t>STD-2026-0112</t>
  </si>
  <si>
    <t>abdi.omar112@student.example.edu</t>
  </si>
  <si>
    <t>0691846696</t>
  </si>
  <si>
    <t>abdi.omar112@student.example.edu;0691846696</t>
  </si>
  <si>
    <t>STD-2026-0113</t>
  </si>
  <si>
    <t>Fadumo Osman</t>
  </si>
  <si>
    <t>fadumo.osman113@student.example.edu</t>
  </si>
  <si>
    <t>0684888554</t>
  </si>
  <si>
    <t>fadumo.osman113@student.example.edu;0684888554</t>
  </si>
  <si>
    <t>STD-2026-0114</t>
  </si>
  <si>
    <t>Hassan Aden</t>
  </si>
  <si>
    <t>hassan.aden114@student.example.edu</t>
  </si>
  <si>
    <t>0698054173</t>
  </si>
  <si>
    <t>hassan.aden114@student.example.edu;0698054173</t>
  </si>
  <si>
    <t>STD-2026-0115</t>
  </si>
  <si>
    <t>hassan.nur115@student.example.edu</t>
  </si>
  <si>
    <t>0612446861</t>
  </si>
  <si>
    <t>hassan.nur115@student.example.edu;0612446861</t>
  </si>
  <si>
    <t>STD-2026-0116</t>
  </si>
  <si>
    <t>nasra.aden116@student.example.edu</t>
  </si>
  <si>
    <t>0623574883</t>
  </si>
  <si>
    <t>nasra.aden116@student.example.edu;0623574883</t>
  </si>
  <si>
    <t>STD-2026-0117</t>
  </si>
  <si>
    <t>Abdullahi Samatar</t>
  </si>
  <si>
    <t>ABDULLAHI.SAMATAR117@STUDENT.EXAMPLE.EDU</t>
  </si>
  <si>
    <t>0615864298</t>
  </si>
  <si>
    <t>abdullahi.samatar117@student.example.edu;0615864298</t>
  </si>
  <si>
    <t>STD-2026-0118</t>
  </si>
  <si>
    <t>Nimo Osman</t>
  </si>
  <si>
    <t>nimo.osman118@student.example.edu</t>
  </si>
  <si>
    <t>0686560394</t>
  </si>
  <si>
    <t>nimo.osman118@student.example.edu;0686560394</t>
  </si>
  <si>
    <t>STD-2026-0119</t>
  </si>
  <si>
    <t>khalid.ibrahim119@student.example.edu</t>
  </si>
  <si>
    <t>0674503785</t>
  </si>
  <si>
    <t>khalid.ibrahim119@student.example.edu;0674503785</t>
  </si>
  <si>
    <t>STD-2026-0120</t>
  </si>
  <si>
    <t>Nasra Samatar</t>
  </si>
  <si>
    <t>nasra.samatar120@student.example.edu</t>
  </si>
  <si>
    <t>0668716573</t>
  </si>
  <si>
    <t>nasra.samatar120@student.example.edu;0668716573</t>
  </si>
  <si>
    <t>STD-2026-0121</t>
  </si>
  <si>
    <t>mohamed.mohamud121@student.example.edu</t>
  </si>
  <si>
    <t>0613783268</t>
  </si>
  <si>
    <t>mohamed.mohamud121@student.example.edu;0613783268</t>
  </si>
  <si>
    <t>STD-2026-0122</t>
  </si>
  <si>
    <t>omar.abdi122@student.example.edu</t>
  </si>
  <si>
    <t>0620633503</t>
  </si>
  <si>
    <t>omar.abdi122@student.example.edu;0620633503</t>
  </si>
  <si>
    <t>STD-2026-0123</t>
  </si>
  <si>
    <t>Ahmed Farah</t>
  </si>
  <si>
    <t>ahmed.farah123@student.example.edu</t>
  </si>
  <si>
    <t>0642002808</t>
  </si>
  <si>
    <t>ahmed.farah123@student.example.edu;0642002808</t>
  </si>
  <si>
    <t>STD-2026-0124</t>
  </si>
  <si>
    <t>Nimo Roble</t>
  </si>
  <si>
    <t>nimo.roble124@student.example.edu</t>
  </si>
  <si>
    <t>0610209961</t>
  </si>
  <si>
    <t>nimo.roble124@student.example.edu;0610209961</t>
  </si>
  <si>
    <t>STD-2026-0125</t>
  </si>
  <si>
    <t>Ikram Osman</t>
  </si>
  <si>
    <t>ikram.osman125@student.example.edu</t>
  </si>
  <si>
    <t>0662405812</t>
  </si>
  <si>
    <t>ikram.osman125@student.example.edu;0662405812</t>
  </si>
  <si>
    <t>STD-2026-0126</t>
  </si>
  <si>
    <t>Ifrah Omar</t>
  </si>
  <si>
    <t>ifrah.omar126@student.example.edu</t>
  </si>
  <si>
    <t>0657284777</t>
  </si>
  <si>
    <t>ifrah.omar126@student.example.edu;0657284777</t>
  </si>
  <si>
    <t>STD-2026-0127</t>
  </si>
  <si>
    <t>Zahra Yusuf</t>
  </si>
  <si>
    <t>zahra.yusuf127@student.example.edu</t>
  </si>
  <si>
    <t>0637057085</t>
  </si>
  <si>
    <t>zahra.yusuf127@student.example.edu;0637057085</t>
  </si>
  <si>
    <t>STD-2026-0128</t>
  </si>
  <si>
    <t>Hodan Warsame</t>
  </si>
  <si>
    <t>hodan.warsame128@student.example.edu</t>
  </si>
  <si>
    <t>0616416148</t>
  </si>
  <si>
    <t>hodan.warsame128@student.example.edu;0616416148</t>
  </si>
  <si>
    <t>STD-2026-0129</t>
  </si>
  <si>
    <t>Omar Farah</t>
  </si>
  <si>
    <t>omar.farah129@student.example.edu</t>
  </si>
  <si>
    <t>0679696025</t>
  </si>
  <si>
    <t>omar.farah129@student.example.edu;0679696025</t>
  </si>
  <si>
    <t>STD-2026-0130</t>
  </si>
  <si>
    <t>Ali Hassan</t>
  </si>
  <si>
    <t>ali.hassan130@student.example.edu</t>
  </si>
  <si>
    <t>0651137177</t>
  </si>
  <si>
    <t>ali.hassan130@student.example.edu;0651137177</t>
  </si>
  <si>
    <t>STD-2026-0131</t>
  </si>
  <si>
    <t>Khalid Roble</t>
  </si>
  <si>
    <t>khalid.roble131@student.example.edu</t>
  </si>
  <si>
    <t>0617698469</t>
  </si>
  <si>
    <t>khalid.roble131@student.example.edu;0617698469</t>
  </si>
  <si>
    <t>STD-2026-0132</t>
  </si>
  <si>
    <t>Mohamed Jama</t>
  </si>
  <si>
    <t>mohamed.jama132@student.example.edu</t>
  </si>
  <si>
    <t>0641674763</t>
  </si>
  <si>
    <t>mohamed.jama132@student.example.edu;0641674763</t>
  </si>
  <si>
    <t>STD-2026-0133</t>
  </si>
  <si>
    <t>NASRA OSMAN</t>
  </si>
  <si>
    <t>nasra.osman133@student.example.edu</t>
  </si>
  <si>
    <t>0687030477</t>
  </si>
  <si>
    <t>nasra.osman133@student.example.edu;0687030477</t>
  </si>
  <si>
    <t>STD-2026-0134</t>
  </si>
  <si>
    <t>Abdi Muse</t>
  </si>
  <si>
    <t>abdi.muse134@student.example.edu</t>
  </si>
  <si>
    <t>0685386435</t>
  </si>
  <si>
    <t>abdi.muse134@student.example.edu;0685386435</t>
  </si>
  <si>
    <t>STD-2026-0135</t>
  </si>
  <si>
    <t>FEMALE</t>
  </si>
  <si>
    <t>amina.farah135@student.example.edu</t>
  </si>
  <si>
    <t>0619939096</t>
  </si>
  <si>
    <t>amina.farah135@student.example.edu;0619939096</t>
  </si>
  <si>
    <t>STD-2026-0136</t>
  </si>
  <si>
    <t>Khalid Isse</t>
  </si>
  <si>
    <t>khalid.isse136@student.example.edu</t>
  </si>
  <si>
    <t>0695590648</t>
  </si>
  <si>
    <t>khalid.isse136@student.example.edu;0695590648</t>
  </si>
  <si>
    <t>STD-2026-0137</t>
  </si>
  <si>
    <t>fadumo.osman137@student.example.edu</t>
  </si>
  <si>
    <t>0684040798</t>
  </si>
  <si>
    <t>fadumo.osman137@student.example.edu;0684040798</t>
  </si>
  <si>
    <t>STD-2026-0138</t>
  </si>
  <si>
    <t>Abdi Roble</t>
  </si>
  <si>
    <t>kismayo</t>
  </si>
  <si>
    <t>abdi.roble138@student.example.edu</t>
  </si>
  <si>
    <t>0696213226</t>
  </si>
  <si>
    <t>abdi.roble138@student.example.edu;0696213226</t>
  </si>
  <si>
    <t>STD-2026-0139</t>
  </si>
  <si>
    <t>mohamed.ibrahim139@student.example.edu</t>
  </si>
  <si>
    <t>0617437386</t>
  </si>
  <si>
    <t>mohamed.ibrahim139@student.example.edu;0617437386</t>
  </si>
  <si>
    <t>STD-2026-0141</t>
  </si>
  <si>
    <t>Zahra Farah</t>
  </si>
  <si>
    <t>zahra.farah141@student.example.edu</t>
  </si>
  <si>
    <t>0691220369</t>
  </si>
  <si>
    <t>zahra.farah141@student.example.edu;0691220369</t>
  </si>
  <si>
    <t>STD-2026-0142</t>
  </si>
  <si>
    <t>Omar Dahir</t>
  </si>
  <si>
    <t>0694176528</t>
  </si>
  <si>
    <t>omar.dahir142@student.example.edu;0694176528</t>
  </si>
  <si>
    <t>STD-2026-0143</t>
  </si>
  <si>
    <t>defer</t>
  </si>
  <si>
    <t>zahra.aden143@student.example.edu</t>
  </si>
  <si>
    <t>0674995086</t>
  </si>
  <si>
    <t>zahra.aden143@student.example.edu;0674995086</t>
  </si>
  <si>
    <t>STD-2026-0144</t>
  </si>
  <si>
    <t>Khalid Warsame</t>
  </si>
  <si>
    <t>khalid.warsame144@student.example.edu</t>
  </si>
  <si>
    <t>0652831009</t>
  </si>
  <si>
    <t>khalid.warsame144@student.example.edu;0652831009</t>
  </si>
  <si>
    <t>STD-2026-0145</t>
  </si>
  <si>
    <t>Maryan Ibrahim</t>
  </si>
  <si>
    <t>maryan.ibrahim145@student.example.edu</t>
  </si>
  <si>
    <t>0631434525</t>
  </si>
  <si>
    <t>maryan.ibrahim145@student.example.edu;0631434525</t>
  </si>
  <si>
    <t>STD-2026-0146</t>
  </si>
  <si>
    <t>omar.dahir146@student.example.edu</t>
  </si>
  <si>
    <t>0662780072</t>
  </si>
  <si>
    <t>omar.dahir146@student.example.edu;0662780072</t>
  </si>
  <si>
    <t>STD-2026-0147</t>
  </si>
  <si>
    <t>Abdullahi Ibrahim</t>
  </si>
  <si>
    <t>abdullahi.ibrahim147@student.example.edu</t>
  </si>
  <si>
    <t>0624428014</t>
  </si>
  <si>
    <t>abdullahi.ibrahim147@student.example.edu;0624428014</t>
  </si>
  <si>
    <t>STD-2026-0148</t>
  </si>
  <si>
    <t>Nimo Nur</t>
  </si>
  <si>
    <t>nimo.nur148@student.example.edu</t>
  </si>
  <si>
    <t>0619869264</t>
  </si>
  <si>
    <t>nimo.nur148@student.example.edu;0619869264</t>
  </si>
  <si>
    <t>STD-2026-0149</t>
  </si>
  <si>
    <t>Hassan Muse</t>
  </si>
  <si>
    <t>hassan.muse149@student.example.edu</t>
  </si>
  <si>
    <t>0659070856</t>
  </si>
  <si>
    <t>hassan.muse149@student.example.edu;0659070856</t>
  </si>
  <si>
    <t>STD-2026-0151</t>
  </si>
  <si>
    <t>Abdullahi Nur</t>
  </si>
  <si>
    <t>abdullahi.nur151@student.example.edu</t>
  </si>
  <si>
    <t>0681449442</t>
  </si>
  <si>
    <t>abdullahi.nur151@student.example.edu;0681449442</t>
  </si>
  <si>
    <t>STD-2026-0152</t>
  </si>
  <si>
    <t>Ifrah Dahir</t>
  </si>
  <si>
    <t>ifrah.dahir152@student.example.edu</t>
  </si>
  <si>
    <t>0645638891</t>
  </si>
  <si>
    <t>ifrah.dahir152@student.example.edu;0645638891</t>
  </si>
  <si>
    <t>STD-2026-0153</t>
  </si>
  <si>
    <t>Mahad Dahir</t>
  </si>
  <si>
    <t>mahad.dahir153@student.example.edu</t>
  </si>
  <si>
    <t>0642507072</t>
  </si>
  <si>
    <t>mahad.dahir153@student.example.edu;0642507072</t>
  </si>
  <si>
    <t>STD-2026-0154</t>
  </si>
  <si>
    <t>Hodan Dahir</t>
  </si>
  <si>
    <t>hodan.dahir154@student.example.edu</t>
  </si>
  <si>
    <t>0692071195</t>
  </si>
  <si>
    <t>hodan.dahir154@student.example.edu;0692071195</t>
  </si>
  <si>
    <t>STD-2026-0155</t>
  </si>
  <si>
    <t>ifrah.omar155@student.example.edu</t>
  </si>
  <si>
    <t>0681555103</t>
  </si>
  <si>
    <t>ifrah.omar155@student.example.edu;0681555103</t>
  </si>
  <si>
    <t>STD-2026-0156</t>
  </si>
  <si>
    <t>Omar Samatar</t>
  </si>
  <si>
    <t>omar.samatar156@student.example.edu</t>
  </si>
  <si>
    <t>0649945150</t>
  </si>
  <si>
    <t>omar.samatar156@student.example.edu;0649945150</t>
  </si>
  <si>
    <t>STD-2026-0157</t>
  </si>
  <si>
    <t>Sahra Warsame</t>
  </si>
  <si>
    <t>sahra.warsame157@student.example.edu</t>
  </si>
  <si>
    <t>0629659692</t>
  </si>
  <si>
    <t>sahra.warsame157@student.example.edu;0629659692</t>
  </si>
  <si>
    <t>STD-2026-0158</t>
  </si>
  <si>
    <t>Sahra Omar</t>
  </si>
  <si>
    <t>sahra.omar158@student.example.edu</t>
  </si>
  <si>
    <t>0646390817</t>
  </si>
  <si>
    <t>sahra.omar158@student.example.edu;0646390817</t>
  </si>
  <si>
    <t>STD-2026-0159</t>
  </si>
  <si>
    <t>zahra.farah159@student.example.edu</t>
  </si>
  <si>
    <t>0665472370</t>
  </si>
  <si>
    <t>zahra.farah159@student.example.edu;0665472370</t>
  </si>
  <si>
    <t>STD-2026-0160</t>
  </si>
  <si>
    <t>Omar Dualeh</t>
  </si>
  <si>
    <t>public health</t>
  </si>
  <si>
    <t>omar.dualeh160@student.example.edu</t>
  </si>
  <si>
    <t>0648553376</t>
  </si>
  <si>
    <t>omar.dualeh160@student.example.edu;0648553376</t>
  </si>
  <si>
    <t>STD-2026-0161</t>
  </si>
  <si>
    <t>Omar Aden</t>
  </si>
  <si>
    <t>omar.aden161@student.example.edu</t>
  </si>
  <si>
    <t>0633593960</t>
  </si>
  <si>
    <t>omar.aden161@student.example.edu;0633593960</t>
  </si>
  <si>
    <t>STD-2026-0162</t>
  </si>
  <si>
    <t>Hodan Jama</t>
  </si>
  <si>
    <t>hodan.jama162@student.example.edu</t>
  </si>
  <si>
    <t>0696075494</t>
  </si>
  <si>
    <t>hodan.jama162@student.example.edu;0696075494</t>
  </si>
  <si>
    <t>STD-2026-0163</t>
  </si>
  <si>
    <t>Zahra Muse</t>
  </si>
  <si>
    <t>zahra.muse163@student.example.edu</t>
  </si>
  <si>
    <t>0634991216</t>
  </si>
  <si>
    <t>zahra.muse163@student.example.edu;0634991216</t>
  </si>
  <si>
    <t>STD-2026-0164</t>
  </si>
  <si>
    <t>Ahmed Yusuf</t>
  </si>
  <si>
    <t>ahmed.yusuf164@student.example.edu</t>
  </si>
  <si>
    <t>0621641746</t>
  </si>
  <si>
    <t>ahmed.yusuf164@student.example.edu;0621641746</t>
  </si>
  <si>
    <t>STD-2026-0165</t>
  </si>
  <si>
    <t>F</t>
  </si>
  <si>
    <t>hassan.abdi165@student.example.edu</t>
  </si>
  <si>
    <t>0650526484</t>
  </si>
  <si>
    <t>hassan.abdi165@student.example.edu;0650526484</t>
  </si>
  <si>
    <t>STD-2026-0166</t>
  </si>
  <si>
    <t>mahad.dahir166@student.example.edu</t>
  </si>
  <si>
    <t>0677447155</t>
  </si>
  <si>
    <t>mahad.dahir166@student.example.edu;0677447155</t>
  </si>
  <si>
    <t>STD-2026-0167</t>
  </si>
  <si>
    <t>Sahra Abdi</t>
  </si>
  <si>
    <t>CSE</t>
  </si>
  <si>
    <t>sahra.abdi167@student.example.edu</t>
  </si>
  <si>
    <t>0673193474</t>
  </si>
  <si>
    <t>sahra.abdi167@student.example.edu;0673193474</t>
  </si>
  <si>
    <t>STD-2026-0168</t>
  </si>
  <si>
    <t>Zahra Warsame</t>
  </si>
  <si>
    <t>zahra.warsame168@student.example.edu</t>
  </si>
  <si>
    <t>0683504237</t>
  </si>
  <si>
    <t>zahra.warsame168@student.example.edu;0683504237</t>
  </si>
  <si>
    <t>STD-2026-0169</t>
  </si>
  <si>
    <t>Abdullahi Warsame</t>
  </si>
  <si>
    <t>abdullahi.warsame169@student.example.edu</t>
  </si>
  <si>
    <t>0669791674</t>
  </si>
  <si>
    <t>abdullahi.warsame169@student.example.edu;0669791674</t>
  </si>
  <si>
    <t>STD-2026-0171</t>
  </si>
  <si>
    <t>Yusuf Dahir</t>
  </si>
  <si>
    <t>yusuf.dahir171@student.example.edu</t>
  </si>
  <si>
    <t>0664877191</t>
  </si>
  <si>
    <t>yusuf.dahir171@student.example.edu;0664877191</t>
  </si>
  <si>
    <t>STD-2026-0172</t>
  </si>
  <si>
    <t>Fadumo Nur</t>
  </si>
  <si>
    <t>fadumo.nur172@student.example.edu</t>
  </si>
  <si>
    <t>0682109613</t>
  </si>
  <si>
    <t>fadumo.nur172@student.example.edu;0682109613</t>
  </si>
  <si>
    <t>STD-2026-0173</t>
  </si>
  <si>
    <t>HASSAN MUSE</t>
  </si>
  <si>
    <t>hassan.muse173@student.example.edu</t>
  </si>
  <si>
    <t>0640824989</t>
  </si>
  <si>
    <t>hassan.muse173@student.example.edu;0640824989</t>
  </si>
  <si>
    <t>STD-2026-0174</t>
  </si>
  <si>
    <t>maryan.ibrahim174@student.example.edu</t>
  </si>
  <si>
    <t>0623542127</t>
  </si>
  <si>
    <t>maryan.ibrahim174@student.example.edu;0623542127</t>
  </si>
  <si>
    <t>STD-2026-0175</t>
  </si>
  <si>
    <t>ikram.omar175@student.example.edu</t>
  </si>
  <si>
    <t>0617575790</t>
  </si>
  <si>
    <t>ikram.omar175@student.example.edu;0617575790</t>
  </si>
  <si>
    <t>STD-2026-0176</t>
  </si>
  <si>
    <t>abdi.muse176@student.example.edu</t>
  </si>
  <si>
    <t>0629228089</t>
  </si>
  <si>
    <t>abdi.muse176@student.example.edu;0629228089</t>
  </si>
  <si>
    <t>STD-2026-0177</t>
  </si>
  <si>
    <t>Abdullahi Mohamud</t>
  </si>
  <si>
    <t>ABDULLAHI.MOHAMUD177@STUDENT.EXAMPLE.EDU</t>
  </si>
  <si>
    <t>0696344420</t>
  </si>
  <si>
    <t>abdullahi.mohamud177@student.example.edu;0696344420</t>
  </si>
  <si>
    <t>STD-2026-0178</t>
  </si>
  <si>
    <t>hassan.muse178@student.example.edu</t>
  </si>
  <si>
    <t>0650364158</t>
  </si>
  <si>
    <t>hassan.muse178@student.example.edu;0650364158</t>
  </si>
  <si>
    <t>STD-2026-0179</t>
  </si>
  <si>
    <t>Abdi Ibrahim</t>
  </si>
  <si>
    <t>abdi.ibrahim179@student.example.edu</t>
  </si>
  <si>
    <t>0670369365</t>
  </si>
  <si>
    <t>abdi.ibrahim179@student.example.edu;0670369365</t>
  </si>
  <si>
    <t>STD-2026-0180</t>
  </si>
  <si>
    <t>Nasra Hassan</t>
  </si>
  <si>
    <t>nasra.hassan180@student.example.edu</t>
  </si>
  <si>
    <t>0654689713</t>
  </si>
  <si>
    <t>nasra.hassan180@student.example.edu;0654689713</t>
  </si>
  <si>
    <t>STD-2026-0181</t>
  </si>
  <si>
    <t>Sahra Ali</t>
  </si>
  <si>
    <t>sahra.ali181@student.example.edu</t>
  </si>
  <si>
    <t>0684098828</t>
  </si>
  <si>
    <t>sahra.ali181@student.example.edu;0684098828</t>
  </si>
  <si>
    <t>STD-2026-0182</t>
  </si>
  <si>
    <t>omar.aden182@student.example.edu</t>
  </si>
  <si>
    <t>0673013937</t>
  </si>
  <si>
    <t>omar.aden182@student.example.edu;0673013937</t>
  </si>
  <si>
    <t>STD-2026-0183</t>
  </si>
  <si>
    <t>omar.warsame183@student.example.edu</t>
  </si>
  <si>
    <t>0654273769</t>
  </si>
  <si>
    <t>omar.warsame183@student.example.edu;0654273769</t>
  </si>
  <si>
    <t>STD-2026-0184</t>
  </si>
  <si>
    <t>Maryan Jama</t>
  </si>
  <si>
    <t>maryan.jama184@student.example.edu</t>
  </si>
  <si>
    <t>0657268285</t>
  </si>
  <si>
    <t>maryan.jama184@student.example.edu;0657268285</t>
  </si>
  <si>
    <t>STD-2026-0185</t>
  </si>
  <si>
    <t>fadumo.nur185@student.example.edu</t>
  </si>
  <si>
    <t>0665350347</t>
  </si>
  <si>
    <t>fadumo.nur185@student.example.edu;0665350347</t>
  </si>
  <si>
    <t>STD-2026-0186</t>
  </si>
  <si>
    <t>abdi.mohamud186@student.example.edu</t>
  </si>
  <si>
    <t>0681432350</t>
  </si>
  <si>
    <t>abdi.mohamud186@student.example.edu;0681432350</t>
  </si>
  <si>
    <t>STD-2026-0187</t>
  </si>
  <si>
    <t>zahra.sheikh187@student.example.edu</t>
  </si>
  <si>
    <t>0622927031</t>
  </si>
  <si>
    <t>zahra.sheikh187@student.example.edu;0622927031</t>
  </si>
  <si>
    <t>STD-2026-0188</t>
  </si>
  <si>
    <t>abdullahi.nur188@student.example.edu</t>
  </si>
  <si>
    <t>0671605634</t>
  </si>
  <si>
    <t>abdullahi.nur188@student.example.edu;0671605634</t>
  </si>
  <si>
    <t>STD-2026-0189</t>
  </si>
  <si>
    <t>Mahad Mohamud</t>
  </si>
  <si>
    <t>mahad.mohamud189@student.example.edu</t>
  </si>
  <si>
    <t>0633002714</t>
  </si>
  <si>
    <t>mahad.mohamud189@student.example.edu;0633002714</t>
  </si>
  <si>
    <t>STD-2026-0190</t>
  </si>
  <si>
    <t>Mohamed Dualeh</t>
  </si>
  <si>
    <t>mohamed.dualeh190@student.example.edu</t>
  </si>
  <si>
    <t>0619978827</t>
  </si>
  <si>
    <t>mohamed.dualeh190@student.example.edu;0619978827</t>
  </si>
  <si>
    <t>STD-2026-0191</t>
  </si>
  <si>
    <t>Ali Samatar</t>
  </si>
  <si>
    <t>ali.samatar191@student.example.edu</t>
  </si>
  <si>
    <t>0685693188</t>
  </si>
  <si>
    <t>ali.samatar191@student.example.edu;0685693188</t>
  </si>
  <si>
    <t>STD-2026-0192</t>
  </si>
  <si>
    <t>Maryan Dahir</t>
  </si>
  <si>
    <t>0656420476</t>
  </si>
  <si>
    <t>maryan.dahir192@student.example.edu;0656420476</t>
  </si>
  <si>
    <t>STD-2026-0193</t>
  </si>
  <si>
    <t>Hodan Abdi</t>
  </si>
  <si>
    <t>hodan.abdi193@student.example.edu</t>
  </si>
  <si>
    <t>0684227466</t>
  </si>
  <si>
    <t>hodan.abdi193@student.example.edu;0684227466</t>
  </si>
  <si>
    <t>STD-2026-0194</t>
  </si>
  <si>
    <t>Hassan Sheikh</t>
  </si>
  <si>
    <t>hassan.sheikh194@student.example.edu</t>
  </si>
  <si>
    <t>0630699187</t>
  </si>
  <si>
    <t>hassan.sheikh194@student.example.edu;0630699187</t>
  </si>
  <si>
    <t>STD-2026-0195</t>
  </si>
  <si>
    <t>hassan.nur195@student.example.edu</t>
  </si>
  <si>
    <t>0621716836</t>
  </si>
  <si>
    <t>hassan.nur195@student.example.edu;0621716836</t>
  </si>
  <si>
    <t>STD-2026-0196</t>
  </si>
  <si>
    <t>Fadumo Sheikh</t>
  </si>
  <si>
    <t>fadumo.sheikh196@student.example.edu</t>
  </si>
  <si>
    <t>0611656329</t>
  </si>
  <si>
    <t>fadumo.sheikh196@student.example.edu;0611656329</t>
  </si>
  <si>
    <t>STD-2026-0197</t>
  </si>
  <si>
    <t>Sahra Sheikh</t>
  </si>
  <si>
    <t>sahra.sheikh197@student.example.edu</t>
  </si>
  <si>
    <t>0650417154</t>
  </si>
  <si>
    <t>sahra.sheikh197@student.example.edu;0650417154</t>
  </si>
  <si>
    <t>STD-2026-0198</t>
  </si>
  <si>
    <t>ali.dualeh198@student.example.edu</t>
  </si>
  <si>
    <t>0643096758</t>
  </si>
  <si>
    <t>ali.dualeh198@student.example.edu;0643096758</t>
  </si>
  <si>
    <t>STD-2026-0199</t>
  </si>
  <si>
    <t>Ifrah Roble</t>
  </si>
  <si>
    <t>ifrah.roble199@student.example.edu</t>
  </si>
  <si>
    <t>0667796330</t>
  </si>
  <si>
    <t>ifrah.roble199@student.example.edu;0667796330</t>
  </si>
  <si>
    <t>STD-2026-0201</t>
  </si>
  <si>
    <t>ifrah.dahir201@student.example.edu</t>
  </si>
  <si>
    <t>0683833059</t>
  </si>
  <si>
    <t>ifrah.dahir201@student.example.edu;0683833059</t>
  </si>
  <si>
    <t>STD-2026-0202</t>
  </si>
  <si>
    <t>Ahmed Ibrahim</t>
  </si>
  <si>
    <t>ahmed.ibrahim202@student.example.edu</t>
  </si>
  <si>
    <t>0630688754</t>
  </si>
  <si>
    <t>ahmed.ibrahim202@student.example.edu;0630688754</t>
  </si>
  <si>
    <t>STD-2026-0203</t>
  </si>
  <si>
    <t>graduated</t>
  </si>
  <si>
    <t>nimo.jama203@student.example.edu</t>
  </si>
  <si>
    <t>0658255231</t>
  </si>
  <si>
    <t>nimo.jama203@student.example.edu;0658255231</t>
  </si>
  <si>
    <t>STD-2026-0204</t>
  </si>
  <si>
    <t>Zahra Roble</t>
  </si>
  <si>
    <t>zahra.roble204@student.example.edu</t>
  </si>
  <si>
    <t>0667774765</t>
  </si>
  <si>
    <t>zahra.roble204@student.example.edu;0667774765</t>
  </si>
  <si>
    <t>STD-2026-0205</t>
  </si>
  <si>
    <t>amina.ali205@student.example.edu</t>
  </si>
  <si>
    <t>0672151291</t>
  </si>
  <si>
    <t>amina.ali205@student.example.edu;0672151291</t>
  </si>
  <si>
    <t>STD-2026-0206</t>
  </si>
  <si>
    <t>Mahad Muse</t>
  </si>
  <si>
    <t>mahad.muse206@student.example.edu</t>
  </si>
  <si>
    <t>0656045630</t>
  </si>
  <si>
    <t>mahad.muse206@student.example.edu;0656045630</t>
  </si>
  <si>
    <t>STD-2026-0207</t>
  </si>
  <si>
    <t>khalid.warsame207@student.example.edu</t>
  </si>
  <si>
    <t>0625446483</t>
  </si>
  <si>
    <t>khalid.warsame207@student.example.edu;0625446483</t>
  </si>
  <si>
    <t>STD-2026-0208</t>
  </si>
  <si>
    <t>ahmed.yusuf208@student.example.edu</t>
  </si>
  <si>
    <t>0664364546</t>
  </si>
  <si>
    <t>ahmed.yusuf208@student.example.edu;0664364546</t>
  </si>
  <si>
    <t>STD-2026-0209</t>
  </si>
  <si>
    <t>Fadumo Isse</t>
  </si>
  <si>
    <t>fadumo.isse209@student.example.edu</t>
  </si>
  <si>
    <t>0618397164</t>
  </si>
  <si>
    <t>fadumo.isse209@student.example.edu;0618397164</t>
  </si>
  <si>
    <t>STD-2026-0211</t>
  </si>
  <si>
    <t>Ikram Jama</t>
  </si>
  <si>
    <t>ikram.jama211@student.example.edu</t>
  </si>
  <si>
    <t>0652035079</t>
  </si>
  <si>
    <t>ikram.jama211@student.example.edu;0652035079</t>
  </si>
  <si>
    <t>STD-2026-0212</t>
  </si>
  <si>
    <t>amina.mohamud212@student.example.edu</t>
  </si>
  <si>
    <t>0675319770</t>
  </si>
  <si>
    <t>amina.mohamud212@student.example.edu;0675319770</t>
  </si>
  <si>
    <t>STD-2026-0213</t>
  </si>
  <si>
    <t>ZAHRA ISSE</t>
  </si>
  <si>
    <t>zahra.isse213@student.example.edu</t>
  </si>
  <si>
    <t>0675043108</t>
  </si>
  <si>
    <t>zahra.isse213@student.example.edu;0675043108</t>
  </si>
  <si>
    <t>STD-2026-0214</t>
  </si>
  <si>
    <t>abdi.warsame214@student.example.edu</t>
  </si>
  <si>
    <t>0685886408</t>
  </si>
  <si>
    <t>abdi.warsame214@student.example.edu;0685886408</t>
  </si>
  <si>
    <t>STD-2026-0215</t>
  </si>
  <si>
    <t>Ahmed Mohamud</t>
  </si>
  <si>
    <t>ahmed.mohamud215@student.example.edu</t>
  </si>
  <si>
    <t>0686868379</t>
  </si>
  <si>
    <t>ahmed.mohamud215@student.example.edu;0686868379</t>
  </si>
  <si>
    <t>STD-2026-0216</t>
  </si>
  <si>
    <t>amina.farah216@student.example.edu</t>
  </si>
  <si>
    <t>0614325890</t>
  </si>
  <si>
    <t>amina.farah216@student.example.edu;0614325890</t>
  </si>
  <si>
    <t>STD-2026-0217</t>
  </si>
  <si>
    <t>Khalid Farah</t>
  </si>
  <si>
    <t>khalid.farah217@student.example.edu</t>
  </si>
  <si>
    <t>0628687800</t>
  </si>
  <si>
    <t>khalid.farah217@student.example.edu;0628687800</t>
  </si>
  <si>
    <t>STD-2026-0218</t>
  </si>
  <si>
    <t>Yusuf Warsame</t>
  </si>
  <si>
    <t>yusuf.warsame218@student.example.edu</t>
  </si>
  <si>
    <t>0679043610</t>
  </si>
  <si>
    <t>yusuf.warsame218@student.example.edu;0679043610</t>
  </si>
  <si>
    <t>STD-2026-0219</t>
  </si>
  <si>
    <t>amina.nur219@student.example.edu</t>
  </si>
  <si>
    <t>0662707402</t>
  </si>
  <si>
    <t>amina.nur219@student.example.edu;0662707402</t>
  </si>
  <si>
    <t>STD-2026-0220</t>
  </si>
  <si>
    <t>Ifrah Nur</t>
  </si>
  <si>
    <t>ECON</t>
  </si>
  <si>
    <t>ifrah.nur220@student.example.edu</t>
  </si>
  <si>
    <t>0647342819</t>
  </si>
  <si>
    <t>ifrah.nur220@student.example.edu;0647342819</t>
  </si>
  <si>
    <t>STD-2026-0221</t>
  </si>
  <si>
    <t>Nasra Ibrahim</t>
  </si>
  <si>
    <t>nasra.ibrahim221@student.example.edu</t>
  </si>
  <si>
    <t>0663380520</t>
  </si>
  <si>
    <t>nasra.ibrahim221@student.example.edu;0663380520</t>
  </si>
  <si>
    <t>STD-2026-0222</t>
  </si>
  <si>
    <t>Yusuf Sheikh</t>
  </si>
  <si>
    <t>yusuf.sheikh222@student.example.edu</t>
  </si>
  <si>
    <t>0616497381</t>
  </si>
  <si>
    <t>yusuf.sheikh222@student.example.edu;0616497381</t>
  </si>
  <si>
    <t>STD-2026-0223</t>
  </si>
  <si>
    <t>hodan.abdi223@student.example.edu</t>
  </si>
  <si>
    <t>0650515702</t>
  </si>
  <si>
    <t>hodan.abdi223@student.example.edu;0650515702</t>
  </si>
  <si>
    <t>STD-2026-0224</t>
  </si>
  <si>
    <t>Fadumo Farah</t>
  </si>
  <si>
    <t>fadumo.farah224@student.example.edu</t>
  </si>
  <si>
    <t>0651004756</t>
  </si>
  <si>
    <t>fadumo.farah224@student.example.edu;0651004756</t>
  </si>
  <si>
    <t>STD-2026-0225</t>
  </si>
  <si>
    <t>maryan.sheikh225@student.example.edu</t>
  </si>
  <si>
    <t>0611246473</t>
  </si>
  <si>
    <t>maryan.sheikh225@student.example.edu;0611246473</t>
  </si>
  <si>
    <t>STD-2026-0226</t>
  </si>
  <si>
    <t>ahmed.yusuf226@student.example.edu</t>
  </si>
  <si>
    <t>0650165370</t>
  </si>
  <si>
    <t>ahmed.yusuf226@student.example.edu;0650165370</t>
  </si>
  <si>
    <t>STD-2026-0227</t>
  </si>
  <si>
    <t>Abdi Jama</t>
  </si>
  <si>
    <t>abdi.jama227@student.example.edu</t>
  </si>
  <si>
    <t>0638595818</t>
  </si>
  <si>
    <t>abdi.jama227@student.example.edu;0638595818</t>
  </si>
  <si>
    <t>STD-2026-0228</t>
  </si>
  <si>
    <t>abdi.sheikh228@student.example.edu</t>
  </si>
  <si>
    <t>0628767690</t>
  </si>
  <si>
    <t>abdi.sheikh228@student.example.edu;0628767690</t>
  </si>
  <si>
    <t>STD-2026-0229</t>
  </si>
  <si>
    <t>maryan.farah229@student.example.edu</t>
  </si>
  <si>
    <t>0678386961</t>
  </si>
  <si>
    <t>maryan.farah229@student.example.edu;0678386961</t>
  </si>
  <si>
    <t>STD-2026-0231</t>
  </si>
  <si>
    <t>Nasra Yusuf</t>
  </si>
  <si>
    <t>nasra.yusuf231@student.example.edu</t>
  </si>
  <si>
    <t>0619064068</t>
  </si>
  <si>
    <t>nasra.yusuf231@student.example.edu;0619064068</t>
  </si>
  <si>
    <t>STD-2026-0232</t>
  </si>
  <si>
    <t>ahmed.farah232@student.example.edu</t>
  </si>
  <si>
    <t>0621063273</t>
  </si>
  <si>
    <t>ahmed.farah232@student.example.edu;0621063273</t>
  </si>
  <si>
    <t>STD-2026-0233</t>
  </si>
  <si>
    <t>zahra.samatar233@student.example.edu</t>
  </si>
  <si>
    <t>0688710263</t>
  </si>
  <si>
    <t>zahra.samatar233@student.example.edu;0688710263</t>
  </si>
  <si>
    <t>STD-2026-0234</t>
  </si>
  <si>
    <t>Mohamed Aden</t>
  </si>
  <si>
    <t>mohamed.aden234@student.example.edu</t>
  </si>
  <si>
    <t>0698322292</t>
  </si>
  <si>
    <t>mohamed.aden234@student.example.edu;0698322292</t>
  </si>
  <si>
    <t>STD-2026-0235</t>
  </si>
  <si>
    <t>Fadumo Abdi</t>
  </si>
  <si>
    <t>fadumo.abdi235@student.example.edu</t>
  </si>
  <si>
    <t>0646072958</t>
  </si>
  <si>
    <t>fadumo.abdi235@student.example.edu;0646072958</t>
  </si>
  <si>
    <t>STD-2026-0236</t>
  </si>
  <si>
    <t>amina.ali236@student.example.edu</t>
  </si>
  <si>
    <t>0658335011</t>
  </si>
  <si>
    <t>amina.ali236@student.example.edu;0658335011</t>
  </si>
  <si>
    <t>STD-2026-0237</t>
  </si>
  <si>
    <t>Hodan Dualeh</t>
  </si>
  <si>
    <t>HODAN.DUALEH237@STUDENT.EXAMPLE.EDU</t>
  </si>
  <si>
    <t>0611649277</t>
  </si>
  <si>
    <t>hodan.dualeh237@student.example.edu;0611649277</t>
  </si>
  <si>
    <t>STD-2026-0238</t>
  </si>
  <si>
    <t>Maryan Omar</t>
  </si>
  <si>
    <t>maryan.omar238@student.example.edu</t>
  </si>
  <si>
    <t>0665869014</t>
  </si>
  <si>
    <t>maryan.omar238@student.example.edu;0665869014</t>
  </si>
  <si>
    <t>STD-2026-0239</t>
  </si>
  <si>
    <t>omar.farah239@student.example.edu</t>
  </si>
  <si>
    <t>0663811222</t>
  </si>
  <si>
    <t>omar.farah239@student.example.edu;0663811222</t>
  </si>
  <si>
    <t>STD-2026-0240</t>
  </si>
  <si>
    <t>mohamed.ibrahim240@student.example.edu</t>
  </si>
  <si>
    <t>0642559072</t>
  </si>
  <si>
    <t>mohamed.ibrahim240@student.example.edu;0642559072</t>
  </si>
  <si>
    <t>STD-2026-0241</t>
  </si>
  <si>
    <t>Khalid Osman</t>
  </si>
  <si>
    <t>khalid.osman241@student.example.edu</t>
  </si>
  <si>
    <t>0695354668</t>
  </si>
  <si>
    <t>khalid.osman241@student.example.edu;0695354668</t>
  </si>
  <si>
    <t>STD-2026-0242</t>
  </si>
  <si>
    <t>0629109045</t>
  </si>
  <si>
    <t>ahmed.yusuf242@student.example.edu;0629109045</t>
  </si>
  <si>
    <t>STD-2026-0243</t>
  </si>
  <si>
    <t>ali.hassan243@student.example.edu</t>
  </si>
  <si>
    <t>0662928934</t>
  </si>
  <si>
    <t>ali.hassan243@student.example.edu;0662928934</t>
  </si>
  <si>
    <t>STD-2026-0244</t>
  </si>
  <si>
    <t>Mohamed Dahir</t>
  </si>
  <si>
    <t>mohamed.dahir244@student.example.edu</t>
  </si>
  <si>
    <t>0646501299</t>
  </si>
  <si>
    <t>mohamed.dahir244@student.example.edu;0646501299</t>
  </si>
  <si>
    <t>STD-2026-0245</t>
  </si>
  <si>
    <t>Maryan Hassan</t>
  </si>
  <si>
    <t>maryan.hassan245@student.example.edu</t>
  </si>
  <si>
    <t>0658088526</t>
  </si>
  <si>
    <t>maryan.hassan245@student.example.edu;0658088526</t>
  </si>
  <si>
    <t>STD-2026-0246</t>
  </si>
  <si>
    <t>Yusuf Ibrahim</t>
  </si>
  <si>
    <t>yusuf.ibrahim246@student.example.edu</t>
  </si>
  <si>
    <t>0653995720</t>
  </si>
  <si>
    <t>yusuf.ibrahim246@student.example.edu;0653995720</t>
  </si>
  <si>
    <t>STD-2026-0247</t>
  </si>
  <si>
    <t>Abdi Hassan</t>
  </si>
  <si>
    <t>abdi.hassan247@student.example.edu</t>
  </si>
  <si>
    <t>0670693413</t>
  </si>
  <si>
    <t>abdi.hassan247@student.example.edu;0670693413</t>
  </si>
  <si>
    <t>STD-2026-0248</t>
  </si>
  <si>
    <t>zahra.samatar248@student.example.edu</t>
  </si>
  <si>
    <t>0663765180</t>
  </si>
  <si>
    <t>zahra.samatar248@student.example.edu;0663765180</t>
  </si>
  <si>
    <t>STD-2026-0249</t>
  </si>
  <si>
    <t>nasra.hassan249@student.example.edu</t>
  </si>
  <si>
    <t>0671873691</t>
  </si>
  <si>
    <t>nasra.hassan249@student.example.edu;0671873691</t>
  </si>
  <si>
    <t>STD-2026-0250</t>
  </si>
  <si>
    <t>Hodan Isse</t>
  </si>
  <si>
    <t>hodan.isse250@student.example.edu</t>
  </si>
  <si>
    <t>0646907428</t>
  </si>
  <si>
    <t>hodan.isse250@student.example.edu;0646907428</t>
  </si>
  <si>
    <t>STD-2026-0251</t>
  </si>
  <si>
    <t>Ali Ibrahim</t>
  </si>
  <si>
    <t>ali.ibrahim251@student.example.edu</t>
  </si>
  <si>
    <t>0661407440</t>
  </si>
  <si>
    <t>ali.ibrahim251@student.example.edu;0661407440</t>
  </si>
  <si>
    <t>STD-2026-0252</t>
  </si>
  <si>
    <t>abdi.sheikh252@student.example.edu</t>
  </si>
  <si>
    <t>0675052579</t>
  </si>
  <si>
    <t>abdi.sheikh252@student.example.edu;0675052579</t>
  </si>
  <si>
    <t>STD-2026-0253</t>
  </si>
  <si>
    <t>NASRA DAHIR</t>
  </si>
  <si>
    <t>nasra.dahir253@student.example.edu</t>
  </si>
  <si>
    <t>0673308406</t>
  </si>
  <si>
    <t>nasra.dahir253@student.example.edu;0673308406</t>
  </si>
  <si>
    <t>STD-2026-0254</t>
  </si>
  <si>
    <t>Abdullahi Osman</t>
  </si>
  <si>
    <t>abdullahi.osman254@student.example.edu</t>
  </si>
  <si>
    <t>0662133188</t>
  </si>
  <si>
    <t>abdullahi.osman254@student.example.edu;0662133188</t>
  </si>
  <si>
    <t>STD-2026-0255</t>
  </si>
  <si>
    <t>Nasra Isse</t>
  </si>
  <si>
    <t>nasra.isse255@student.example.edu</t>
  </si>
  <si>
    <t>0635264294</t>
  </si>
  <si>
    <t>nasra.isse255@student.example.edu;0635264294</t>
  </si>
  <si>
    <t>STD-2026-0256</t>
  </si>
  <si>
    <t>Ifrah Samatar</t>
  </si>
  <si>
    <t>ifrah.samatar256@student.example.edu</t>
  </si>
  <si>
    <t>0654524582</t>
  </si>
  <si>
    <t>ifrah.samatar256@student.example.edu;0654524582</t>
  </si>
  <si>
    <t>STD-2026-0257</t>
  </si>
  <si>
    <t>Ikram Warsame</t>
  </si>
  <si>
    <t>ikram.warsame257@student.example.edu</t>
  </si>
  <si>
    <t>0658974686</t>
  </si>
  <si>
    <t>ikram.warsame257@student.example.edu;0658974686</t>
  </si>
  <si>
    <t>STD-2026-0258</t>
  </si>
  <si>
    <t>Mohamed Osman</t>
  </si>
  <si>
    <t>mohamed.osman258@student.example.edu</t>
  </si>
  <si>
    <t>0633381086</t>
  </si>
  <si>
    <t>mohamed.osman258@student.example.edu;0633381086</t>
  </si>
  <si>
    <t>STD-2026-0259</t>
  </si>
  <si>
    <t>zahra.roble259@student.example.edu</t>
  </si>
  <si>
    <t>0610241310</t>
  </si>
  <si>
    <t>zahra.roble259@student.example.edu;0610241310</t>
  </si>
  <si>
    <t>STD-2026-0261</t>
  </si>
  <si>
    <t>Maryan Osman</t>
  </si>
  <si>
    <t>maryan.osman261@student.example.edu</t>
  </si>
  <si>
    <t>0624500158</t>
  </si>
  <si>
    <t>maryan.osman261@student.example.edu;0624500158</t>
  </si>
  <si>
    <t>STD-2026-0262</t>
  </si>
  <si>
    <t>Ahmed Omar</t>
  </si>
  <si>
    <t>ahmed.omar262@student.example.edu</t>
  </si>
  <si>
    <t>0674355957</t>
  </si>
  <si>
    <t>ahmed.omar262@student.example.edu;0674355957</t>
  </si>
  <si>
    <t>STD-2026-0263</t>
  </si>
  <si>
    <t>mahad.mohamud263@student.example.edu</t>
  </si>
  <si>
    <t>0660393104</t>
  </si>
  <si>
    <t>mahad.mohamud263@student.example.edu;0660393104</t>
  </si>
  <si>
    <t>STD-2026-0264</t>
  </si>
  <si>
    <t>Fadumo Hassan</t>
  </si>
  <si>
    <t>fadumo.hassan264@student.example.edu</t>
  </si>
  <si>
    <t>0623590593</t>
  </si>
  <si>
    <t>fadumo.hassan264@student.example.edu;0623590593</t>
  </si>
  <si>
    <t>STD-2026-0265</t>
  </si>
  <si>
    <t>omar.warsame265@student.example.edu</t>
  </si>
  <si>
    <t>0686741644</t>
  </si>
  <si>
    <t>omar.warsame265@student.example.edu;0686741644</t>
  </si>
  <si>
    <t>STD-2026-0266</t>
  </si>
  <si>
    <t>Zahra Dualeh</t>
  </si>
  <si>
    <t>zahra.dualeh266@student.example.edu</t>
  </si>
  <si>
    <t>0637776759</t>
  </si>
  <si>
    <t>zahra.dualeh266@student.example.edu;0637776759</t>
  </si>
  <si>
    <t>STD-2026-0267</t>
  </si>
  <si>
    <t>Fadumo Aden</t>
  </si>
  <si>
    <t>fadumo.aden267@student.example.edu</t>
  </si>
  <si>
    <t>0662013009</t>
  </si>
  <si>
    <t>fadumo.aden267@student.example.edu;0662013009</t>
  </si>
  <si>
    <t>STD-2026-0268</t>
  </si>
  <si>
    <t>fadumo.osman268@student.example.edu</t>
  </si>
  <si>
    <t>0630284415</t>
  </si>
  <si>
    <t>fadumo.osman268@student.example.edu;0630284415</t>
  </si>
  <si>
    <t>STD-2026-0269</t>
  </si>
  <si>
    <t>amina.hassan269@student.example.edu</t>
  </si>
  <si>
    <t>0673729850</t>
  </si>
  <si>
    <t>amina.hassan269@student.example.edu;0673729850</t>
  </si>
  <si>
    <t>STD-2026-0271</t>
  </si>
  <si>
    <t>fadumo.isse271@student.example.edu</t>
  </si>
  <si>
    <t>0644612921</t>
  </si>
  <si>
    <t>fadumo.isse271@student.example.edu;0644612921</t>
  </si>
  <si>
    <t>STD-2026-0272</t>
  </si>
  <si>
    <t>omar.hassan272@student.example.edu</t>
  </si>
  <si>
    <t>0693625419</t>
  </si>
  <si>
    <t>omar.hassan272@student.example.edu;0693625419</t>
  </si>
  <si>
    <t>STD-2026-0273</t>
  </si>
  <si>
    <t>mahad.muse273@student.example.edu</t>
  </si>
  <si>
    <t>0623554707</t>
  </si>
  <si>
    <t>mahad.muse273@student.example.edu;0623554707</t>
  </si>
  <si>
    <t>STD-2026-0274</t>
  </si>
  <si>
    <t>Sahra Samatar</t>
  </si>
  <si>
    <t>sahra.samatar274@student.example.edu</t>
  </si>
  <si>
    <t>0692979370</t>
  </si>
  <si>
    <t>sahra.samatar274@student.example.edu;0692979370</t>
  </si>
  <si>
    <t>STD-2026-0275</t>
  </si>
  <si>
    <t>ikram.jama275@student.example.edu</t>
  </si>
  <si>
    <t>0650675347</t>
  </si>
  <si>
    <t>ikram.jama275@student.example.edu;0650675347</t>
  </si>
  <si>
    <t>STD-2026-0276</t>
  </si>
  <si>
    <t>sahra.farah276@student.example.edu</t>
  </si>
  <si>
    <t>0665938288</t>
  </si>
  <si>
    <t>sahra.farah276@student.example.edu;0665938288</t>
  </si>
  <si>
    <t>STD-2026-0277</t>
  </si>
  <si>
    <t>Ikram Hassan</t>
  </si>
  <si>
    <t>ikram.hassan277@student.example.edu</t>
  </si>
  <si>
    <t>0618806960</t>
  </si>
  <si>
    <t>ikram.hassan277@student.example.edu;0618806960</t>
  </si>
  <si>
    <t>STD-2026-0278</t>
  </si>
  <si>
    <t>Sahra Muse</t>
  </si>
  <si>
    <t>sahra.muse278@student.example.edu</t>
  </si>
  <si>
    <t>0671263503</t>
  </si>
  <si>
    <t>sahra.muse278@student.example.edu;0671263503</t>
  </si>
  <si>
    <t>STD-2026-0279</t>
  </si>
  <si>
    <t>Hodan Osman</t>
  </si>
  <si>
    <t>hodan.osman279@student.example.edu</t>
  </si>
  <si>
    <t>0689731181</t>
  </si>
  <si>
    <t>hodan.osman279@student.example.edu;0689731181</t>
  </si>
  <si>
    <t>STD-2026-0280</t>
  </si>
  <si>
    <t>education</t>
  </si>
  <si>
    <t>khalid.isse280@student.example.edu</t>
  </si>
  <si>
    <t>0616664050</t>
  </si>
  <si>
    <t>khalid.isse280@student.example.edu;0616664050</t>
  </si>
  <si>
    <t>STD-2026-0281</t>
  </si>
  <si>
    <t>Fadumo Dahir</t>
  </si>
  <si>
    <t>fadumo.dahir281@student.example.edu</t>
  </si>
  <si>
    <t>0627758896</t>
  </si>
  <si>
    <t>fadumo.dahir281@student.example.edu;0627758896</t>
  </si>
  <si>
    <t>STD-2026-0282</t>
  </si>
  <si>
    <t>Fadumo Roble</t>
  </si>
  <si>
    <t>fadumo.roble282@student.example.edu</t>
  </si>
  <si>
    <t>0656802956</t>
  </si>
  <si>
    <t>fadumo.roble282@student.example.edu;0656802956</t>
  </si>
  <si>
    <t>STD-2026-0283</t>
  </si>
  <si>
    <t>khalid.farah283@student.example.edu</t>
  </si>
  <si>
    <t>0660228268</t>
  </si>
  <si>
    <t>khalid.farah283@student.example.edu;0660228268</t>
  </si>
  <si>
    <t>STD-2026-0284</t>
  </si>
  <si>
    <t>zahra.roble284@student.example.edu</t>
  </si>
  <si>
    <t>0697438349</t>
  </si>
  <si>
    <t>zahra.roble284@student.example.edu;0697438349</t>
  </si>
  <si>
    <t>STD-2026-0285</t>
  </si>
  <si>
    <t>sahra.warsame285@student.example.edu</t>
  </si>
  <si>
    <t>0644819604</t>
  </si>
  <si>
    <t>sahra.warsame285@student.example.edu;0644819604</t>
  </si>
  <si>
    <t>STD-2026-0286</t>
  </si>
  <si>
    <t>nimo.jama286@student.example.edu</t>
  </si>
  <si>
    <t>0632815223</t>
  </si>
  <si>
    <t>nimo.jama286@student.example.edu;0632815223</t>
  </si>
  <si>
    <t>STD-2026-0287</t>
  </si>
  <si>
    <t>Zahra Isse</t>
  </si>
  <si>
    <t>zahra.isse287@student.example.edu</t>
  </si>
  <si>
    <t>0639974566</t>
  </si>
  <si>
    <t>zahra.isse287@student.example.edu;0639974566</t>
  </si>
  <si>
    <t>STD-2026-0288</t>
  </si>
  <si>
    <t>sahra.sheikh288@student.example.edu</t>
  </si>
  <si>
    <t>0636111227</t>
  </si>
  <si>
    <t>sahra.sheikh288@student.example.edu;0636111227</t>
  </si>
  <si>
    <t>STD-2026-0289</t>
  </si>
  <si>
    <t>Abdullahi Abdi</t>
  </si>
  <si>
    <t>abdullahi.abdi289@student.example.edu</t>
  </si>
  <si>
    <t>0671414198</t>
  </si>
  <si>
    <t>abdullahi.abdi289@student.example.edu;0671414198</t>
  </si>
  <si>
    <t>STD-2026-0291</t>
  </si>
  <si>
    <t>Mahad Isse</t>
  </si>
  <si>
    <t>mahad.isse291@student.example.edu</t>
  </si>
  <si>
    <t>0681643088</t>
  </si>
  <si>
    <t>mahad.isse291@student.example.edu;0681643088</t>
  </si>
  <si>
    <t>STD-2026-0292</t>
  </si>
  <si>
    <t>Yusuf Osman</t>
  </si>
  <si>
    <t>yusuf.osman292@student.example.edu</t>
  </si>
  <si>
    <t>0656217844</t>
  </si>
  <si>
    <t>yusuf.osman292@student.example.edu;0656217844</t>
  </si>
  <si>
    <t>STD-2026-0293</t>
  </si>
  <si>
    <t>Sahra Nur</t>
  </si>
  <si>
    <t>sahra.nur293@student.example.edu</t>
  </si>
  <si>
    <t>0679831928</t>
  </si>
  <si>
    <t>sahra.nur293@student.example.edu;0679831928</t>
  </si>
  <si>
    <t>STD-2026-0294</t>
  </si>
  <si>
    <t>Ikram Muse</t>
  </si>
  <si>
    <t>ikram.muse294@student.example.edu</t>
  </si>
  <si>
    <t>0640107903</t>
  </si>
  <si>
    <t>ikram.muse294@student.example.edu;0640107903</t>
  </si>
  <si>
    <t>STD-2026-0295</t>
  </si>
  <si>
    <t>abdi.warsame295@student.example.edu</t>
  </si>
  <si>
    <t>0644331441</t>
  </si>
  <si>
    <t>abdi.warsame295@student.example.edu;0644331441</t>
  </si>
  <si>
    <t>STD-2026-0296</t>
  </si>
  <si>
    <t>zahra.roble296@student.example.edu</t>
  </si>
  <si>
    <t>0626588648</t>
  </si>
  <si>
    <t>zahra.roble296@student.example.edu;0626588648</t>
  </si>
  <si>
    <t>STD-2026-0297</t>
  </si>
  <si>
    <t>zahra.farah297@student.example.edu</t>
  </si>
  <si>
    <t>0624081350</t>
  </si>
  <si>
    <t>zahra.farah297@student.example.edu;0624081350</t>
  </si>
  <si>
    <t>STD-2026-0298</t>
  </si>
  <si>
    <t>Abdullahi Roble</t>
  </si>
  <si>
    <t>abdullahi.roble298@student.example.edu</t>
  </si>
  <si>
    <t>0658039455</t>
  </si>
  <si>
    <t>abdullahi.roble298@student.example.edu;0658039455</t>
  </si>
  <si>
    <t>STD-2026-0299</t>
  </si>
  <si>
    <t>Nimo Aden</t>
  </si>
  <si>
    <t>nimo.aden299@student.example.edu</t>
  </si>
  <si>
    <t>0621945758</t>
  </si>
  <si>
    <t>nimo.aden299@student.example.edu;0621945758</t>
  </si>
  <si>
    <t>STD-2026-0300</t>
  </si>
  <si>
    <t>amina.dahir300@student.example.edu</t>
  </si>
  <si>
    <t>0649731424</t>
  </si>
  <si>
    <t>amina.dahir300@student.example.edu;0649731424</t>
  </si>
  <si>
    <t>Total Score</t>
  </si>
  <si>
    <t>Pass Mark</t>
  </si>
  <si>
    <t xml:space="preserve">Total Score </t>
  </si>
  <si>
    <t xml:space="preserve">Sum </t>
  </si>
  <si>
    <t>Avg</t>
  </si>
  <si>
    <t>Min</t>
  </si>
  <si>
    <t>)</t>
  </si>
  <si>
    <t>Max</t>
  </si>
  <si>
    <t>Count</t>
  </si>
  <si>
    <t>CountA</t>
  </si>
  <si>
    <t>TRIM – Student Name</t>
  </si>
  <si>
    <t xml:space="preserve">Proper </t>
  </si>
  <si>
    <t xml:space="preserve">      amina Ali</t>
  </si>
  <si>
    <t>UPPER</t>
  </si>
  <si>
    <t>Lower</t>
  </si>
  <si>
    <t xml:space="preserve">Trim </t>
  </si>
  <si>
    <t>LEFT</t>
  </si>
  <si>
    <t>Right</t>
  </si>
  <si>
    <t>MID</t>
  </si>
  <si>
    <t>CONCAT</t>
  </si>
  <si>
    <t>Date Functions</t>
  </si>
  <si>
    <t>Today</t>
  </si>
  <si>
    <t>NOW</t>
  </si>
  <si>
    <t>Year</t>
  </si>
  <si>
    <t>MONTH</t>
  </si>
  <si>
    <t>DAY</t>
  </si>
  <si>
    <t>DATE</t>
  </si>
  <si>
    <t>NETWORKDAYS</t>
  </si>
  <si>
    <t>Grade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</si>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</sst>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theme="4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0" fontId="3" fillId="3" borderId="0" xfId="2"/>
    <xf numFmtId="0" fontId="0" fillId="0" borderId="0" xfId="0" applyNumberFormat="1"/>
    <xf numFmtId="1" fontId="0" fillId="0" borderId="0" xfId="1" applyNumberFormat="1" applyFont="1"/>
    <xf numFmtId="0" fontId="3" fillId="4" borderId="0" xfId="3" applyAlignment="1">
      <alignment horizontal="center" vertical="center"/>
    </xf>
    <xf numFmtId="14" fontId="3" fillId="4" borderId="0" xfId="3" applyNumberFormat="1" applyAlignment="1">
      <alignment horizontal="center" vertical="center"/>
    </xf>
    <xf numFmtId="2" fontId="3" fillId="4" borderId="0" xfId="3" applyNumberFormat="1" applyAlignment="1">
      <alignment horizontal="center" vertical="center"/>
    </xf>
    <xf numFmtId="0" fontId="3" fillId="4" borderId="0" xfId="3"/>
    <xf numFmtId="1" fontId="3" fillId="4" borderId="0" xfId="3" applyNumberFormat="1"/>
    <xf numFmtId="0" fontId="3" fillId="3" borderId="1" xfId="2" applyBorder="1"/>
    <xf numFmtId="0" fontId="0" fillId="0" borderId="0" xfId="0" applyAlignment="1">
      <alignment horizontal="right"/>
    </xf>
    <xf numFmtId="0" fontId="3" fillId="3" borderId="0" xfId="2" applyAlignment="1">
      <alignment horizontal="right"/>
    </xf>
    <xf numFmtId="22" fontId="0" fillId="0" borderId="0" xfId="0" applyNumberFormat="1"/>
  </cellXfs>
  <cellStyles count="4">
    <cellStyle name="Accent1" xfId="2" builtinId="29"/>
    <cellStyle name="Accent6" xfId="3" builtinId="49"/>
    <cellStyle name="Normal" xfId="0" builtinId="0"/>
    <cellStyle name="Percent" xfId="1" builtinId="5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2" formatCode="0.00"/>
    </dxf>
    <dxf>
      <numFmt numFmtId="1" formatCode="0"/>
    </dxf>
    <dxf>
      <numFmt numFmtId="19" formatCode="m/d/yyyy"/>
    </dxf>
    <dxf>
      <numFmt numFmtId="19" formatCode="m/d/yyyy"/>
    </dxf>
    <dxf>
      <fill>
        <patternFill patternType="solid">
          <bgColor rgb="FFF4CCCC"/>
        </patternFill>
      </fill>
    </dxf>
    <dxf>
      <fill>
        <patternFill patternType="solid">
          <bgColor rgb="FFFDE9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DE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RawStudentTable5" displayName="RawStudentTable5" ref="A1:Q301">
  <autoFilter ref="A1:Q301"/>
  <tableColumns count="17">
    <tableColumn id="1" name="Student_ID"/>
    <tableColumn id="2" name="Full_Name"/>
    <tableColumn id="3" name="Gender"/>
    <tableColumn id="4" name="Department_Code"/>
    <tableColumn id="5" name="Department_Entered"/>
    <tableColumn id="6" name="City"/>
    <tableColumn id="7" name="Registration_Date"/>
    <tableColumn id="8" name="Exam_Date"/>
    <tableColumn id="9" name="Attendance"/>
    <tableColumn id="10" name="GPA"/>
    <tableColumn id="11" name="Assignment_Score"/>
    <tableColumn id="12" name="Midterm_Score"/>
    <tableColumn id="13" name="Final_Score"/>
    <tableColumn id="14" name="Status"/>
    <tableColumn id="15" name="Email"/>
    <tableColumn id="16" name="Phone"/>
    <tableColumn id="17" name="Contact_Blo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StudentTable" displayName="RawStudentTable" ref="A1:U309" headerRowCellStyle="Accent6">
  <autoFilter ref="A1:U309"/>
  <sortState ref="A2:R301">
    <sortCondition ref="A2:A301"/>
  </sortState>
  <tableColumns count="21">
    <tableColumn id="1" name="Student_ID"/>
    <tableColumn id="2" name="Full_Name"/>
    <tableColumn id="3" name="Gender"/>
    <tableColumn id="4" name="Department_Code"/>
    <tableColumn id="5" name="Department_Entered"/>
    <tableColumn id="6" name="City"/>
    <tableColumn id="7" name="Registration_Date" dataDxfId="7"/>
    <tableColumn id="8" name="Exam_Date" dataDxfId="6"/>
    <tableColumn id="9" name="Attendance" dataDxfId="5"/>
    <tableColumn id="10" name="GPA"/>
    <tableColumn id="11" name="Assignment_Score"/>
    <tableColumn id="12" name="Midterm_Score"/>
    <tableColumn id="13" name="Final_Score"/>
    <tableColumn id="14" name="Status"/>
    <tableColumn id="15" name="Email"/>
    <tableColumn id="16" name="Phone" dataDxfId="4"/>
    <tableColumn id="17" name="Contact_Block"/>
    <tableColumn id="18" name="Total Score" dataDxfId="3" dataCellStyle="Percent">
      <calculatedColumnFormula>K2+L2+M2</calculatedColumnFormula>
    </tableColumn>
    <tableColumn id="19" name="Pass Mark" dataDxfId="2">
      <calculatedColumnFormula>IF(R2&gt;=$W$7,"Pass","Fail")</calculatedColumnFormula>
    </tableColumn>
    <tableColumn id="20" name="Grade" dataDxfId="1">
      <calculatedColumnFormula>IF(R2&gt;=200,"A",IF(R2&gt;=150,"B",IF(R2&gt;=100,"C",IF(R2&gt;=50,"D"))))</calculatedColumnFormula>
    </tableColumn>
    <tableColumn id="21" name="COUNTIF" dataDxfId="0">
      <calculatedColumnFormula>COUNTIF(C1:C295,E2)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"/>
  <sheetViews>
    <sheetView workbookViewId="0">
      <selection activeCell="F37" sqref="F37"/>
    </sheetView>
  </sheetViews>
  <sheetFormatPr defaultRowHeight="14.25"/>
  <cols>
    <col min="1" max="1" width="16" customWidth="1"/>
    <col min="2" max="2" width="24" customWidth="1"/>
    <col min="3" max="6" width="18" customWidth="1"/>
    <col min="7" max="14" width="14" customWidth="1"/>
    <col min="15" max="17" width="28" customWidth="1"/>
  </cols>
  <sheetData>
    <row r="1" spans="1:17" ht="9.949999999999999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9.9499999999999993" customHeight="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2">
        <v>45936</v>
      </c>
      <c r="H2" s="2">
        <v>46019</v>
      </c>
      <c r="I2" s="3">
        <v>98</v>
      </c>
      <c r="J2" s="4">
        <v>3.43</v>
      </c>
      <c r="K2" s="3">
        <v>74</v>
      </c>
      <c r="L2" s="3">
        <v>46</v>
      </c>
      <c r="M2" s="3">
        <v>84</v>
      </c>
      <c r="N2" t="s">
        <v>23</v>
      </c>
      <c r="O2" t="s">
        <v>24</v>
      </c>
      <c r="P2" t="s">
        <v>25</v>
      </c>
      <c r="Q2" t="s">
        <v>26</v>
      </c>
    </row>
    <row r="3" spans="1:17" ht="9.9499999999999993" customHeight="1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s="2">
        <v>46067</v>
      </c>
      <c r="H3" s="2">
        <v>46206</v>
      </c>
      <c r="I3" s="3">
        <v>81</v>
      </c>
      <c r="J3" s="4">
        <v>2.2799999999999998</v>
      </c>
      <c r="K3" s="3">
        <v>77</v>
      </c>
      <c r="L3" s="3">
        <v>70</v>
      </c>
      <c r="M3" s="3">
        <v>30</v>
      </c>
      <c r="N3" t="s">
        <v>32</v>
      </c>
      <c r="O3" t="s">
        <v>33</v>
      </c>
      <c r="P3" t="s">
        <v>34</v>
      </c>
      <c r="Q3" t="s">
        <v>35</v>
      </c>
    </row>
    <row r="4" spans="1:17" ht="9.9499999999999993" customHeight="1">
      <c r="A4" t="s">
        <v>36</v>
      </c>
      <c r="B4" t="s">
        <v>37</v>
      </c>
      <c r="C4" t="s">
        <v>19</v>
      </c>
      <c r="D4" t="s">
        <v>20</v>
      </c>
      <c r="E4" t="s">
        <v>21</v>
      </c>
      <c r="F4" t="s">
        <v>22</v>
      </c>
      <c r="G4" s="2">
        <v>45987</v>
      </c>
      <c r="H4" s="2">
        <v>46070</v>
      </c>
      <c r="I4" s="3">
        <v>60</v>
      </c>
      <c r="J4" s="4">
        <v>2.64</v>
      </c>
      <c r="K4" s="3">
        <v>62</v>
      </c>
      <c r="L4" s="3">
        <v>79</v>
      </c>
      <c r="M4" s="3">
        <v>63</v>
      </c>
      <c r="N4" t="s">
        <v>32</v>
      </c>
      <c r="O4" t="s">
        <v>38</v>
      </c>
      <c r="P4" t="s">
        <v>39</v>
      </c>
      <c r="Q4" t="s">
        <v>40</v>
      </c>
    </row>
    <row r="5" spans="1:17" ht="9.9499999999999993" customHeight="1">
      <c r="A5" t="s">
        <v>41</v>
      </c>
      <c r="B5" t="s">
        <v>42</v>
      </c>
      <c r="C5" t="s">
        <v>19</v>
      </c>
      <c r="D5" t="s">
        <v>43</v>
      </c>
      <c r="E5" t="s">
        <v>44</v>
      </c>
      <c r="F5" t="s">
        <v>45</v>
      </c>
      <c r="G5" s="2">
        <v>45976</v>
      </c>
      <c r="H5" s="2">
        <v>46092</v>
      </c>
      <c r="I5" s="3">
        <v>91</v>
      </c>
      <c r="J5" s="4">
        <v>2.2200000000000002</v>
      </c>
      <c r="K5" s="3">
        <v>44</v>
      </c>
      <c r="L5" s="3">
        <v>40</v>
      </c>
      <c r="M5" s="3">
        <v>59</v>
      </c>
      <c r="N5" t="s">
        <v>32</v>
      </c>
      <c r="O5" t="s">
        <v>46</v>
      </c>
      <c r="P5" t="s">
        <v>47</v>
      </c>
      <c r="Q5" t="s">
        <v>48</v>
      </c>
    </row>
    <row r="6" spans="1:17" ht="9.9499999999999993" customHeight="1">
      <c r="A6" t="s">
        <v>49</v>
      </c>
      <c r="B6" t="s">
        <v>50</v>
      </c>
      <c r="C6" t="s">
        <v>19</v>
      </c>
      <c r="D6" t="s">
        <v>51</v>
      </c>
      <c r="E6" t="s">
        <v>52</v>
      </c>
      <c r="F6" t="s">
        <v>53</v>
      </c>
      <c r="G6" s="2">
        <v>46063</v>
      </c>
      <c r="H6" s="2">
        <v>46179</v>
      </c>
      <c r="I6" s="3">
        <v>65</v>
      </c>
      <c r="J6" s="4">
        <v>2.61</v>
      </c>
      <c r="K6" s="3">
        <v>53</v>
      </c>
      <c r="L6" s="3">
        <v>69</v>
      </c>
      <c r="M6" s="3">
        <v>39</v>
      </c>
      <c r="N6" t="s">
        <v>23</v>
      </c>
      <c r="O6" t="s">
        <v>54</v>
      </c>
      <c r="P6" t="s">
        <v>55</v>
      </c>
      <c r="Q6" t="s">
        <v>56</v>
      </c>
    </row>
    <row r="7" spans="1:17" ht="9.9499999999999993" customHeight="1">
      <c r="A7" t="s">
        <v>57</v>
      </c>
      <c r="B7" t="s">
        <v>58</v>
      </c>
      <c r="C7" t="s">
        <v>29</v>
      </c>
      <c r="D7" t="s">
        <v>59</v>
      </c>
      <c r="E7" t="s">
        <v>60</v>
      </c>
      <c r="F7" t="s">
        <v>53</v>
      </c>
      <c r="G7" s="2">
        <v>45970</v>
      </c>
      <c r="H7" s="2">
        <v>46068</v>
      </c>
      <c r="I7" s="3">
        <v>98</v>
      </c>
      <c r="J7" s="4">
        <v>2.5099999999999998</v>
      </c>
      <c r="K7" s="3">
        <v>89</v>
      </c>
      <c r="L7" s="3">
        <v>42</v>
      </c>
      <c r="M7" s="3">
        <v>59</v>
      </c>
      <c r="N7" t="s">
        <v>32</v>
      </c>
      <c r="O7" t="s">
        <v>61</v>
      </c>
      <c r="P7" t="s">
        <v>62</v>
      </c>
      <c r="Q7" t="s">
        <v>63</v>
      </c>
    </row>
    <row r="8" spans="1:17" ht="9.9499999999999993" customHeight="1">
      <c r="A8" t="s">
        <v>64</v>
      </c>
      <c r="B8" t="s">
        <v>65</v>
      </c>
      <c r="C8" t="s">
        <v>29</v>
      </c>
      <c r="D8" t="s">
        <v>20</v>
      </c>
      <c r="E8" t="s">
        <v>21</v>
      </c>
      <c r="F8" t="s">
        <v>45</v>
      </c>
      <c r="G8" s="2">
        <v>45981</v>
      </c>
      <c r="H8" s="2">
        <v>46078</v>
      </c>
      <c r="I8" s="3">
        <v>96</v>
      </c>
      <c r="J8" s="4">
        <v>2.9</v>
      </c>
      <c r="K8" s="3">
        <v>96</v>
      </c>
      <c r="L8" s="3">
        <v>93</v>
      </c>
      <c r="M8" s="3">
        <v>48</v>
      </c>
      <c r="N8" t="s">
        <v>23</v>
      </c>
      <c r="O8" t="s">
        <v>66</v>
      </c>
      <c r="P8" t="s">
        <v>67</v>
      </c>
      <c r="Q8" t="s">
        <v>68</v>
      </c>
    </row>
    <row r="9" spans="1:17" ht="9.9499999999999993" customHeight="1">
      <c r="A9" t="s">
        <v>69</v>
      </c>
      <c r="B9" t="s">
        <v>70</v>
      </c>
      <c r="C9" t="s">
        <v>19</v>
      </c>
      <c r="D9" t="s">
        <v>71</v>
      </c>
      <c r="E9" t="s">
        <v>72</v>
      </c>
      <c r="F9" t="s">
        <v>45</v>
      </c>
      <c r="G9" s="2">
        <v>46010</v>
      </c>
      <c r="H9" s="2">
        <v>46131</v>
      </c>
      <c r="I9" s="3">
        <v>78</v>
      </c>
      <c r="J9" s="4">
        <v>2.2799999999999998</v>
      </c>
      <c r="K9" s="3">
        <v>48</v>
      </c>
      <c r="L9" s="3">
        <v>100</v>
      </c>
      <c r="M9" s="3">
        <v>93</v>
      </c>
      <c r="N9" t="s">
        <v>23</v>
      </c>
      <c r="O9" t="s">
        <v>73</v>
      </c>
      <c r="P9" t="s">
        <v>74</v>
      </c>
      <c r="Q9" t="s">
        <v>75</v>
      </c>
    </row>
    <row r="10" spans="1:17" ht="9.9499999999999993" customHeight="1">
      <c r="A10" t="s">
        <v>76</v>
      </c>
      <c r="B10" t="s">
        <v>77</v>
      </c>
      <c r="C10" t="s">
        <v>29</v>
      </c>
      <c r="D10" t="s">
        <v>71</v>
      </c>
      <c r="E10" t="s">
        <v>72</v>
      </c>
      <c r="F10" t="s">
        <v>53</v>
      </c>
      <c r="G10" s="2">
        <v>46053</v>
      </c>
      <c r="H10" s="2">
        <v>46131</v>
      </c>
      <c r="I10" s="3">
        <v>79</v>
      </c>
      <c r="J10" s="4">
        <v>2.64</v>
      </c>
      <c r="K10" s="3">
        <v>69</v>
      </c>
      <c r="L10" s="3">
        <v>67</v>
      </c>
      <c r="M10" s="3">
        <v>100</v>
      </c>
      <c r="N10" t="s">
        <v>78</v>
      </c>
      <c r="O10" t="s">
        <v>79</v>
      </c>
      <c r="P10" t="s">
        <v>80</v>
      </c>
      <c r="Q10" t="s">
        <v>81</v>
      </c>
    </row>
    <row r="11" spans="1:17" ht="9.9499999999999993" customHeight="1">
      <c r="A11" t="s">
        <v>82</v>
      </c>
      <c r="B11" t="s">
        <v>83</v>
      </c>
      <c r="C11" t="s">
        <v>19</v>
      </c>
      <c r="D11" t="s">
        <v>71</v>
      </c>
      <c r="E11" t="s">
        <v>72</v>
      </c>
      <c r="F11" t="s">
        <v>84</v>
      </c>
      <c r="G11" s="2">
        <v>45929</v>
      </c>
      <c r="H11" s="2">
        <v>46036</v>
      </c>
      <c r="I11" s="3">
        <v>82</v>
      </c>
      <c r="J11" s="4">
        <v>2.15</v>
      </c>
      <c r="K11" s="3">
        <v>40</v>
      </c>
      <c r="L11" s="3">
        <v>68</v>
      </c>
      <c r="M11" s="3">
        <v>94</v>
      </c>
      <c r="N11" t="s">
        <v>32</v>
      </c>
      <c r="O11" t="s">
        <v>85</v>
      </c>
      <c r="P11" t="s">
        <v>86</v>
      </c>
      <c r="Q11" t="s">
        <v>87</v>
      </c>
    </row>
    <row r="12" spans="1:17" ht="9.9499999999999993" customHeight="1">
      <c r="A12" t="s">
        <v>88</v>
      </c>
      <c r="B12" t="s">
        <v>89</v>
      </c>
      <c r="C12" t="s">
        <v>29</v>
      </c>
      <c r="D12" t="s">
        <v>20</v>
      </c>
      <c r="E12" t="s">
        <v>21</v>
      </c>
      <c r="F12" t="s">
        <v>84</v>
      </c>
      <c r="G12" s="2">
        <v>45942</v>
      </c>
      <c r="H12" s="2">
        <v>46081</v>
      </c>
      <c r="I12" s="3">
        <v>88</v>
      </c>
      <c r="J12" s="4">
        <v>3.82</v>
      </c>
      <c r="K12" s="3">
        <v>78</v>
      </c>
      <c r="L12" s="3">
        <v>76</v>
      </c>
      <c r="M12" s="3">
        <v>92</v>
      </c>
      <c r="N12" t="s">
        <v>23</v>
      </c>
      <c r="O12" t="s">
        <v>90</v>
      </c>
      <c r="P12" t="s">
        <v>91</v>
      </c>
      <c r="Q12" t="s">
        <v>92</v>
      </c>
    </row>
    <row r="13" spans="1:17" ht="9.9499999999999993" customHeight="1">
      <c r="A13" t="s">
        <v>93</v>
      </c>
      <c r="B13" t="s">
        <v>94</v>
      </c>
      <c r="C13" t="s">
        <v>29</v>
      </c>
      <c r="D13" t="s">
        <v>20</v>
      </c>
      <c r="E13" t="s">
        <v>21</v>
      </c>
      <c r="G13" s="2">
        <v>45921</v>
      </c>
      <c r="H13" s="2">
        <v>46001</v>
      </c>
      <c r="I13" s="3">
        <v>86</v>
      </c>
      <c r="J13" s="4">
        <v>3.6</v>
      </c>
      <c r="K13" s="3">
        <v>88</v>
      </c>
      <c r="L13" s="3">
        <v>51</v>
      </c>
      <c r="M13" s="3">
        <v>46</v>
      </c>
      <c r="N13" t="s">
        <v>23</v>
      </c>
      <c r="O13" t="s">
        <v>95</v>
      </c>
      <c r="P13" t="s">
        <v>96</v>
      </c>
      <c r="Q13" t="s">
        <v>97</v>
      </c>
    </row>
    <row r="14" spans="1:17" ht="9.9499999999999993" customHeight="1">
      <c r="A14" t="s">
        <v>98</v>
      </c>
      <c r="B14" t="s">
        <v>99</v>
      </c>
      <c r="C14" t="s">
        <v>19</v>
      </c>
      <c r="D14" t="s">
        <v>20</v>
      </c>
      <c r="E14" t="s">
        <v>21</v>
      </c>
      <c r="F14" t="s">
        <v>45</v>
      </c>
      <c r="G14" s="2">
        <v>46077</v>
      </c>
      <c r="H14" s="2">
        <v>46172</v>
      </c>
      <c r="I14" s="3">
        <v>100</v>
      </c>
      <c r="J14" s="4">
        <v>2.4900000000000002</v>
      </c>
      <c r="K14" s="3">
        <v>82</v>
      </c>
      <c r="L14" s="3">
        <v>82</v>
      </c>
      <c r="M14" s="3">
        <v>86</v>
      </c>
      <c r="N14" t="s">
        <v>78</v>
      </c>
      <c r="O14" t="s">
        <v>100</v>
      </c>
      <c r="P14" t="s">
        <v>101</v>
      </c>
      <c r="Q14" t="s">
        <v>102</v>
      </c>
    </row>
    <row r="15" spans="1:17" ht="9.9499999999999993" customHeight="1">
      <c r="A15" t="s">
        <v>103</v>
      </c>
      <c r="B15" t="s">
        <v>104</v>
      </c>
      <c r="C15" t="s">
        <v>29</v>
      </c>
      <c r="D15" t="s">
        <v>43</v>
      </c>
      <c r="E15" t="s">
        <v>44</v>
      </c>
      <c r="F15" t="s">
        <v>84</v>
      </c>
      <c r="G15" s="2">
        <v>45906</v>
      </c>
      <c r="H15" s="2">
        <v>46046</v>
      </c>
      <c r="I15" s="3">
        <v>69</v>
      </c>
      <c r="J15" s="4">
        <v>3.09</v>
      </c>
      <c r="K15" s="3">
        <v>40</v>
      </c>
      <c r="L15" s="3">
        <v>44</v>
      </c>
      <c r="M15" s="3">
        <v>37</v>
      </c>
      <c r="N15" t="s">
        <v>23</v>
      </c>
      <c r="O15" t="s">
        <v>105</v>
      </c>
      <c r="P15" t="s">
        <v>106</v>
      </c>
      <c r="Q15" t="s">
        <v>107</v>
      </c>
    </row>
    <row r="16" spans="1:17" ht="9.9499999999999993" customHeight="1">
      <c r="A16" t="s">
        <v>108</v>
      </c>
      <c r="B16" t="s">
        <v>109</v>
      </c>
      <c r="C16" t="s">
        <v>110</v>
      </c>
      <c r="D16" t="s">
        <v>51</v>
      </c>
      <c r="E16" t="s">
        <v>52</v>
      </c>
      <c r="F16" t="s">
        <v>111</v>
      </c>
      <c r="G16" s="2">
        <v>46025</v>
      </c>
      <c r="H16" s="2">
        <v>46122</v>
      </c>
      <c r="I16" s="3">
        <v>89</v>
      </c>
      <c r="J16" s="4">
        <v>2.09</v>
      </c>
      <c r="K16" s="3">
        <v>99</v>
      </c>
      <c r="L16" s="3">
        <v>95</v>
      </c>
      <c r="M16" s="3">
        <v>61</v>
      </c>
      <c r="N16" t="s">
        <v>32</v>
      </c>
      <c r="O16" t="s">
        <v>112</v>
      </c>
      <c r="P16" t="s">
        <v>113</v>
      </c>
      <c r="Q16" t="s">
        <v>114</v>
      </c>
    </row>
    <row r="17" spans="1:17" ht="9.9499999999999993" customHeight="1">
      <c r="A17" t="s">
        <v>115</v>
      </c>
      <c r="B17" t="s">
        <v>116</v>
      </c>
      <c r="C17" t="s">
        <v>29</v>
      </c>
      <c r="D17" t="s">
        <v>71</v>
      </c>
      <c r="E17" t="s">
        <v>72</v>
      </c>
      <c r="F17" t="s">
        <v>53</v>
      </c>
      <c r="G17" s="2">
        <v>45991</v>
      </c>
      <c r="H17" s="2">
        <v>46115</v>
      </c>
      <c r="I17" s="3">
        <v>81</v>
      </c>
      <c r="J17" s="4">
        <v>2.83</v>
      </c>
      <c r="K17" s="3">
        <v>86</v>
      </c>
      <c r="L17" s="3">
        <v>41</v>
      </c>
      <c r="M17" s="3">
        <v>42</v>
      </c>
      <c r="N17" t="s">
        <v>23</v>
      </c>
      <c r="O17" t="s">
        <v>117</v>
      </c>
      <c r="P17" t="s">
        <v>118</v>
      </c>
      <c r="Q17" t="s">
        <v>119</v>
      </c>
    </row>
    <row r="18" spans="1:17" ht="9.9499999999999993" customHeight="1">
      <c r="A18" t="s">
        <v>120</v>
      </c>
      <c r="B18" t="s">
        <v>104</v>
      </c>
      <c r="C18" t="s">
        <v>29</v>
      </c>
      <c r="D18" t="s">
        <v>20</v>
      </c>
      <c r="E18" t="s">
        <v>21</v>
      </c>
      <c r="F18" t="s">
        <v>45</v>
      </c>
      <c r="G18" s="2">
        <v>46015</v>
      </c>
      <c r="H18" s="2">
        <v>46102</v>
      </c>
      <c r="I18" s="3">
        <v>82</v>
      </c>
      <c r="J18" s="4">
        <v>2.2000000000000002</v>
      </c>
      <c r="K18" s="3">
        <v>69</v>
      </c>
      <c r="L18" s="3">
        <v>66</v>
      </c>
      <c r="M18" s="3">
        <v>39</v>
      </c>
      <c r="N18" t="s">
        <v>23</v>
      </c>
      <c r="O18" t="s">
        <v>121</v>
      </c>
      <c r="P18" t="s">
        <v>122</v>
      </c>
      <c r="Q18" t="s">
        <v>123</v>
      </c>
    </row>
    <row r="19" spans="1:17" ht="9.9499999999999993" customHeight="1">
      <c r="A19" t="s">
        <v>124</v>
      </c>
      <c r="B19" t="s">
        <v>125</v>
      </c>
      <c r="C19" t="s">
        <v>29</v>
      </c>
      <c r="D19" t="s">
        <v>43</v>
      </c>
      <c r="E19" t="s">
        <v>44</v>
      </c>
      <c r="F19" t="s">
        <v>126</v>
      </c>
      <c r="G19" s="2">
        <v>45943</v>
      </c>
      <c r="H19" s="2">
        <v>46065</v>
      </c>
      <c r="I19" s="3">
        <v>86</v>
      </c>
      <c r="J19" s="4">
        <v>2.86</v>
      </c>
      <c r="K19" s="3">
        <v>95</v>
      </c>
      <c r="L19" s="3">
        <v>86</v>
      </c>
      <c r="M19" s="3">
        <v>37</v>
      </c>
      <c r="N19" t="s">
        <v>23</v>
      </c>
      <c r="O19" t="s">
        <v>127</v>
      </c>
      <c r="P19" t="s">
        <v>128</v>
      </c>
      <c r="Q19" t="s">
        <v>129</v>
      </c>
    </row>
    <row r="20" spans="1:17" ht="9.9499999999999993" customHeight="1">
      <c r="A20" t="s">
        <v>130</v>
      </c>
      <c r="B20" t="s">
        <v>65</v>
      </c>
      <c r="C20" t="s">
        <v>19</v>
      </c>
      <c r="D20" t="s">
        <v>51</v>
      </c>
      <c r="E20" t="s">
        <v>52</v>
      </c>
      <c r="F20" t="s">
        <v>53</v>
      </c>
      <c r="G20" s="2">
        <v>46079</v>
      </c>
      <c r="H20" s="2">
        <v>46211</v>
      </c>
      <c r="I20" s="3">
        <v>64</v>
      </c>
      <c r="J20" s="4">
        <v>2.2200000000000002</v>
      </c>
      <c r="K20" s="3">
        <v>53</v>
      </c>
      <c r="L20" s="3">
        <v>42</v>
      </c>
      <c r="M20" s="3">
        <v>99</v>
      </c>
      <c r="N20" t="s">
        <v>23</v>
      </c>
      <c r="O20" t="s">
        <v>131</v>
      </c>
      <c r="P20" t="s">
        <v>132</v>
      </c>
      <c r="Q20" t="s">
        <v>133</v>
      </c>
    </row>
    <row r="21" spans="1:17" ht="9.9499999999999993" customHeight="1">
      <c r="A21" t="s">
        <v>134</v>
      </c>
      <c r="B21" t="s">
        <v>135</v>
      </c>
      <c r="C21" t="s">
        <v>19</v>
      </c>
      <c r="D21" t="s">
        <v>30</v>
      </c>
      <c r="E21" t="s">
        <v>136</v>
      </c>
      <c r="F21" t="s">
        <v>45</v>
      </c>
      <c r="G21" s="2">
        <v>45941</v>
      </c>
      <c r="H21" s="2">
        <v>46018</v>
      </c>
      <c r="I21" s="3">
        <v>87</v>
      </c>
      <c r="J21" s="4">
        <v>1.98</v>
      </c>
      <c r="K21" s="3">
        <v>51</v>
      </c>
      <c r="L21" s="3">
        <v>43</v>
      </c>
      <c r="M21" s="3">
        <v>38</v>
      </c>
      <c r="N21" t="s">
        <v>23</v>
      </c>
      <c r="O21" t="s">
        <v>137</v>
      </c>
      <c r="P21" t="s">
        <v>138</v>
      </c>
      <c r="Q21" t="s">
        <v>139</v>
      </c>
    </row>
    <row r="22" spans="1:17" ht="9.9499999999999993" customHeight="1">
      <c r="A22" t="s">
        <v>140</v>
      </c>
      <c r="B22" t="s">
        <v>141</v>
      </c>
      <c r="C22" t="s">
        <v>29</v>
      </c>
      <c r="D22" t="s">
        <v>30</v>
      </c>
      <c r="E22" t="s">
        <v>31</v>
      </c>
      <c r="F22" t="s">
        <v>45</v>
      </c>
      <c r="G22" s="2">
        <v>45911</v>
      </c>
      <c r="H22" s="2">
        <v>45991</v>
      </c>
      <c r="I22" s="3">
        <v>81</v>
      </c>
      <c r="J22" s="4">
        <v>3.25</v>
      </c>
      <c r="K22" s="3">
        <v>76</v>
      </c>
      <c r="L22" s="3">
        <v>75</v>
      </c>
      <c r="M22" s="3">
        <v>63</v>
      </c>
      <c r="N22" t="s">
        <v>23</v>
      </c>
      <c r="O22" t="s">
        <v>142</v>
      </c>
      <c r="P22" t="s">
        <v>143</v>
      </c>
      <c r="Q22" t="s">
        <v>144</v>
      </c>
    </row>
    <row r="23" spans="1:17" ht="9.9499999999999993" customHeight="1">
      <c r="A23" t="s">
        <v>145</v>
      </c>
      <c r="B23" t="s">
        <v>146</v>
      </c>
      <c r="C23" t="s">
        <v>19</v>
      </c>
      <c r="D23" t="s">
        <v>20</v>
      </c>
      <c r="E23" t="s">
        <v>21</v>
      </c>
      <c r="F23" t="s">
        <v>111</v>
      </c>
      <c r="G23" s="2">
        <v>46066</v>
      </c>
      <c r="H23" s="2">
        <v>46174</v>
      </c>
      <c r="I23" s="3"/>
      <c r="J23" s="4">
        <v>2.5</v>
      </c>
      <c r="K23" s="3">
        <v>88</v>
      </c>
      <c r="L23" s="3">
        <v>44</v>
      </c>
      <c r="M23" s="3">
        <v>31</v>
      </c>
      <c r="N23" t="s">
        <v>23</v>
      </c>
      <c r="O23" t="s">
        <v>147</v>
      </c>
      <c r="P23" t="s">
        <v>148</v>
      </c>
      <c r="Q23" t="s">
        <v>149</v>
      </c>
    </row>
    <row r="24" spans="1:17" ht="9.9499999999999993" customHeight="1">
      <c r="A24" t="s">
        <v>150</v>
      </c>
      <c r="B24" t="s">
        <v>151</v>
      </c>
      <c r="C24" t="s">
        <v>29</v>
      </c>
      <c r="D24" t="s">
        <v>30</v>
      </c>
      <c r="E24" t="s">
        <v>31</v>
      </c>
      <c r="F24" t="s">
        <v>84</v>
      </c>
      <c r="G24" s="2">
        <v>45934</v>
      </c>
      <c r="H24" s="2">
        <v>46048</v>
      </c>
      <c r="I24" s="3">
        <v>59</v>
      </c>
      <c r="J24" s="4">
        <v>3.73</v>
      </c>
      <c r="K24" s="3">
        <v>63</v>
      </c>
      <c r="L24" s="3">
        <v>71</v>
      </c>
      <c r="M24" s="3">
        <v>50</v>
      </c>
      <c r="N24" t="s">
        <v>152</v>
      </c>
      <c r="O24" t="s">
        <v>153</v>
      </c>
      <c r="P24" t="s">
        <v>154</v>
      </c>
      <c r="Q24" t="s">
        <v>155</v>
      </c>
    </row>
    <row r="25" spans="1:17" ht="9.9499999999999993" customHeight="1">
      <c r="A25" t="s">
        <v>156</v>
      </c>
      <c r="B25" t="s">
        <v>157</v>
      </c>
      <c r="C25" t="s">
        <v>29</v>
      </c>
      <c r="D25" t="s">
        <v>71</v>
      </c>
      <c r="E25" t="s">
        <v>72</v>
      </c>
      <c r="F25" t="s">
        <v>45</v>
      </c>
      <c r="G25" s="2">
        <v>45977</v>
      </c>
      <c r="H25" s="2">
        <v>46060</v>
      </c>
      <c r="I25" s="3">
        <v>63</v>
      </c>
      <c r="J25" s="4">
        <v>2.38</v>
      </c>
      <c r="K25" s="3">
        <v>96</v>
      </c>
      <c r="L25" s="3">
        <v>48</v>
      </c>
      <c r="M25" s="3">
        <v>100</v>
      </c>
      <c r="N25" t="s">
        <v>23</v>
      </c>
      <c r="O25" t="s">
        <v>158</v>
      </c>
      <c r="P25" t="s">
        <v>159</v>
      </c>
      <c r="Q25" t="s">
        <v>160</v>
      </c>
    </row>
    <row r="26" spans="1:17" ht="9.9499999999999993" customHeight="1">
      <c r="A26" t="s">
        <v>57</v>
      </c>
      <c r="B26" t="s">
        <v>58</v>
      </c>
      <c r="C26" t="s">
        <v>29</v>
      </c>
      <c r="D26" t="s">
        <v>59</v>
      </c>
      <c r="E26" t="s">
        <v>60</v>
      </c>
      <c r="F26" t="s">
        <v>53</v>
      </c>
      <c r="G26" s="2">
        <v>45970</v>
      </c>
      <c r="H26" s="2">
        <v>46068</v>
      </c>
      <c r="I26" s="3">
        <v>98</v>
      </c>
      <c r="J26" s="4">
        <v>2.5099999999999998</v>
      </c>
      <c r="K26" s="3">
        <v>89</v>
      </c>
      <c r="L26" s="3">
        <v>42</v>
      </c>
      <c r="M26" s="3">
        <v>59</v>
      </c>
      <c r="N26" t="s">
        <v>32</v>
      </c>
      <c r="O26" t="s">
        <v>61</v>
      </c>
      <c r="P26" t="s">
        <v>62</v>
      </c>
      <c r="Q26" t="s">
        <v>63</v>
      </c>
    </row>
    <row r="27" spans="1:17" ht="9.9499999999999993" customHeight="1">
      <c r="A27" t="s">
        <v>161</v>
      </c>
      <c r="B27" t="s">
        <v>162</v>
      </c>
      <c r="C27" t="s">
        <v>19</v>
      </c>
      <c r="D27" t="s">
        <v>20</v>
      </c>
      <c r="E27" t="s">
        <v>21</v>
      </c>
      <c r="F27" t="s">
        <v>111</v>
      </c>
      <c r="G27" s="2">
        <v>45968</v>
      </c>
      <c r="H27" s="2">
        <v>46058</v>
      </c>
      <c r="I27" s="3">
        <v>83</v>
      </c>
      <c r="J27" s="4">
        <v>3.01</v>
      </c>
      <c r="K27" s="3">
        <v>67</v>
      </c>
      <c r="L27" s="3">
        <v>36</v>
      </c>
      <c r="M27" s="3">
        <v>44</v>
      </c>
      <c r="N27" t="s">
        <v>23</v>
      </c>
      <c r="O27" t="s">
        <v>163</v>
      </c>
      <c r="P27" t="s">
        <v>164</v>
      </c>
      <c r="Q27" t="s">
        <v>165</v>
      </c>
    </row>
    <row r="28" spans="1:17" ht="9.9499999999999993" customHeight="1">
      <c r="A28" t="s">
        <v>166</v>
      </c>
      <c r="B28" t="s">
        <v>167</v>
      </c>
      <c r="C28" t="s">
        <v>19</v>
      </c>
      <c r="D28" t="s">
        <v>30</v>
      </c>
      <c r="E28" t="s">
        <v>31</v>
      </c>
      <c r="F28" t="s">
        <v>45</v>
      </c>
      <c r="G28" s="2">
        <v>45938</v>
      </c>
      <c r="H28" s="2">
        <v>46063</v>
      </c>
      <c r="I28" s="3">
        <v>63</v>
      </c>
      <c r="J28" s="4">
        <v>1.89</v>
      </c>
      <c r="K28" s="3">
        <v>63</v>
      </c>
      <c r="L28" s="3">
        <v>40</v>
      </c>
      <c r="M28" s="3">
        <v>75</v>
      </c>
      <c r="N28" t="s">
        <v>23</v>
      </c>
      <c r="O28" t="s">
        <v>168</v>
      </c>
      <c r="P28" t="s">
        <v>169</v>
      </c>
      <c r="Q28" t="s">
        <v>170</v>
      </c>
    </row>
    <row r="29" spans="1:17" ht="9.9499999999999993" customHeight="1">
      <c r="A29" t="s">
        <v>171</v>
      </c>
      <c r="B29" t="s">
        <v>172</v>
      </c>
      <c r="C29" t="s">
        <v>19</v>
      </c>
      <c r="D29" t="s">
        <v>30</v>
      </c>
      <c r="E29" t="s">
        <v>31</v>
      </c>
      <c r="F29" t="s">
        <v>111</v>
      </c>
      <c r="G29" s="2">
        <v>45940</v>
      </c>
      <c r="H29" s="2">
        <v>46040</v>
      </c>
      <c r="I29" s="3">
        <v>115</v>
      </c>
      <c r="J29" s="4">
        <v>3.95</v>
      </c>
      <c r="K29" s="3">
        <v>91</v>
      </c>
      <c r="L29" s="3">
        <v>57</v>
      </c>
      <c r="M29" s="3">
        <v>82</v>
      </c>
      <c r="N29" t="s">
        <v>23</v>
      </c>
      <c r="O29" t="s">
        <v>173</v>
      </c>
      <c r="P29" t="s">
        <v>174</v>
      </c>
      <c r="Q29" t="s">
        <v>175</v>
      </c>
    </row>
    <row r="30" spans="1:17" ht="9.9499999999999993" customHeight="1">
      <c r="A30" t="s">
        <v>176</v>
      </c>
      <c r="B30" t="s">
        <v>177</v>
      </c>
      <c r="C30" t="s">
        <v>19</v>
      </c>
      <c r="D30" t="s">
        <v>20</v>
      </c>
      <c r="E30" t="s">
        <v>21</v>
      </c>
      <c r="F30" t="s">
        <v>111</v>
      </c>
      <c r="G30" s="2">
        <v>45928</v>
      </c>
      <c r="H30" s="2">
        <v>46046</v>
      </c>
      <c r="I30" s="3">
        <v>57</v>
      </c>
      <c r="J30" s="4">
        <v>3.69</v>
      </c>
      <c r="K30" s="3">
        <v>54</v>
      </c>
      <c r="L30" s="3">
        <v>60</v>
      </c>
      <c r="M30" s="3">
        <v>88</v>
      </c>
      <c r="N30" t="s">
        <v>23</v>
      </c>
      <c r="O30" t="s">
        <v>178</v>
      </c>
      <c r="P30" t="s">
        <v>179</v>
      </c>
      <c r="Q30" t="s">
        <v>180</v>
      </c>
    </row>
    <row r="31" spans="1:17" ht="9.9499999999999993" customHeight="1">
      <c r="A31" t="s">
        <v>181</v>
      </c>
      <c r="B31" t="s">
        <v>182</v>
      </c>
      <c r="C31" t="s">
        <v>29</v>
      </c>
      <c r="D31" t="s">
        <v>59</v>
      </c>
      <c r="E31" t="s">
        <v>60</v>
      </c>
      <c r="F31" t="s">
        <v>84</v>
      </c>
      <c r="G31" s="2">
        <v>45972</v>
      </c>
      <c r="H31" s="2">
        <v>46050</v>
      </c>
      <c r="I31" s="3">
        <v>72</v>
      </c>
      <c r="J31" s="4">
        <v>2.57</v>
      </c>
      <c r="K31" s="3">
        <v>72</v>
      </c>
      <c r="L31" s="3">
        <v>86</v>
      </c>
      <c r="M31" s="3">
        <v>98</v>
      </c>
      <c r="N31" t="s">
        <v>23</v>
      </c>
      <c r="O31" t="s">
        <v>183</v>
      </c>
      <c r="P31" t="s">
        <v>184</v>
      </c>
      <c r="Q31" t="s">
        <v>185</v>
      </c>
    </row>
    <row r="32" spans="1:17" ht="9.9499999999999993" customHeight="1">
      <c r="A32" t="s">
        <v>186</v>
      </c>
      <c r="B32" t="s">
        <v>187</v>
      </c>
      <c r="C32" t="s">
        <v>29</v>
      </c>
      <c r="D32" t="s">
        <v>30</v>
      </c>
      <c r="E32" t="s">
        <v>31</v>
      </c>
      <c r="F32" t="s">
        <v>84</v>
      </c>
      <c r="G32" s="2">
        <v>45910</v>
      </c>
      <c r="H32" s="2">
        <v>45993</v>
      </c>
      <c r="I32" s="3">
        <v>93</v>
      </c>
      <c r="J32" s="4">
        <v>2.76</v>
      </c>
      <c r="K32" s="3">
        <v>86</v>
      </c>
      <c r="L32" s="3">
        <v>75</v>
      </c>
      <c r="M32" s="3">
        <v>85</v>
      </c>
      <c r="N32" t="s">
        <v>23</v>
      </c>
      <c r="O32" t="s">
        <v>188</v>
      </c>
      <c r="P32" t="s">
        <v>189</v>
      </c>
      <c r="Q32" t="s">
        <v>190</v>
      </c>
    </row>
    <row r="33" spans="1:17" ht="9.9499999999999993" customHeight="1">
      <c r="A33" t="s">
        <v>191</v>
      </c>
      <c r="B33" t="s">
        <v>192</v>
      </c>
      <c r="C33" t="s">
        <v>29</v>
      </c>
      <c r="D33" t="s">
        <v>51</v>
      </c>
      <c r="E33" t="s">
        <v>52</v>
      </c>
      <c r="F33" t="s">
        <v>193</v>
      </c>
      <c r="G33" s="2">
        <v>46012</v>
      </c>
      <c r="H33" s="2">
        <v>46082</v>
      </c>
      <c r="I33" s="3">
        <v>88</v>
      </c>
      <c r="J33" s="4"/>
      <c r="K33" s="3">
        <v>74</v>
      </c>
      <c r="L33" s="3">
        <v>60</v>
      </c>
      <c r="M33" s="3">
        <v>76</v>
      </c>
      <c r="N33" t="s">
        <v>23</v>
      </c>
      <c r="O33" t="s">
        <v>194</v>
      </c>
      <c r="P33" t="s">
        <v>195</v>
      </c>
      <c r="Q33" t="s">
        <v>196</v>
      </c>
    </row>
    <row r="34" spans="1:17" ht="9.9499999999999993" customHeight="1">
      <c r="A34" t="s">
        <v>197</v>
      </c>
      <c r="B34" t="s">
        <v>198</v>
      </c>
      <c r="C34" t="s">
        <v>19</v>
      </c>
      <c r="D34" t="s">
        <v>71</v>
      </c>
      <c r="E34" t="s">
        <v>72</v>
      </c>
      <c r="F34" t="s">
        <v>193</v>
      </c>
      <c r="G34" s="2">
        <v>45977</v>
      </c>
      <c r="H34" s="2">
        <v>46111</v>
      </c>
      <c r="I34" s="3">
        <v>74</v>
      </c>
      <c r="J34" s="4">
        <v>3.27</v>
      </c>
      <c r="K34" s="3">
        <v>60</v>
      </c>
      <c r="L34" s="3">
        <v>86</v>
      </c>
      <c r="M34" s="3">
        <v>67</v>
      </c>
      <c r="N34" t="s">
        <v>23</v>
      </c>
      <c r="O34" t="s">
        <v>199</v>
      </c>
      <c r="P34" t="s">
        <v>200</v>
      </c>
      <c r="Q34" t="s">
        <v>201</v>
      </c>
    </row>
    <row r="35" spans="1:17" ht="9.9499999999999993" customHeight="1">
      <c r="A35" t="s">
        <v>202</v>
      </c>
      <c r="B35" t="s">
        <v>203</v>
      </c>
      <c r="C35" t="s">
        <v>29</v>
      </c>
      <c r="D35" t="s">
        <v>30</v>
      </c>
      <c r="E35" t="s">
        <v>31</v>
      </c>
      <c r="F35" t="s">
        <v>45</v>
      </c>
      <c r="G35" s="2">
        <v>45978</v>
      </c>
      <c r="H35" s="2">
        <v>46099</v>
      </c>
      <c r="I35" s="3">
        <v>90</v>
      </c>
      <c r="J35" s="4">
        <v>3.63</v>
      </c>
      <c r="K35" s="3">
        <v>59</v>
      </c>
      <c r="L35" s="3">
        <v>71</v>
      </c>
      <c r="M35" s="3">
        <v>56</v>
      </c>
      <c r="N35" t="s">
        <v>23</v>
      </c>
      <c r="O35" t="s">
        <v>204</v>
      </c>
      <c r="P35" t="s">
        <v>205</v>
      </c>
      <c r="Q35" t="s">
        <v>206</v>
      </c>
    </row>
    <row r="36" spans="1:17" ht="9.9499999999999993" customHeight="1">
      <c r="A36" t="s">
        <v>207</v>
      </c>
      <c r="B36" t="s">
        <v>208</v>
      </c>
      <c r="C36" t="s">
        <v>19</v>
      </c>
      <c r="D36" t="s">
        <v>59</v>
      </c>
      <c r="E36" t="s">
        <v>60</v>
      </c>
      <c r="F36" t="s">
        <v>53</v>
      </c>
      <c r="G36" s="2">
        <v>46073</v>
      </c>
      <c r="H36" s="2">
        <v>46170</v>
      </c>
      <c r="I36" s="3">
        <v>87</v>
      </c>
      <c r="J36" s="4">
        <v>2.84</v>
      </c>
      <c r="K36" s="3">
        <v>97</v>
      </c>
      <c r="L36" s="3">
        <v>56</v>
      </c>
      <c r="M36" s="3">
        <v>40</v>
      </c>
      <c r="N36" t="s">
        <v>23</v>
      </c>
      <c r="O36" t="s">
        <v>209</v>
      </c>
      <c r="P36" t="s">
        <v>210</v>
      </c>
      <c r="Q36" t="s">
        <v>211</v>
      </c>
    </row>
    <row r="37" spans="1:17" ht="9.9499999999999993" customHeight="1">
      <c r="A37" t="s">
        <v>212</v>
      </c>
      <c r="B37" t="s">
        <v>208</v>
      </c>
      <c r="C37" t="s">
        <v>29</v>
      </c>
      <c r="D37" t="s">
        <v>20</v>
      </c>
      <c r="E37" t="s">
        <v>21</v>
      </c>
      <c r="F37" t="s">
        <v>111</v>
      </c>
      <c r="G37" s="2">
        <v>45980</v>
      </c>
      <c r="H37" s="2">
        <v>46078</v>
      </c>
      <c r="I37" s="3">
        <v>67</v>
      </c>
      <c r="J37" s="4">
        <v>2.12</v>
      </c>
      <c r="K37" s="3">
        <v>42</v>
      </c>
      <c r="L37" s="3">
        <v>66</v>
      </c>
      <c r="M37" s="3">
        <v>90</v>
      </c>
      <c r="N37" t="s">
        <v>23</v>
      </c>
      <c r="O37" t="s">
        <v>213</v>
      </c>
      <c r="P37" t="s">
        <v>214</v>
      </c>
      <c r="Q37" t="s">
        <v>215</v>
      </c>
    </row>
    <row r="38" spans="1:17" ht="9.9499999999999993" customHeight="1">
      <c r="A38" t="s">
        <v>216</v>
      </c>
      <c r="B38" t="s">
        <v>217</v>
      </c>
      <c r="C38" t="s">
        <v>29</v>
      </c>
      <c r="D38" t="s">
        <v>71</v>
      </c>
      <c r="E38" t="s">
        <v>72</v>
      </c>
      <c r="F38" t="s">
        <v>111</v>
      </c>
      <c r="G38" s="2">
        <v>45999</v>
      </c>
      <c r="H38" s="2">
        <v>46132</v>
      </c>
      <c r="I38" s="3">
        <v>80</v>
      </c>
      <c r="J38" s="4">
        <v>2.34</v>
      </c>
      <c r="K38" s="3">
        <v>81</v>
      </c>
      <c r="L38" s="3">
        <v>35</v>
      </c>
      <c r="M38" s="3">
        <v>43</v>
      </c>
      <c r="N38" t="s">
        <v>32</v>
      </c>
      <c r="O38" t="s">
        <v>218</v>
      </c>
      <c r="P38" t="s">
        <v>219</v>
      </c>
      <c r="Q38" t="s">
        <v>220</v>
      </c>
    </row>
    <row r="39" spans="1:17" ht="9.9499999999999993" customHeight="1">
      <c r="A39" t="s">
        <v>221</v>
      </c>
      <c r="B39" t="s">
        <v>222</v>
      </c>
      <c r="C39" t="s">
        <v>19</v>
      </c>
      <c r="D39" t="s">
        <v>43</v>
      </c>
      <c r="E39" t="s">
        <v>44</v>
      </c>
      <c r="F39" t="s">
        <v>45</v>
      </c>
      <c r="G39" s="2">
        <v>45964</v>
      </c>
      <c r="H39" s="2">
        <v>46049</v>
      </c>
      <c r="I39" s="3">
        <v>84</v>
      </c>
      <c r="J39" s="4">
        <v>4.8</v>
      </c>
      <c r="K39" s="3">
        <v>69</v>
      </c>
      <c r="L39" s="3">
        <v>75</v>
      </c>
      <c r="M39" s="3">
        <v>86</v>
      </c>
      <c r="N39" t="s">
        <v>23</v>
      </c>
      <c r="O39" t="s">
        <v>223</v>
      </c>
      <c r="P39" t="s">
        <v>224</v>
      </c>
      <c r="Q39" t="s">
        <v>225</v>
      </c>
    </row>
    <row r="40" spans="1:17" ht="9.9499999999999993" customHeight="1">
      <c r="A40" t="s">
        <v>226</v>
      </c>
      <c r="B40" t="s">
        <v>227</v>
      </c>
      <c r="C40" t="s">
        <v>19</v>
      </c>
      <c r="D40" t="s">
        <v>20</v>
      </c>
      <c r="E40" t="s">
        <v>21</v>
      </c>
      <c r="F40" t="s">
        <v>111</v>
      </c>
      <c r="G40" s="2">
        <v>46022</v>
      </c>
      <c r="H40" s="2">
        <v>46149</v>
      </c>
      <c r="I40" s="3">
        <v>71</v>
      </c>
      <c r="J40" s="4">
        <v>3.45</v>
      </c>
      <c r="K40" s="3">
        <v>93</v>
      </c>
      <c r="L40" s="3">
        <v>70</v>
      </c>
      <c r="M40" s="3">
        <v>96</v>
      </c>
      <c r="N40" t="s">
        <v>23</v>
      </c>
      <c r="O40" t="s">
        <v>228</v>
      </c>
      <c r="P40" t="s">
        <v>229</v>
      </c>
      <c r="Q40" t="s">
        <v>230</v>
      </c>
    </row>
    <row r="41" spans="1:17" ht="9.9499999999999993" customHeight="1">
      <c r="G41" s="2"/>
      <c r="H41" s="2"/>
      <c r="I41" s="3"/>
      <c r="J41" s="4"/>
      <c r="K41" s="3"/>
      <c r="L41" s="3"/>
      <c r="M41" s="3"/>
    </row>
    <row r="42" spans="1:17" ht="9.9499999999999993" customHeight="1">
      <c r="A42" t="s">
        <v>231</v>
      </c>
      <c r="B42" t="s">
        <v>232</v>
      </c>
      <c r="C42" t="s">
        <v>29</v>
      </c>
      <c r="D42" t="s">
        <v>59</v>
      </c>
      <c r="E42" t="s">
        <v>60</v>
      </c>
      <c r="F42" t="s">
        <v>53</v>
      </c>
      <c r="G42" s="2">
        <v>45985</v>
      </c>
      <c r="H42" s="2">
        <v>46124</v>
      </c>
      <c r="I42" s="3">
        <v>84</v>
      </c>
      <c r="J42" s="4">
        <v>2.71</v>
      </c>
      <c r="K42" s="3">
        <v>53</v>
      </c>
      <c r="L42" s="3">
        <v>88</v>
      </c>
      <c r="M42" s="3">
        <v>79</v>
      </c>
      <c r="N42" t="s">
        <v>78</v>
      </c>
      <c r="O42" t="s">
        <v>233</v>
      </c>
      <c r="P42" t="s">
        <v>234</v>
      </c>
      <c r="Q42" t="s">
        <v>235</v>
      </c>
    </row>
    <row r="43" spans="1:17" ht="9.9499999999999993" customHeight="1">
      <c r="A43" t="s">
        <v>236</v>
      </c>
      <c r="B43" t="s">
        <v>237</v>
      </c>
      <c r="C43" t="s">
        <v>19</v>
      </c>
      <c r="D43" t="s">
        <v>59</v>
      </c>
      <c r="E43" t="s">
        <v>60</v>
      </c>
      <c r="F43" t="s">
        <v>193</v>
      </c>
      <c r="G43" s="2">
        <v>45991</v>
      </c>
      <c r="H43" s="2">
        <v>46099</v>
      </c>
      <c r="I43" s="3">
        <v>79</v>
      </c>
      <c r="J43" s="4">
        <v>3.68</v>
      </c>
      <c r="K43" s="3">
        <v>93</v>
      </c>
      <c r="L43" s="3">
        <v>88</v>
      </c>
      <c r="M43" s="3">
        <v>98</v>
      </c>
      <c r="N43" t="s">
        <v>23</v>
      </c>
      <c r="P43" t="s">
        <v>238</v>
      </c>
      <c r="Q43" t="s">
        <v>239</v>
      </c>
    </row>
    <row r="44" spans="1:17" ht="9.9499999999999993" customHeight="1">
      <c r="A44" t="s">
        <v>240</v>
      </c>
      <c r="B44" t="s">
        <v>241</v>
      </c>
      <c r="C44" t="s">
        <v>19</v>
      </c>
      <c r="D44" t="s">
        <v>20</v>
      </c>
      <c r="E44" t="s">
        <v>21</v>
      </c>
      <c r="F44" t="s">
        <v>84</v>
      </c>
      <c r="G44" s="2">
        <v>46012</v>
      </c>
      <c r="H44" s="2">
        <v>46144</v>
      </c>
      <c r="I44" s="3">
        <v>56</v>
      </c>
      <c r="J44" s="4">
        <v>2.66</v>
      </c>
      <c r="K44" s="3">
        <v>82</v>
      </c>
      <c r="L44" s="3">
        <v>86</v>
      </c>
      <c r="M44" s="3">
        <v>51</v>
      </c>
      <c r="N44" t="s">
        <v>32</v>
      </c>
      <c r="O44" t="s">
        <v>242</v>
      </c>
      <c r="P44" t="s">
        <v>243</v>
      </c>
      <c r="Q44" t="s">
        <v>244</v>
      </c>
    </row>
    <row r="45" spans="1:17" ht="9.9499999999999993" customHeight="1">
      <c r="A45" t="s">
        <v>245</v>
      </c>
      <c r="B45" t="s">
        <v>246</v>
      </c>
      <c r="C45" t="s">
        <v>29</v>
      </c>
      <c r="D45" t="s">
        <v>59</v>
      </c>
      <c r="E45" t="s">
        <v>60</v>
      </c>
      <c r="F45" t="s">
        <v>45</v>
      </c>
      <c r="G45" s="2">
        <v>46045</v>
      </c>
      <c r="H45" s="2">
        <v>46118</v>
      </c>
      <c r="I45" s="3">
        <v>60</v>
      </c>
      <c r="J45" s="4">
        <v>3.21</v>
      </c>
      <c r="K45" s="3">
        <v>48</v>
      </c>
      <c r="L45" s="3">
        <v>94</v>
      </c>
      <c r="M45" s="3">
        <v>53</v>
      </c>
      <c r="N45" t="s">
        <v>23</v>
      </c>
      <c r="O45" t="s">
        <v>247</v>
      </c>
      <c r="P45" t="s">
        <v>248</v>
      </c>
      <c r="Q45" t="s">
        <v>249</v>
      </c>
    </row>
    <row r="46" spans="1:17" ht="9.9499999999999993" customHeight="1">
      <c r="A46" t="s">
        <v>250</v>
      </c>
      <c r="B46" t="s">
        <v>251</v>
      </c>
      <c r="C46" t="s">
        <v>252</v>
      </c>
      <c r="D46" t="s">
        <v>51</v>
      </c>
      <c r="E46" t="s">
        <v>52</v>
      </c>
      <c r="F46" t="s">
        <v>84</v>
      </c>
      <c r="G46" s="2">
        <v>45998</v>
      </c>
      <c r="H46" s="2">
        <v>46103</v>
      </c>
      <c r="I46" s="3">
        <v>81</v>
      </c>
      <c r="J46" s="4">
        <v>2.35</v>
      </c>
      <c r="K46" s="3">
        <v>45</v>
      </c>
      <c r="L46" s="3">
        <v>95</v>
      </c>
      <c r="M46" s="3">
        <v>32</v>
      </c>
      <c r="N46" t="s">
        <v>23</v>
      </c>
      <c r="O46" t="s">
        <v>253</v>
      </c>
      <c r="P46" t="s">
        <v>254</v>
      </c>
      <c r="Q46" t="s">
        <v>255</v>
      </c>
    </row>
    <row r="47" spans="1:17" ht="9.9499999999999993" customHeight="1">
      <c r="A47" t="s">
        <v>256</v>
      </c>
      <c r="B47" t="s">
        <v>257</v>
      </c>
      <c r="C47" t="s">
        <v>29</v>
      </c>
      <c r="D47" t="s">
        <v>71</v>
      </c>
      <c r="E47" t="s">
        <v>72</v>
      </c>
      <c r="F47" t="s">
        <v>193</v>
      </c>
      <c r="G47" s="2">
        <v>45908</v>
      </c>
      <c r="H47" s="2">
        <v>46009</v>
      </c>
      <c r="I47" s="3">
        <v>67</v>
      </c>
      <c r="J47" s="4">
        <v>3.65</v>
      </c>
      <c r="K47" s="3">
        <v>79</v>
      </c>
      <c r="L47" s="3">
        <v>54</v>
      </c>
      <c r="M47" s="3">
        <v>60</v>
      </c>
      <c r="N47" t="s">
        <v>23</v>
      </c>
      <c r="O47" t="s">
        <v>258</v>
      </c>
      <c r="P47" t="s">
        <v>259</v>
      </c>
      <c r="Q47" t="s">
        <v>260</v>
      </c>
    </row>
    <row r="48" spans="1:17" ht="9.9499999999999993" customHeight="1">
      <c r="A48" t="s">
        <v>261</v>
      </c>
      <c r="B48" t="s">
        <v>262</v>
      </c>
      <c r="C48" t="s">
        <v>29</v>
      </c>
      <c r="D48" t="s">
        <v>59</v>
      </c>
      <c r="E48" t="s">
        <v>60</v>
      </c>
      <c r="F48" t="s">
        <v>111</v>
      </c>
      <c r="G48" s="2">
        <v>45966</v>
      </c>
      <c r="H48" s="2">
        <v>46083</v>
      </c>
      <c r="I48" s="3">
        <v>65</v>
      </c>
      <c r="J48" s="4">
        <v>3.13</v>
      </c>
      <c r="K48" s="3">
        <v>87</v>
      </c>
      <c r="L48" s="3">
        <v>49</v>
      </c>
      <c r="M48" s="3">
        <v>50</v>
      </c>
      <c r="N48" t="s">
        <v>78</v>
      </c>
      <c r="O48" t="s">
        <v>263</v>
      </c>
      <c r="P48" t="s">
        <v>264</v>
      </c>
      <c r="Q48" t="s">
        <v>265</v>
      </c>
    </row>
    <row r="49" spans="1:17" ht="9.9499999999999993" customHeight="1">
      <c r="A49" t="s">
        <v>266</v>
      </c>
      <c r="B49" t="s">
        <v>267</v>
      </c>
      <c r="C49" t="s">
        <v>19</v>
      </c>
      <c r="D49" t="s">
        <v>30</v>
      </c>
      <c r="E49" t="s">
        <v>31</v>
      </c>
      <c r="F49" t="s">
        <v>268</v>
      </c>
      <c r="G49" s="2">
        <v>45997</v>
      </c>
      <c r="H49" s="2">
        <v>46117</v>
      </c>
      <c r="I49" s="3">
        <v>100</v>
      </c>
      <c r="J49" s="4">
        <v>2.2400000000000002</v>
      </c>
      <c r="K49" s="3">
        <v>77</v>
      </c>
      <c r="L49" s="3">
        <v>66</v>
      </c>
      <c r="M49" s="3">
        <v>43</v>
      </c>
      <c r="N49" t="s">
        <v>23</v>
      </c>
      <c r="O49" t="s">
        <v>269</v>
      </c>
      <c r="P49" t="s">
        <v>270</v>
      </c>
      <c r="Q49" t="s">
        <v>271</v>
      </c>
    </row>
    <row r="50" spans="1:17" ht="9.9499999999999993" customHeight="1">
      <c r="A50" t="s">
        <v>272</v>
      </c>
      <c r="B50" t="s">
        <v>273</v>
      </c>
      <c r="C50" t="s">
        <v>29</v>
      </c>
      <c r="D50" t="s">
        <v>51</v>
      </c>
      <c r="E50" t="s">
        <v>52</v>
      </c>
      <c r="F50" t="s">
        <v>45</v>
      </c>
      <c r="G50" s="2">
        <v>46010</v>
      </c>
      <c r="H50" s="2">
        <v>46127</v>
      </c>
      <c r="I50" s="3">
        <v>59</v>
      </c>
      <c r="J50" s="4">
        <v>2.91</v>
      </c>
      <c r="K50" s="3">
        <v>61</v>
      </c>
      <c r="L50" s="3">
        <v>36</v>
      </c>
      <c r="M50" s="3">
        <v>83</v>
      </c>
      <c r="N50" t="s">
        <v>32</v>
      </c>
      <c r="O50" t="s">
        <v>274</v>
      </c>
      <c r="P50" t="s">
        <v>275</v>
      </c>
      <c r="Q50" t="s">
        <v>276</v>
      </c>
    </row>
    <row r="51" spans="1:17" ht="9.9499999999999993" customHeight="1">
      <c r="A51" t="s">
        <v>130</v>
      </c>
      <c r="B51" t="s">
        <v>65</v>
      </c>
      <c r="C51" t="s">
        <v>19</v>
      </c>
      <c r="D51" t="s">
        <v>51</v>
      </c>
      <c r="E51" t="s">
        <v>52</v>
      </c>
      <c r="F51" t="s">
        <v>53</v>
      </c>
      <c r="G51" s="2">
        <v>46079</v>
      </c>
      <c r="H51" s="2">
        <v>46211</v>
      </c>
      <c r="I51" s="3">
        <v>64</v>
      </c>
      <c r="J51" s="4">
        <v>2.2200000000000002</v>
      </c>
      <c r="K51" s="3">
        <v>53</v>
      </c>
      <c r="L51" s="3">
        <v>42</v>
      </c>
      <c r="M51" s="3">
        <v>99</v>
      </c>
      <c r="N51" t="s">
        <v>23</v>
      </c>
      <c r="O51" t="s">
        <v>131</v>
      </c>
      <c r="P51" t="s">
        <v>132</v>
      </c>
      <c r="Q51" t="s">
        <v>133</v>
      </c>
    </row>
    <row r="52" spans="1:17" ht="9.9499999999999993" customHeight="1">
      <c r="A52" t="s">
        <v>277</v>
      </c>
      <c r="B52" t="s">
        <v>278</v>
      </c>
      <c r="C52" t="s">
        <v>29</v>
      </c>
      <c r="D52" t="s">
        <v>43</v>
      </c>
      <c r="E52" t="s">
        <v>44</v>
      </c>
      <c r="F52" t="s">
        <v>84</v>
      </c>
      <c r="G52" s="2">
        <v>46016</v>
      </c>
      <c r="H52" s="2">
        <v>46117</v>
      </c>
      <c r="I52" s="3">
        <v>84</v>
      </c>
      <c r="J52" s="4">
        <v>3.05</v>
      </c>
      <c r="K52" s="3">
        <v>82</v>
      </c>
      <c r="L52" s="3">
        <v>83</v>
      </c>
      <c r="M52" s="3">
        <v>73</v>
      </c>
      <c r="N52" t="s">
        <v>23</v>
      </c>
      <c r="O52" t="s">
        <v>279</v>
      </c>
      <c r="P52" t="s">
        <v>280</v>
      </c>
      <c r="Q52" t="s">
        <v>281</v>
      </c>
    </row>
    <row r="53" spans="1:17" ht="9.9499999999999993" customHeight="1">
      <c r="A53" t="s">
        <v>282</v>
      </c>
      <c r="B53" t="s">
        <v>283</v>
      </c>
      <c r="C53" t="s">
        <v>29</v>
      </c>
      <c r="D53" t="s">
        <v>51</v>
      </c>
      <c r="E53" t="s">
        <v>52</v>
      </c>
      <c r="F53" t="s">
        <v>84</v>
      </c>
      <c r="G53" s="2">
        <v>45988</v>
      </c>
      <c r="H53" s="2">
        <v>46093</v>
      </c>
      <c r="I53" s="3">
        <v>93</v>
      </c>
      <c r="J53" s="4">
        <v>3.34</v>
      </c>
      <c r="K53" s="3">
        <v>57</v>
      </c>
      <c r="L53" s="3">
        <v>36</v>
      </c>
      <c r="M53" s="3">
        <v>96</v>
      </c>
      <c r="N53" t="s">
        <v>78</v>
      </c>
      <c r="O53" t="s">
        <v>284</v>
      </c>
      <c r="P53" t="s">
        <v>285</v>
      </c>
      <c r="Q53" t="s">
        <v>286</v>
      </c>
    </row>
    <row r="54" spans="1:17" ht="9.9499999999999993" customHeight="1">
      <c r="A54" t="s">
        <v>287</v>
      </c>
      <c r="B54" t="s">
        <v>288</v>
      </c>
      <c r="C54" t="s">
        <v>19</v>
      </c>
      <c r="D54" t="s">
        <v>30</v>
      </c>
      <c r="E54" t="s">
        <v>31</v>
      </c>
      <c r="F54" t="s">
        <v>22</v>
      </c>
      <c r="G54" s="2">
        <v>46077</v>
      </c>
      <c r="H54" s="2">
        <v>46207</v>
      </c>
      <c r="I54" s="3">
        <v>96</v>
      </c>
      <c r="J54" s="4">
        <v>3.37</v>
      </c>
      <c r="K54" s="3">
        <v>68</v>
      </c>
      <c r="L54" s="3">
        <v>37</v>
      </c>
      <c r="M54" s="3">
        <v>41</v>
      </c>
      <c r="N54" t="s">
        <v>23</v>
      </c>
      <c r="O54" t="s">
        <v>289</v>
      </c>
      <c r="P54" t="s">
        <v>290</v>
      </c>
      <c r="Q54" t="s">
        <v>291</v>
      </c>
    </row>
    <row r="55" spans="1:17" ht="9.9499999999999993" customHeight="1">
      <c r="A55" t="s">
        <v>292</v>
      </c>
      <c r="B55" t="s">
        <v>293</v>
      </c>
      <c r="C55" t="s">
        <v>19</v>
      </c>
      <c r="D55" t="s">
        <v>59</v>
      </c>
      <c r="E55" t="s">
        <v>60</v>
      </c>
      <c r="F55" t="s">
        <v>45</v>
      </c>
      <c r="G55" s="2">
        <v>46036</v>
      </c>
      <c r="H55" s="2">
        <v>46150</v>
      </c>
      <c r="I55" s="3">
        <v>82</v>
      </c>
      <c r="J55" s="4">
        <v>3.99</v>
      </c>
      <c r="K55" s="3">
        <v>75</v>
      </c>
      <c r="L55" s="3">
        <v>77</v>
      </c>
      <c r="M55" s="3">
        <v>75</v>
      </c>
      <c r="N55" t="s">
        <v>23</v>
      </c>
      <c r="O55" t="s">
        <v>294</v>
      </c>
      <c r="P55" t="s">
        <v>295</v>
      </c>
      <c r="Q55" t="s">
        <v>296</v>
      </c>
    </row>
    <row r="56" spans="1:17" ht="9.9499999999999993" customHeight="1">
      <c r="A56" t="s">
        <v>297</v>
      </c>
      <c r="B56" t="s">
        <v>298</v>
      </c>
      <c r="C56" t="s">
        <v>29</v>
      </c>
      <c r="D56" t="s">
        <v>43</v>
      </c>
      <c r="E56" t="s">
        <v>44</v>
      </c>
      <c r="F56" t="s">
        <v>111</v>
      </c>
      <c r="G56" s="2">
        <v>45950</v>
      </c>
      <c r="H56" s="2">
        <v>46060</v>
      </c>
      <c r="I56" s="3">
        <v>62</v>
      </c>
      <c r="J56" s="4">
        <v>3.43</v>
      </c>
      <c r="K56" s="3">
        <v>100</v>
      </c>
      <c r="L56" s="3">
        <v>58</v>
      </c>
      <c r="M56" s="3">
        <v>54</v>
      </c>
      <c r="N56" t="s">
        <v>23</v>
      </c>
      <c r="O56" t="s">
        <v>299</v>
      </c>
      <c r="P56" t="s">
        <v>300</v>
      </c>
      <c r="Q56" t="s">
        <v>301</v>
      </c>
    </row>
    <row r="57" spans="1:17" ht="9.9499999999999993" customHeight="1">
      <c r="A57" t="s">
        <v>302</v>
      </c>
      <c r="B57" t="s">
        <v>303</v>
      </c>
      <c r="C57" t="s">
        <v>19</v>
      </c>
      <c r="D57" t="s">
        <v>43</v>
      </c>
      <c r="E57" t="s">
        <v>44</v>
      </c>
      <c r="F57" t="s">
        <v>22</v>
      </c>
      <c r="G57" s="2">
        <v>45976</v>
      </c>
      <c r="H57" s="2">
        <v>46075</v>
      </c>
      <c r="I57" s="3">
        <v>78</v>
      </c>
      <c r="J57" s="4">
        <v>2.19</v>
      </c>
      <c r="K57" s="3">
        <v>40</v>
      </c>
      <c r="L57" s="3">
        <v>51</v>
      </c>
      <c r="M57" s="3">
        <v>65</v>
      </c>
      <c r="N57" t="s">
        <v>23</v>
      </c>
      <c r="O57" t="s">
        <v>304</v>
      </c>
      <c r="P57" t="s">
        <v>305</v>
      </c>
      <c r="Q57" t="s">
        <v>306</v>
      </c>
    </row>
    <row r="58" spans="1:17" ht="9.9499999999999993" customHeight="1">
      <c r="A58" t="s">
        <v>307</v>
      </c>
      <c r="B58" t="s">
        <v>308</v>
      </c>
      <c r="C58" t="s">
        <v>29</v>
      </c>
      <c r="D58" t="s">
        <v>71</v>
      </c>
      <c r="E58" t="s">
        <v>72</v>
      </c>
      <c r="F58" t="s">
        <v>53</v>
      </c>
      <c r="G58" s="2">
        <v>45927</v>
      </c>
      <c r="H58" s="2">
        <v>45998</v>
      </c>
      <c r="I58" s="3">
        <v>91</v>
      </c>
      <c r="J58" s="4">
        <v>2.4300000000000002</v>
      </c>
      <c r="K58" s="3">
        <v>70</v>
      </c>
      <c r="L58" s="3">
        <v>91</v>
      </c>
      <c r="M58" s="3">
        <v>73</v>
      </c>
      <c r="N58" t="s">
        <v>23</v>
      </c>
      <c r="O58" t="s">
        <v>309</v>
      </c>
      <c r="P58" t="s">
        <v>310</v>
      </c>
      <c r="Q58" t="s">
        <v>311</v>
      </c>
    </row>
    <row r="59" spans="1:17" ht="9.9499999999999993" customHeight="1">
      <c r="A59" t="s">
        <v>312</v>
      </c>
      <c r="B59" t="s">
        <v>313</v>
      </c>
      <c r="C59" t="s">
        <v>29</v>
      </c>
      <c r="D59" t="s">
        <v>43</v>
      </c>
      <c r="E59" t="s">
        <v>44</v>
      </c>
      <c r="F59" t="s">
        <v>53</v>
      </c>
      <c r="G59" s="2">
        <v>46026</v>
      </c>
      <c r="H59" s="2">
        <v>46105</v>
      </c>
      <c r="I59" s="3">
        <v>91</v>
      </c>
      <c r="J59" s="4">
        <v>3.18</v>
      </c>
      <c r="K59" s="3">
        <v>43</v>
      </c>
      <c r="L59" s="3">
        <v>54</v>
      </c>
      <c r="M59" s="3">
        <v>49</v>
      </c>
      <c r="N59" t="s">
        <v>32</v>
      </c>
      <c r="O59" t="s">
        <v>314</v>
      </c>
      <c r="P59" t="s">
        <v>315</v>
      </c>
      <c r="Q59" t="s">
        <v>316</v>
      </c>
    </row>
    <row r="60" spans="1:17" ht="9.9499999999999993" customHeight="1">
      <c r="A60" t="s">
        <v>317</v>
      </c>
      <c r="B60" t="s">
        <v>318</v>
      </c>
      <c r="C60" t="s">
        <v>29</v>
      </c>
      <c r="D60" t="s">
        <v>30</v>
      </c>
      <c r="E60" t="s">
        <v>31</v>
      </c>
      <c r="F60" t="s">
        <v>53</v>
      </c>
      <c r="G60" s="2">
        <v>46056</v>
      </c>
      <c r="H60" s="2">
        <v>46154</v>
      </c>
      <c r="I60" s="3">
        <v>88</v>
      </c>
      <c r="J60" s="4">
        <v>2.64</v>
      </c>
      <c r="K60" s="3">
        <v>98</v>
      </c>
      <c r="L60" s="3">
        <v>91</v>
      </c>
      <c r="M60" s="3">
        <v>68</v>
      </c>
      <c r="N60" t="s">
        <v>78</v>
      </c>
      <c r="O60" t="s">
        <v>319</v>
      </c>
      <c r="P60" t="s">
        <v>320</v>
      </c>
      <c r="Q60" t="s">
        <v>321</v>
      </c>
    </row>
    <row r="61" spans="1:17" ht="9.9499999999999993" customHeight="1">
      <c r="A61" t="s">
        <v>322</v>
      </c>
      <c r="B61" t="s">
        <v>323</v>
      </c>
      <c r="C61" t="s">
        <v>29</v>
      </c>
      <c r="D61" t="s">
        <v>30</v>
      </c>
      <c r="E61" t="s">
        <v>324</v>
      </c>
      <c r="F61" t="s">
        <v>111</v>
      </c>
      <c r="G61" s="2">
        <v>45926</v>
      </c>
      <c r="H61" s="2">
        <v>46022</v>
      </c>
      <c r="I61" s="3">
        <v>95</v>
      </c>
      <c r="J61" s="4">
        <v>2.2599999999999998</v>
      </c>
      <c r="K61" s="3">
        <v>82</v>
      </c>
      <c r="L61" s="3">
        <v>45</v>
      </c>
      <c r="M61" s="3">
        <v>50</v>
      </c>
      <c r="N61" t="s">
        <v>23</v>
      </c>
      <c r="O61" t="s">
        <v>325</v>
      </c>
      <c r="P61" t="s">
        <v>326</v>
      </c>
      <c r="Q61" t="s">
        <v>327</v>
      </c>
    </row>
    <row r="62" spans="1:17" ht="9.9499999999999993" customHeight="1">
      <c r="A62" t="s">
        <v>328</v>
      </c>
      <c r="B62" t="s">
        <v>329</v>
      </c>
      <c r="C62" t="s">
        <v>29</v>
      </c>
      <c r="D62" t="s">
        <v>59</v>
      </c>
      <c r="E62" t="s">
        <v>60</v>
      </c>
      <c r="F62" t="s">
        <v>53</v>
      </c>
      <c r="G62" s="2">
        <v>46077</v>
      </c>
      <c r="H62" s="2">
        <v>46207</v>
      </c>
      <c r="I62" s="3">
        <v>73</v>
      </c>
      <c r="J62" s="4">
        <v>1.87</v>
      </c>
      <c r="K62" s="3">
        <v>58</v>
      </c>
      <c r="L62" s="3">
        <v>71</v>
      </c>
      <c r="M62" s="3">
        <v>88</v>
      </c>
      <c r="N62" t="s">
        <v>23</v>
      </c>
      <c r="O62" t="s">
        <v>330</v>
      </c>
      <c r="P62" t="s">
        <v>331</v>
      </c>
      <c r="Q62" t="s">
        <v>332</v>
      </c>
    </row>
    <row r="63" spans="1:17" ht="9.9499999999999993" customHeight="1">
      <c r="A63" t="s">
        <v>333</v>
      </c>
      <c r="B63" t="s">
        <v>303</v>
      </c>
      <c r="C63" t="s">
        <v>29</v>
      </c>
      <c r="D63" t="s">
        <v>59</v>
      </c>
      <c r="E63" t="s">
        <v>60</v>
      </c>
      <c r="G63" s="2">
        <v>46040</v>
      </c>
      <c r="H63" s="2">
        <v>46138</v>
      </c>
      <c r="I63" s="3">
        <v>96</v>
      </c>
      <c r="J63" s="4">
        <v>2.13</v>
      </c>
      <c r="K63" s="3">
        <v>57</v>
      </c>
      <c r="L63" s="3">
        <v>53</v>
      </c>
      <c r="M63" s="3">
        <v>39</v>
      </c>
      <c r="N63" t="s">
        <v>23</v>
      </c>
      <c r="O63" t="s">
        <v>334</v>
      </c>
      <c r="P63" t="s">
        <v>335</v>
      </c>
      <c r="Q63" t="s">
        <v>336</v>
      </c>
    </row>
    <row r="64" spans="1:17" ht="9.9499999999999993" customHeight="1">
      <c r="A64" t="s">
        <v>337</v>
      </c>
      <c r="B64" t="s">
        <v>338</v>
      </c>
      <c r="C64" t="s">
        <v>19</v>
      </c>
      <c r="D64" t="s">
        <v>59</v>
      </c>
      <c r="E64" t="s">
        <v>60</v>
      </c>
      <c r="F64" t="s">
        <v>193</v>
      </c>
      <c r="G64" s="2">
        <v>46020</v>
      </c>
      <c r="H64" s="2">
        <v>46128</v>
      </c>
      <c r="I64" s="3">
        <v>99</v>
      </c>
      <c r="J64" s="4">
        <v>2.69</v>
      </c>
      <c r="K64" s="3">
        <v>57</v>
      </c>
      <c r="L64" s="3">
        <v>99</v>
      </c>
      <c r="M64" s="3">
        <v>99</v>
      </c>
      <c r="N64" t="s">
        <v>23</v>
      </c>
      <c r="O64" t="s">
        <v>339</v>
      </c>
      <c r="P64" t="s">
        <v>340</v>
      </c>
      <c r="Q64" t="s">
        <v>341</v>
      </c>
    </row>
    <row r="65" spans="1:17" ht="9.9499999999999993" customHeight="1">
      <c r="A65" t="s">
        <v>342</v>
      </c>
      <c r="B65" t="s">
        <v>343</v>
      </c>
      <c r="C65" t="s">
        <v>19</v>
      </c>
      <c r="D65" t="s">
        <v>71</v>
      </c>
      <c r="E65" t="s">
        <v>72</v>
      </c>
      <c r="F65" t="s">
        <v>84</v>
      </c>
      <c r="G65" s="2">
        <v>46055</v>
      </c>
      <c r="H65" s="2">
        <v>46157</v>
      </c>
      <c r="I65" s="3">
        <v>56</v>
      </c>
      <c r="J65" s="4">
        <v>2</v>
      </c>
      <c r="K65" s="3">
        <v>83</v>
      </c>
      <c r="L65" s="3">
        <v>37</v>
      </c>
      <c r="M65" s="3">
        <v>64</v>
      </c>
      <c r="N65" t="s">
        <v>23</v>
      </c>
      <c r="O65" t="s">
        <v>344</v>
      </c>
      <c r="P65" t="s">
        <v>345</v>
      </c>
      <c r="Q65" t="s">
        <v>346</v>
      </c>
    </row>
    <row r="66" spans="1:17" ht="9.9499999999999993" customHeight="1">
      <c r="A66" t="s">
        <v>347</v>
      </c>
      <c r="B66" t="s">
        <v>348</v>
      </c>
      <c r="C66" t="s">
        <v>19</v>
      </c>
      <c r="D66" t="s">
        <v>51</v>
      </c>
      <c r="E66" t="s">
        <v>52</v>
      </c>
      <c r="F66" t="s">
        <v>22</v>
      </c>
      <c r="G66" s="2">
        <v>46050</v>
      </c>
      <c r="H66" s="2">
        <v>46175</v>
      </c>
      <c r="I66" s="3">
        <v>95</v>
      </c>
      <c r="J66" s="4">
        <v>3.59</v>
      </c>
      <c r="K66" s="3">
        <v>45</v>
      </c>
      <c r="L66" s="3">
        <v>95</v>
      </c>
      <c r="M66" s="3">
        <v>74</v>
      </c>
      <c r="N66" t="s">
        <v>23</v>
      </c>
      <c r="O66" t="s">
        <v>349</v>
      </c>
      <c r="P66" t="s">
        <v>350</v>
      </c>
      <c r="Q66" t="s">
        <v>351</v>
      </c>
    </row>
    <row r="67" spans="1:17" ht="9.9499999999999993" customHeight="1">
      <c r="A67" t="s">
        <v>352</v>
      </c>
      <c r="B67" t="s">
        <v>353</v>
      </c>
      <c r="C67" t="s">
        <v>19</v>
      </c>
      <c r="D67" t="s">
        <v>59</v>
      </c>
      <c r="E67" t="s">
        <v>60</v>
      </c>
      <c r="F67" t="s">
        <v>111</v>
      </c>
      <c r="G67" s="2">
        <v>46027</v>
      </c>
      <c r="H67" s="2">
        <v>46133</v>
      </c>
      <c r="I67" s="3">
        <v>97</v>
      </c>
      <c r="J67" s="4">
        <v>3.88</v>
      </c>
      <c r="K67" s="3">
        <v>92</v>
      </c>
      <c r="L67" s="3">
        <v>39</v>
      </c>
      <c r="M67" s="3">
        <v>88</v>
      </c>
      <c r="N67" t="s">
        <v>23</v>
      </c>
      <c r="O67" t="s">
        <v>354</v>
      </c>
      <c r="P67" t="s">
        <v>355</v>
      </c>
      <c r="Q67" t="s">
        <v>356</v>
      </c>
    </row>
    <row r="68" spans="1:17" ht="9.9499999999999993" customHeight="1">
      <c r="A68" t="s">
        <v>357</v>
      </c>
      <c r="B68" t="s">
        <v>358</v>
      </c>
      <c r="C68" t="s">
        <v>19</v>
      </c>
      <c r="E68" t="s">
        <v>31</v>
      </c>
      <c r="F68" t="s">
        <v>193</v>
      </c>
      <c r="G68" s="2">
        <v>46069</v>
      </c>
      <c r="H68" s="2">
        <v>46208</v>
      </c>
      <c r="I68" s="3">
        <v>84</v>
      </c>
      <c r="J68" s="4">
        <v>2.71</v>
      </c>
      <c r="K68" s="3">
        <v>52</v>
      </c>
      <c r="L68" s="3">
        <v>81</v>
      </c>
      <c r="M68" s="3">
        <v>93</v>
      </c>
      <c r="N68" t="s">
        <v>23</v>
      </c>
      <c r="O68" t="s">
        <v>359</v>
      </c>
      <c r="P68" t="s">
        <v>360</v>
      </c>
      <c r="Q68" t="s">
        <v>361</v>
      </c>
    </row>
    <row r="69" spans="1:17" ht="9.9499999999999993" customHeight="1">
      <c r="A69" t="s">
        <v>362</v>
      </c>
      <c r="B69" t="s">
        <v>363</v>
      </c>
      <c r="C69" t="s">
        <v>29</v>
      </c>
      <c r="D69" t="s">
        <v>51</v>
      </c>
      <c r="E69" t="s">
        <v>52</v>
      </c>
      <c r="F69" t="s">
        <v>53</v>
      </c>
      <c r="G69" s="2">
        <v>46079</v>
      </c>
      <c r="H69" s="2">
        <v>46211</v>
      </c>
      <c r="I69" s="3">
        <v>62</v>
      </c>
      <c r="J69" s="4">
        <v>1.86</v>
      </c>
      <c r="K69" s="3">
        <v>80</v>
      </c>
      <c r="L69" s="3">
        <v>65</v>
      </c>
      <c r="M69" s="3">
        <v>50</v>
      </c>
      <c r="N69" t="s">
        <v>23</v>
      </c>
      <c r="O69" t="s">
        <v>364</v>
      </c>
      <c r="P69" t="s">
        <v>365</v>
      </c>
      <c r="Q69" t="s">
        <v>366</v>
      </c>
    </row>
    <row r="70" spans="1:17" ht="9.9499999999999993" customHeight="1">
      <c r="A70" t="s">
        <v>367</v>
      </c>
      <c r="B70" t="s">
        <v>368</v>
      </c>
      <c r="C70" t="s">
        <v>29</v>
      </c>
      <c r="D70" t="s">
        <v>20</v>
      </c>
      <c r="E70" t="s">
        <v>21</v>
      </c>
      <c r="F70" t="s">
        <v>193</v>
      </c>
      <c r="G70" s="2">
        <v>46019</v>
      </c>
      <c r="H70" s="2">
        <v>46104</v>
      </c>
      <c r="I70" s="3">
        <v>96</v>
      </c>
      <c r="J70" s="4">
        <v>3.63</v>
      </c>
      <c r="K70" s="3">
        <v>71</v>
      </c>
      <c r="L70" s="3">
        <v>72</v>
      </c>
      <c r="M70" s="3">
        <v>95</v>
      </c>
      <c r="N70" t="s">
        <v>23</v>
      </c>
      <c r="O70" t="s">
        <v>369</v>
      </c>
      <c r="P70" t="s">
        <v>370</v>
      </c>
      <c r="Q70" t="s">
        <v>371</v>
      </c>
    </row>
    <row r="71" spans="1:17" ht="9.9499999999999993" customHeight="1">
      <c r="A71" t="s">
        <v>372</v>
      </c>
      <c r="B71" t="s">
        <v>373</v>
      </c>
      <c r="C71" t="s">
        <v>29</v>
      </c>
      <c r="D71" t="s">
        <v>59</v>
      </c>
      <c r="E71" t="s">
        <v>60</v>
      </c>
      <c r="F71" t="s">
        <v>45</v>
      </c>
      <c r="G71" s="2">
        <v>45938</v>
      </c>
      <c r="H71" s="2">
        <v>46057</v>
      </c>
      <c r="I71" s="3">
        <v>67</v>
      </c>
      <c r="J71" s="4">
        <v>3.83</v>
      </c>
      <c r="K71" s="3">
        <v>72</v>
      </c>
      <c r="L71" s="3">
        <v>52</v>
      </c>
      <c r="M71" s="3">
        <v>38</v>
      </c>
      <c r="N71" t="s">
        <v>23</v>
      </c>
      <c r="O71" t="s">
        <v>374</v>
      </c>
      <c r="P71" t="s">
        <v>375</v>
      </c>
      <c r="Q71" t="s">
        <v>376</v>
      </c>
    </row>
    <row r="72" spans="1:17" ht="9.9499999999999993" customHeight="1">
      <c r="A72" t="s">
        <v>377</v>
      </c>
      <c r="B72" t="s">
        <v>378</v>
      </c>
      <c r="C72" t="s">
        <v>19</v>
      </c>
      <c r="D72" t="s">
        <v>43</v>
      </c>
      <c r="E72" t="s">
        <v>44</v>
      </c>
      <c r="F72" t="s">
        <v>84</v>
      </c>
      <c r="G72" s="2">
        <v>45977</v>
      </c>
      <c r="H72" s="2">
        <v>46109</v>
      </c>
      <c r="I72" s="3">
        <v>64</v>
      </c>
      <c r="J72" s="4">
        <v>2.78</v>
      </c>
      <c r="K72" s="3">
        <v>70</v>
      </c>
      <c r="L72" s="3">
        <v>79</v>
      </c>
      <c r="M72" s="3">
        <v>72</v>
      </c>
      <c r="N72" t="s">
        <v>23</v>
      </c>
      <c r="O72" t="s">
        <v>379</v>
      </c>
      <c r="P72" t="s">
        <v>380</v>
      </c>
      <c r="Q72" t="s">
        <v>381</v>
      </c>
    </row>
    <row r="73" spans="1:17" ht="9.9499999999999993" customHeight="1">
      <c r="A73" t="s">
        <v>382</v>
      </c>
      <c r="B73" t="s">
        <v>383</v>
      </c>
      <c r="C73" t="s">
        <v>19</v>
      </c>
      <c r="D73" t="s">
        <v>20</v>
      </c>
      <c r="E73" t="s">
        <v>21</v>
      </c>
      <c r="F73" t="s">
        <v>111</v>
      </c>
      <c r="G73" s="2">
        <v>45962</v>
      </c>
      <c r="H73" s="2">
        <v>46081</v>
      </c>
      <c r="I73" s="3"/>
      <c r="J73" s="4">
        <v>3.68</v>
      </c>
      <c r="K73" s="3">
        <v>66</v>
      </c>
      <c r="L73" s="3">
        <v>40</v>
      </c>
      <c r="M73" s="3">
        <v>70</v>
      </c>
      <c r="N73" t="s">
        <v>23</v>
      </c>
      <c r="O73" t="s">
        <v>384</v>
      </c>
      <c r="P73" t="s">
        <v>385</v>
      </c>
      <c r="Q73" t="s">
        <v>386</v>
      </c>
    </row>
    <row r="74" spans="1:17" ht="9.9499999999999993" customHeight="1">
      <c r="A74" t="s">
        <v>387</v>
      </c>
      <c r="B74" t="s">
        <v>388</v>
      </c>
      <c r="C74" t="s">
        <v>19</v>
      </c>
      <c r="D74" t="s">
        <v>43</v>
      </c>
      <c r="E74" t="s">
        <v>44</v>
      </c>
      <c r="F74" t="s">
        <v>22</v>
      </c>
      <c r="G74" s="2">
        <v>46029</v>
      </c>
      <c r="H74" s="2">
        <v>46141</v>
      </c>
      <c r="I74" s="3">
        <v>61</v>
      </c>
      <c r="J74" s="4">
        <v>3.72</v>
      </c>
      <c r="K74" s="3">
        <v>68</v>
      </c>
      <c r="L74" s="3">
        <v>47</v>
      </c>
      <c r="M74" s="3">
        <v>97</v>
      </c>
      <c r="N74" t="s">
        <v>78</v>
      </c>
      <c r="O74" t="s">
        <v>389</v>
      </c>
      <c r="P74" t="s">
        <v>390</v>
      </c>
      <c r="Q74" t="s">
        <v>391</v>
      </c>
    </row>
    <row r="75" spans="1:17" ht="9.9499999999999993" customHeight="1">
      <c r="A75" t="s">
        <v>392</v>
      </c>
      <c r="B75" t="s">
        <v>393</v>
      </c>
      <c r="C75" t="s">
        <v>29</v>
      </c>
      <c r="D75" t="s">
        <v>43</v>
      </c>
      <c r="E75" t="s">
        <v>44</v>
      </c>
      <c r="F75" t="s">
        <v>53</v>
      </c>
      <c r="G75" s="2">
        <v>45968</v>
      </c>
      <c r="H75" s="2">
        <v>46081</v>
      </c>
      <c r="I75" s="3">
        <v>94</v>
      </c>
      <c r="J75" s="4">
        <v>3.32</v>
      </c>
      <c r="K75" s="3">
        <v>81</v>
      </c>
      <c r="L75" s="3">
        <v>45</v>
      </c>
      <c r="M75" s="3">
        <v>72</v>
      </c>
      <c r="N75" t="s">
        <v>78</v>
      </c>
      <c r="O75" t="s">
        <v>394</v>
      </c>
      <c r="P75" t="s">
        <v>395</v>
      </c>
      <c r="Q75" t="s">
        <v>396</v>
      </c>
    </row>
    <row r="76" spans="1:17" ht="9.9499999999999993" customHeight="1">
      <c r="A76" t="s">
        <v>397</v>
      </c>
      <c r="B76" t="s">
        <v>398</v>
      </c>
      <c r="C76" t="s">
        <v>399</v>
      </c>
      <c r="D76" t="s">
        <v>30</v>
      </c>
      <c r="E76" t="s">
        <v>31</v>
      </c>
      <c r="F76" t="s">
        <v>193</v>
      </c>
      <c r="G76" s="2">
        <v>46059</v>
      </c>
      <c r="H76" s="2">
        <v>46137</v>
      </c>
      <c r="I76" s="3">
        <v>70</v>
      </c>
      <c r="J76" s="4">
        <v>3.19</v>
      </c>
      <c r="K76" s="3">
        <v>98</v>
      </c>
      <c r="L76" s="3">
        <v>71</v>
      </c>
      <c r="M76" s="3">
        <v>59</v>
      </c>
      <c r="N76" t="s">
        <v>23</v>
      </c>
      <c r="O76" t="s">
        <v>400</v>
      </c>
      <c r="P76" t="s">
        <v>401</v>
      </c>
      <c r="Q76" t="s">
        <v>402</v>
      </c>
    </row>
    <row r="77" spans="1:17" ht="9.9499999999999993" customHeight="1">
      <c r="A77" t="s">
        <v>403</v>
      </c>
      <c r="B77" t="s">
        <v>404</v>
      </c>
      <c r="C77" t="s">
        <v>19</v>
      </c>
      <c r="D77" t="s">
        <v>20</v>
      </c>
      <c r="E77" t="s">
        <v>21</v>
      </c>
      <c r="F77" t="s">
        <v>111</v>
      </c>
      <c r="G77" s="2">
        <v>45977</v>
      </c>
      <c r="H77" s="2">
        <v>46050</v>
      </c>
      <c r="I77" s="3">
        <v>57</v>
      </c>
      <c r="J77" s="4">
        <v>2.5099999999999998</v>
      </c>
      <c r="K77" s="3">
        <v>43</v>
      </c>
      <c r="L77" s="3">
        <v>72</v>
      </c>
      <c r="M77" s="3">
        <v>75</v>
      </c>
      <c r="N77" t="s">
        <v>23</v>
      </c>
      <c r="O77" t="s">
        <v>405</v>
      </c>
      <c r="P77" t="s">
        <v>406</v>
      </c>
      <c r="Q77" t="s">
        <v>407</v>
      </c>
    </row>
    <row r="78" spans="1:17" ht="9.9499999999999993" customHeight="1">
      <c r="A78" t="s">
        <v>408</v>
      </c>
      <c r="B78" t="s">
        <v>409</v>
      </c>
      <c r="C78" t="s">
        <v>19</v>
      </c>
      <c r="D78" t="s">
        <v>30</v>
      </c>
      <c r="E78" t="s">
        <v>31</v>
      </c>
      <c r="F78" t="s">
        <v>111</v>
      </c>
      <c r="G78" s="2">
        <v>45947</v>
      </c>
      <c r="H78" s="2">
        <v>46038</v>
      </c>
      <c r="I78" s="3">
        <v>66</v>
      </c>
      <c r="J78" s="4">
        <v>1.97</v>
      </c>
      <c r="K78" s="3">
        <v>95</v>
      </c>
      <c r="L78" s="3">
        <v>83</v>
      </c>
      <c r="M78" s="3">
        <v>60</v>
      </c>
      <c r="N78" t="s">
        <v>23</v>
      </c>
      <c r="O78" t="s">
        <v>410</v>
      </c>
      <c r="P78" t="s">
        <v>411</v>
      </c>
      <c r="Q78" t="s">
        <v>412</v>
      </c>
    </row>
    <row r="79" spans="1:17" ht="9.9499999999999993" customHeight="1">
      <c r="A79" t="s">
        <v>413</v>
      </c>
      <c r="B79" t="s">
        <v>414</v>
      </c>
      <c r="C79" t="s">
        <v>19</v>
      </c>
      <c r="D79" t="s">
        <v>71</v>
      </c>
      <c r="E79" t="s">
        <v>72</v>
      </c>
      <c r="F79" t="s">
        <v>415</v>
      </c>
      <c r="G79" s="2">
        <v>46018</v>
      </c>
      <c r="H79" s="2">
        <v>46120</v>
      </c>
      <c r="I79" s="3">
        <v>97</v>
      </c>
      <c r="J79" s="4">
        <v>1.82</v>
      </c>
      <c r="K79" s="3">
        <v>91</v>
      </c>
      <c r="L79" s="3">
        <v>94</v>
      </c>
      <c r="M79" s="3">
        <v>66</v>
      </c>
      <c r="N79" t="s">
        <v>23</v>
      </c>
      <c r="O79" t="s">
        <v>416</v>
      </c>
      <c r="P79" t="s">
        <v>417</v>
      </c>
      <c r="Q79" t="s">
        <v>418</v>
      </c>
    </row>
    <row r="80" spans="1:17" ht="9.9499999999999993" customHeight="1">
      <c r="A80" t="s">
        <v>419</v>
      </c>
      <c r="B80" t="s">
        <v>420</v>
      </c>
      <c r="C80" t="s">
        <v>19</v>
      </c>
      <c r="D80" t="s">
        <v>30</v>
      </c>
      <c r="E80" t="s">
        <v>31</v>
      </c>
      <c r="F80" t="s">
        <v>84</v>
      </c>
      <c r="G80" s="2">
        <v>46064</v>
      </c>
      <c r="H80" s="2">
        <v>46188</v>
      </c>
      <c r="I80" s="3">
        <v>99</v>
      </c>
      <c r="J80" s="4">
        <v>2.35</v>
      </c>
      <c r="K80" s="3">
        <v>94</v>
      </c>
      <c r="L80" s="3">
        <v>73</v>
      </c>
      <c r="M80" s="3">
        <v>55</v>
      </c>
      <c r="N80" t="s">
        <v>78</v>
      </c>
      <c r="O80" t="s">
        <v>421</v>
      </c>
      <c r="P80" t="s">
        <v>422</v>
      </c>
      <c r="Q80" t="s">
        <v>423</v>
      </c>
    </row>
    <row r="81" spans="1:17" ht="9.9499999999999993" customHeight="1">
      <c r="A81" t="s">
        <v>191</v>
      </c>
      <c r="B81" t="s">
        <v>192</v>
      </c>
      <c r="C81" t="s">
        <v>29</v>
      </c>
      <c r="D81" t="s">
        <v>51</v>
      </c>
      <c r="E81" t="s">
        <v>52</v>
      </c>
      <c r="F81" t="s">
        <v>193</v>
      </c>
      <c r="G81" s="2">
        <v>46012</v>
      </c>
      <c r="H81" s="2">
        <v>46082</v>
      </c>
      <c r="I81" s="3">
        <v>88</v>
      </c>
      <c r="J81" s="4">
        <v>3.84</v>
      </c>
      <c r="K81" s="3">
        <v>74</v>
      </c>
      <c r="L81" s="3">
        <v>60</v>
      </c>
      <c r="M81" s="3">
        <v>76</v>
      </c>
      <c r="N81" t="s">
        <v>23</v>
      </c>
      <c r="O81" t="s">
        <v>194</v>
      </c>
      <c r="P81" t="s">
        <v>195</v>
      </c>
      <c r="Q81" t="s">
        <v>196</v>
      </c>
    </row>
    <row r="82" spans="1:17" ht="9.9499999999999993" customHeight="1">
      <c r="A82" t="s">
        <v>424</v>
      </c>
      <c r="B82" t="s">
        <v>425</v>
      </c>
      <c r="C82" t="s">
        <v>19</v>
      </c>
      <c r="D82" t="s">
        <v>20</v>
      </c>
      <c r="E82" t="s">
        <v>21</v>
      </c>
      <c r="F82" t="s">
        <v>45</v>
      </c>
      <c r="G82" s="2">
        <v>45991</v>
      </c>
      <c r="H82" s="2">
        <v>46089</v>
      </c>
      <c r="I82" s="3">
        <v>95</v>
      </c>
      <c r="J82" s="4">
        <v>2.2200000000000002</v>
      </c>
      <c r="K82" s="3">
        <v>56</v>
      </c>
      <c r="L82" s="3">
        <v>52</v>
      </c>
      <c r="M82" s="3">
        <v>42</v>
      </c>
      <c r="N82" t="s">
        <v>78</v>
      </c>
      <c r="O82" t="s">
        <v>426</v>
      </c>
      <c r="P82" t="s">
        <v>427</v>
      </c>
      <c r="Q82" t="s">
        <v>428</v>
      </c>
    </row>
    <row r="83" spans="1:17" ht="9.9499999999999993" customHeight="1">
      <c r="A83" t="s">
        <v>429</v>
      </c>
      <c r="B83" t="s">
        <v>430</v>
      </c>
      <c r="C83" t="s">
        <v>19</v>
      </c>
      <c r="D83" t="s">
        <v>43</v>
      </c>
      <c r="E83" t="s">
        <v>44</v>
      </c>
      <c r="F83" t="s">
        <v>45</v>
      </c>
      <c r="G83" s="2">
        <v>45994</v>
      </c>
      <c r="H83" s="2">
        <v>46080</v>
      </c>
      <c r="I83" s="3">
        <v>60</v>
      </c>
      <c r="J83" s="4"/>
      <c r="K83" s="3">
        <v>60</v>
      </c>
      <c r="L83" s="3">
        <v>88</v>
      </c>
      <c r="M83" s="3">
        <v>52</v>
      </c>
      <c r="N83" t="s">
        <v>23</v>
      </c>
      <c r="O83" t="s">
        <v>431</v>
      </c>
      <c r="P83" t="s">
        <v>432</v>
      </c>
      <c r="Q83" t="s">
        <v>433</v>
      </c>
    </row>
    <row r="84" spans="1:17" ht="9.9499999999999993" customHeight="1">
      <c r="A84" t="s">
        <v>434</v>
      </c>
      <c r="B84" t="s">
        <v>435</v>
      </c>
      <c r="C84" t="s">
        <v>19</v>
      </c>
      <c r="D84" t="s">
        <v>20</v>
      </c>
      <c r="E84" t="s">
        <v>21</v>
      </c>
      <c r="F84" t="s">
        <v>84</v>
      </c>
      <c r="G84" s="2">
        <v>46024</v>
      </c>
      <c r="H84" s="2">
        <v>46131</v>
      </c>
      <c r="I84" s="3">
        <v>76</v>
      </c>
      <c r="J84" s="4">
        <v>3.57</v>
      </c>
      <c r="K84" s="3">
        <v>69</v>
      </c>
      <c r="L84" s="3">
        <v>44</v>
      </c>
      <c r="M84" s="3">
        <v>48</v>
      </c>
      <c r="N84" t="s">
        <v>436</v>
      </c>
      <c r="O84" t="s">
        <v>437</v>
      </c>
      <c r="P84" t="s">
        <v>438</v>
      </c>
      <c r="Q84" t="s">
        <v>439</v>
      </c>
    </row>
    <row r="85" spans="1:17" ht="9.9499999999999993" customHeight="1">
      <c r="A85" t="s">
        <v>440</v>
      </c>
      <c r="B85" t="s">
        <v>441</v>
      </c>
      <c r="C85" t="s">
        <v>19</v>
      </c>
      <c r="D85" t="s">
        <v>43</v>
      </c>
      <c r="E85" t="s">
        <v>44</v>
      </c>
      <c r="F85" t="s">
        <v>53</v>
      </c>
      <c r="G85" s="2">
        <v>45904</v>
      </c>
      <c r="H85" s="2">
        <v>46007</v>
      </c>
      <c r="I85" s="3">
        <v>89</v>
      </c>
      <c r="J85" s="4">
        <v>2.0699999999999998</v>
      </c>
      <c r="K85" s="3">
        <v>63</v>
      </c>
      <c r="L85" s="3">
        <v>68</v>
      </c>
      <c r="M85" s="3">
        <v>78</v>
      </c>
      <c r="N85" t="s">
        <v>32</v>
      </c>
      <c r="O85" t="s">
        <v>442</v>
      </c>
      <c r="P85" t="s">
        <v>443</v>
      </c>
      <c r="Q85" t="s">
        <v>444</v>
      </c>
    </row>
    <row r="86" spans="1:17" ht="9.9499999999999993" customHeight="1">
      <c r="A86" t="s">
        <v>445</v>
      </c>
      <c r="B86" t="s">
        <v>104</v>
      </c>
      <c r="C86" t="s">
        <v>19</v>
      </c>
      <c r="D86" t="s">
        <v>43</v>
      </c>
      <c r="E86" t="s">
        <v>44</v>
      </c>
      <c r="F86" t="s">
        <v>45</v>
      </c>
      <c r="G86" s="2">
        <v>46044</v>
      </c>
      <c r="H86" s="2">
        <v>46155</v>
      </c>
      <c r="I86" s="3">
        <v>94</v>
      </c>
      <c r="J86" s="4">
        <v>2.29</v>
      </c>
      <c r="K86" s="3">
        <v>44</v>
      </c>
      <c r="L86" s="3">
        <v>94</v>
      </c>
      <c r="M86" s="3">
        <v>68</v>
      </c>
      <c r="N86" t="s">
        <v>23</v>
      </c>
      <c r="O86" t="s">
        <v>446</v>
      </c>
      <c r="P86" t="s">
        <v>447</v>
      </c>
      <c r="Q86" t="s">
        <v>448</v>
      </c>
    </row>
    <row r="87" spans="1:17" ht="9.9499999999999993" customHeight="1">
      <c r="A87" t="s">
        <v>449</v>
      </c>
      <c r="B87" t="s">
        <v>450</v>
      </c>
      <c r="C87" t="s">
        <v>29</v>
      </c>
      <c r="D87" t="s">
        <v>51</v>
      </c>
      <c r="E87" t="s">
        <v>52</v>
      </c>
      <c r="F87" t="s">
        <v>53</v>
      </c>
      <c r="G87" s="2">
        <v>45930</v>
      </c>
      <c r="H87" s="2">
        <v>46012</v>
      </c>
      <c r="I87" s="3">
        <v>70</v>
      </c>
      <c r="J87" s="4">
        <v>3.75</v>
      </c>
      <c r="K87" s="3">
        <v>48</v>
      </c>
      <c r="L87" s="3">
        <v>84</v>
      </c>
      <c r="M87" s="3">
        <v>88</v>
      </c>
      <c r="N87" t="s">
        <v>23</v>
      </c>
      <c r="O87" t="s">
        <v>451</v>
      </c>
      <c r="P87" t="s">
        <v>452</v>
      </c>
      <c r="Q87" t="s">
        <v>453</v>
      </c>
    </row>
    <row r="88" spans="1:17" ht="9.9499999999999993" customHeight="1">
      <c r="A88" t="s">
        <v>454</v>
      </c>
      <c r="B88" t="s">
        <v>455</v>
      </c>
      <c r="C88" t="s">
        <v>29</v>
      </c>
      <c r="D88" t="s">
        <v>59</v>
      </c>
      <c r="E88" t="s">
        <v>60</v>
      </c>
      <c r="F88" t="s">
        <v>111</v>
      </c>
      <c r="G88" s="2">
        <v>45926</v>
      </c>
      <c r="H88" s="2">
        <v>46058</v>
      </c>
      <c r="I88" s="3">
        <v>94</v>
      </c>
      <c r="J88" s="4">
        <v>2.7</v>
      </c>
      <c r="K88" s="3">
        <v>100</v>
      </c>
      <c r="L88" s="3">
        <v>70</v>
      </c>
      <c r="M88" s="3">
        <v>34</v>
      </c>
      <c r="N88" t="s">
        <v>23</v>
      </c>
      <c r="O88" t="s">
        <v>456</v>
      </c>
      <c r="P88" t="s">
        <v>457</v>
      </c>
      <c r="Q88" t="s">
        <v>458</v>
      </c>
    </row>
    <row r="89" spans="1:17" ht="9.9499999999999993" customHeight="1">
      <c r="A89" t="s">
        <v>459</v>
      </c>
      <c r="B89" t="s">
        <v>460</v>
      </c>
      <c r="C89" t="s">
        <v>29</v>
      </c>
      <c r="D89" t="s">
        <v>51</v>
      </c>
      <c r="E89" t="s">
        <v>52</v>
      </c>
      <c r="F89" t="s">
        <v>193</v>
      </c>
      <c r="G89" s="2">
        <v>46076</v>
      </c>
      <c r="H89" s="2">
        <v>46193</v>
      </c>
      <c r="I89" s="3">
        <v>89</v>
      </c>
      <c r="J89" s="4">
        <v>3.78</v>
      </c>
      <c r="K89" s="3">
        <v>81</v>
      </c>
      <c r="L89" s="3">
        <v>80</v>
      </c>
      <c r="M89" s="3">
        <v>37</v>
      </c>
      <c r="N89" t="s">
        <v>23</v>
      </c>
      <c r="O89" t="s">
        <v>461</v>
      </c>
      <c r="P89" t="s">
        <v>462</v>
      </c>
      <c r="Q89" t="s">
        <v>463</v>
      </c>
    </row>
    <row r="90" spans="1:17" ht="9.9499999999999993" customHeight="1">
      <c r="A90" t="s">
        <v>464</v>
      </c>
      <c r="B90" t="s">
        <v>465</v>
      </c>
      <c r="C90" t="s">
        <v>29</v>
      </c>
      <c r="D90" t="s">
        <v>71</v>
      </c>
      <c r="E90" t="s">
        <v>72</v>
      </c>
      <c r="F90" t="s">
        <v>22</v>
      </c>
      <c r="G90" s="2">
        <v>46065</v>
      </c>
      <c r="H90" s="2">
        <v>46137</v>
      </c>
      <c r="I90" s="3">
        <v>58</v>
      </c>
      <c r="J90" s="4">
        <v>3.53</v>
      </c>
      <c r="K90" s="3">
        <v>55</v>
      </c>
      <c r="L90" s="3">
        <v>51</v>
      </c>
      <c r="M90" s="3">
        <v>56</v>
      </c>
      <c r="N90" t="s">
        <v>23</v>
      </c>
      <c r="O90" t="s">
        <v>466</v>
      </c>
      <c r="P90" t="s">
        <v>467</v>
      </c>
      <c r="Q90" t="s">
        <v>468</v>
      </c>
    </row>
    <row r="91" spans="1:17" ht="9.9499999999999993" customHeight="1">
      <c r="G91" s="2"/>
      <c r="H91" s="2"/>
      <c r="I91" s="3"/>
      <c r="J91" s="4"/>
      <c r="K91" s="3"/>
      <c r="L91" s="3"/>
      <c r="M91" s="3"/>
    </row>
    <row r="92" spans="1:17" ht="9.9499999999999993" customHeight="1">
      <c r="A92" t="s">
        <v>469</v>
      </c>
      <c r="B92" t="s">
        <v>18</v>
      </c>
      <c r="C92" t="s">
        <v>29</v>
      </c>
      <c r="D92" t="s">
        <v>43</v>
      </c>
      <c r="E92" t="s">
        <v>44</v>
      </c>
      <c r="F92" t="s">
        <v>84</v>
      </c>
      <c r="G92" s="2">
        <v>45961</v>
      </c>
      <c r="H92" s="2">
        <v>46072</v>
      </c>
      <c r="I92" s="3">
        <v>56</v>
      </c>
      <c r="J92" s="4">
        <v>2.1800000000000002</v>
      </c>
      <c r="K92" s="3">
        <v>43</v>
      </c>
      <c r="L92" s="3">
        <v>51</v>
      </c>
      <c r="M92" s="3">
        <v>83</v>
      </c>
      <c r="N92" t="s">
        <v>23</v>
      </c>
      <c r="O92" t="s">
        <v>470</v>
      </c>
      <c r="P92" t="s">
        <v>471</v>
      </c>
      <c r="Q92" t="s">
        <v>472</v>
      </c>
    </row>
    <row r="93" spans="1:17" ht="9.9499999999999993" customHeight="1">
      <c r="A93" t="s">
        <v>473</v>
      </c>
      <c r="B93" t="s">
        <v>474</v>
      </c>
      <c r="C93" t="s">
        <v>19</v>
      </c>
      <c r="D93" t="s">
        <v>30</v>
      </c>
      <c r="E93" t="s">
        <v>31</v>
      </c>
      <c r="F93" t="s">
        <v>45</v>
      </c>
      <c r="G93" s="2">
        <v>45928</v>
      </c>
      <c r="H93" s="2">
        <v>46055</v>
      </c>
      <c r="I93" s="3">
        <v>87</v>
      </c>
      <c r="J93" s="4">
        <v>2.29</v>
      </c>
      <c r="K93" s="3">
        <v>79</v>
      </c>
      <c r="L93" s="3">
        <v>40</v>
      </c>
      <c r="M93" s="3">
        <v>96</v>
      </c>
      <c r="N93" t="s">
        <v>23</v>
      </c>
      <c r="P93" t="s">
        <v>475</v>
      </c>
      <c r="Q93" t="s">
        <v>476</v>
      </c>
    </row>
    <row r="94" spans="1:17" ht="9.9499999999999993" customHeight="1">
      <c r="A94" t="s">
        <v>477</v>
      </c>
      <c r="B94" t="s">
        <v>478</v>
      </c>
      <c r="C94" t="s">
        <v>19</v>
      </c>
      <c r="D94" t="s">
        <v>59</v>
      </c>
      <c r="E94" t="s">
        <v>60</v>
      </c>
      <c r="F94" t="s">
        <v>53</v>
      </c>
      <c r="G94" s="2">
        <v>46076</v>
      </c>
      <c r="H94" s="2">
        <v>46159</v>
      </c>
      <c r="I94" s="3">
        <v>86</v>
      </c>
      <c r="J94" s="4">
        <v>3.37</v>
      </c>
      <c r="K94" s="3">
        <v>68</v>
      </c>
      <c r="L94" s="3">
        <v>44</v>
      </c>
      <c r="M94" s="3">
        <v>40</v>
      </c>
      <c r="N94" t="s">
        <v>23</v>
      </c>
      <c r="O94" t="s">
        <v>479</v>
      </c>
      <c r="P94" t="s">
        <v>480</v>
      </c>
      <c r="Q94" t="s">
        <v>481</v>
      </c>
    </row>
    <row r="95" spans="1:17" ht="9.9499999999999993" customHeight="1">
      <c r="A95" t="s">
        <v>482</v>
      </c>
      <c r="B95" t="s">
        <v>483</v>
      </c>
      <c r="C95" t="s">
        <v>19</v>
      </c>
      <c r="D95" t="s">
        <v>30</v>
      </c>
      <c r="E95" t="s">
        <v>31</v>
      </c>
      <c r="F95" t="s">
        <v>111</v>
      </c>
      <c r="G95" s="2">
        <v>46050</v>
      </c>
      <c r="H95" s="2">
        <v>46190</v>
      </c>
      <c r="I95" s="3">
        <v>100</v>
      </c>
      <c r="J95" s="4">
        <v>2.52</v>
      </c>
      <c r="K95" s="3">
        <v>78</v>
      </c>
      <c r="L95" s="3">
        <v>72</v>
      </c>
      <c r="M95" s="3">
        <v>88</v>
      </c>
      <c r="N95" t="s">
        <v>23</v>
      </c>
      <c r="O95" t="s">
        <v>484</v>
      </c>
      <c r="P95" t="s">
        <v>485</v>
      </c>
      <c r="Q95" t="s">
        <v>486</v>
      </c>
    </row>
    <row r="96" spans="1:17" ht="9.9499999999999993" customHeight="1">
      <c r="A96" t="s">
        <v>487</v>
      </c>
      <c r="B96" t="s">
        <v>404</v>
      </c>
      <c r="C96" t="s">
        <v>29</v>
      </c>
      <c r="D96" t="s">
        <v>59</v>
      </c>
      <c r="E96" t="s">
        <v>60</v>
      </c>
      <c r="F96" t="s">
        <v>53</v>
      </c>
      <c r="G96" s="2">
        <v>45959</v>
      </c>
      <c r="H96" s="2">
        <v>46081</v>
      </c>
      <c r="I96" s="3">
        <v>76</v>
      </c>
      <c r="J96" s="4">
        <v>3.62</v>
      </c>
      <c r="K96" s="3">
        <v>65</v>
      </c>
      <c r="L96" s="3">
        <v>88</v>
      </c>
      <c r="M96" s="3">
        <v>42</v>
      </c>
      <c r="N96" t="s">
        <v>23</v>
      </c>
      <c r="O96" t="s">
        <v>488</v>
      </c>
      <c r="P96" t="s">
        <v>489</v>
      </c>
      <c r="Q96" t="s">
        <v>490</v>
      </c>
    </row>
    <row r="97" spans="1:17" ht="9.9499999999999993" customHeight="1">
      <c r="A97" t="s">
        <v>491</v>
      </c>
      <c r="B97" t="s">
        <v>492</v>
      </c>
      <c r="C97" t="s">
        <v>29</v>
      </c>
      <c r="D97" t="s">
        <v>71</v>
      </c>
      <c r="E97" t="s">
        <v>72</v>
      </c>
      <c r="F97" t="s">
        <v>53</v>
      </c>
      <c r="G97" s="2">
        <v>45918</v>
      </c>
      <c r="H97" s="2">
        <v>45999</v>
      </c>
      <c r="I97" s="3">
        <v>60</v>
      </c>
      <c r="J97" s="4">
        <v>2.0099999999999998</v>
      </c>
      <c r="K97" s="3">
        <v>46</v>
      </c>
      <c r="L97" s="3">
        <v>82</v>
      </c>
      <c r="M97" s="3">
        <v>46</v>
      </c>
      <c r="N97" t="s">
        <v>23</v>
      </c>
      <c r="O97" t="s">
        <v>493</v>
      </c>
      <c r="P97" t="s">
        <v>494</v>
      </c>
      <c r="Q97" t="s">
        <v>495</v>
      </c>
    </row>
    <row r="98" spans="1:17" ht="9.9499999999999993" customHeight="1">
      <c r="A98" t="s">
        <v>496</v>
      </c>
      <c r="B98" t="s">
        <v>70</v>
      </c>
      <c r="C98" t="s">
        <v>19</v>
      </c>
      <c r="D98" t="s">
        <v>71</v>
      </c>
      <c r="E98" t="s">
        <v>72</v>
      </c>
      <c r="F98" t="s">
        <v>193</v>
      </c>
      <c r="G98" s="2">
        <v>46006</v>
      </c>
      <c r="H98" s="2">
        <v>46121</v>
      </c>
      <c r="I98" s="3">
        <v>97</v>
      </c>
      <c r="J98" s="4">
        <v>3.87</v>
      </c>
      <c r="K98" s="3">
        <v>67</v>
      </c>
      <c r="L98" s="3">
        <v>41</v>
      </c>
      <c r="M98" s="3">
        <v>66</v>
      </c>
      <c r="N98" t="s">
        <v>23</v>
      </c>
      <c r="O98" t="s">
        <v>497</v>
      </c>
      <c r="P98" t="s">
        <v>498</v>
      </c>
      <c r="Q98" t="s">
        <v>499</v>
      </c>
    </row>
    <row r="99" spans="1:17" ht="9.9499999999999993" customHeight="1">
      <c r="A99" t="s">
        <v>500</v>
      </c>
      <c r="B99" t="s">
        <v>262</v>
      </c>
      <c r="C99" t="s">
        <v>29</v>
      </c>
      <c r="D99" t="s">
        <v>20</v>
      </c>
      <c r="E99" t="s">
        <v>21</v>
      </c>
      <c r="F99" t="s">
        <v>111</v>
      </c>
      <c r="G99" s="2">
        <v>46024</v>
      </c>
      <c r="H99" s="2">
        <v>46122</v>
      </c>
      <c r="I99" s="3">
        <v>61</v>
      </c>
      <c r="J99" s="4">
        <v>2.57</v>
      </c>
      <c r="K99" s="3">
        <v>75</v>
      </c>
      <c r="L99" s="3">
        <v>82</v>
      </c>
      <c r="M99" s="3">
        <v>44</v>
      </c>
      <c r="N99" t="s">
        <v>32</v>
      </c>
      <c r="O99" t="s">
        <v>501</v>
      </c>
      <c r="P99" t="s">
        <v>502</v>
      </c>
      <c r="Q99" t="s">
        <v>503</v>
      </c>
    </row>
    <row r="100" spans="1:17" ht="9.9499999999999993" customHeight="1">
      <c r="A100" t="s">
        <v>504</v>
      </c>
      <c r="B100" t="s">
        <v>505</v>
      </c>
      <c r="C100" t="s">
        <v>29</v>
      </c>
      <c r="D100" t="s">
        <v>30</v>
      </c>
      <c r="E100" t="s">
        <v>31</v>
      </c>
      <c r="F100" t="s">
        <v>111</v>
      </c>
      <c r="G100" s="2">
        <v>46078</v>
      </c>
      <c r="H100" s="2">
        <v>46182</v>
      </c>
      <c r="I100" s="3">
        <v>56</v>
      </c>
      <c r="J100" s="4">
        <v>2.2000000000000002</v>
      </c>
      <c r="K100" s="3">
        <v>84</v>
      </c>
      <c r="L100" s="3">
        <v>74</v>
      </c>
      <c r="M100" s="3">
        <v>73</v>
      </c>
      <c r="N100" t="s">
        <v>23</v>
      </c>
      <c r="O100" t="s">
        <v>506</v>
      </c>
      <c r="P100" t="s">
        <v>507</v>
      </c>
      <c r="Q100" t="s">
        <v>508</v>
      </c>
    </row>
    <row r="101" spans="1:17" ht="9.9499999999999993" customHeight="1">
      <c r="A101" t="s">
        <v>509</v>
      </c>
      <c r="B101" t="s">
        <v>510</v>
      </c>
      <c r="C101" t="s">
        <v>19</v>
      </c>
      <c r="D101" t="s">
        <v>43</v>
      </c>
      <c r="E101" t="s">
        <v>52</v>
      </c>
      <c r="F101" t="s">
        <v>22</v>
      </c>
      <c r="G101" s="2">
        <v>46063</v>
      </c>
      <c r="H101" s="2">
        <v>46136</v>
      </c>
      <c r="I101" s="3">
        <v>60</v>
      </c>
      <c r="J101" s="4">
        <v>3.44</v>
      </c>
      <c r="K101" s="3">
        <v>53</v>
      </c>
      <c r="L101" s="3">
        <v>83</v>
      </c>
      <c r="M101" s="3">
        <v>83</v>
      </c>
      <c r="N101" t="s">
        <v>23</v>
      </c>
      <c r="O101" t="s">
        <v>511</v>
      </c>
      <c r="P101" t="s">
        <v>512</v>
      </c>
      <c r="Q101" t="s">
        <v>513</v>
      </c>
    </row>
    <row r="102" spans="1:17" ht="9.9499999999999993" customHeight="1">
      <c r="A102" t="s">
        <v>514</v>
      </c>
      <c r="B102" t="s">
        <v>515</v>
      </c>
      <c r="C102" t="s">
        <v>19</v>
      </c>
      <c r="D102" t="s">
        <v>30</v>
      </c>
      <c r="E102" t="s">
        <v>31</v>
      </c>
      <c r="F102" t="s">
        <v>45</v>
      </c>
      <c r="G102" s="2">
        <v>45922</v>
      </c>
      <c r="H102" s="2">
        <v>45998</v>
      </c>
      <c r="I102" s="3">
        <v>64</v>
      </c>
      <c r="J102" s="4">
        <v>2.15</v>
      </c>
      <c r="K102" s="3">
        <v>79</v>
      </c>
      <c r="L102" s="3">
        <v>41</v>
      </c>
      <c r="M102" s="3">
        <v>40</v>
      </c>
      <c r="N102" t="s">
        <v>23</v>
      </c>
      <c r="O102" t="s">
        <v>516</v>
      </c>
      <c r="P102" t="s">
        <v>517</v>
      </c>
      <c r="Q102" t="s">
        <v>518</v>
      </c>
    </row>
    <row r="103" spans="1:17" ht="9.9499999999999993" customHeight="1">
      <c r="A103" t="s">
        <v>519</v>
      </c>
      <c r="B103" t="s">
        <v>520</v>
      </c>
      <c r="C103" t="s">
        <v>19</v>
      </c>
      <c r="D103" t="s">
        <v>59</v>
      </c>
      <c r="E103" t="s">
        <v>60</v>
      </c>
      <c r="F103" t="s">
        <v>84</v>
      </c>
      <c r="G103" s="2">
        <v>45956</v>
      </c>
      <c r="H103" s="2">
        <v>46091</v>
      </c>
      <c r="I103" s="3">
        <v>62</v>
      </c>
      <c r="J103" s="4">
        <v>2.56</v>
      </c>
      <c r="K103" s="3">
        <v>47</v>
      </c>
      <c r="L103" s="3">
        <v>71</v>
      </c>
      <c r="M103" s="3">
        <v>92</v>
      </c>
      <c r="N103" t="s">
        <v>23</v>
      </c>
      <c r="O103" t="s">
        <v>521</v>
      </c>
      <c r="P103" t="s">
        <v>522</v>
      </c>
      <c r="Q103" t="s">
        <v>523</v>
      </c>
    </row>
    <row r="104" spans="1:17" ht="9.9499999999999993" customHeight="1">
      <c r="A104" t="s">
        <v>524</v>
      </c>
      <c r="B104" t="s">
        <v>525</v>
      </c>
      <c r="C104" t="s">
        <v>19</v>
      </c>
      <c r="D104" t="s">
        <v>30</v>
      </c>
      <c r="E104" t="s">
        <v>31</v>
      </c>
      <c r="F104" t="s">
        <v>193</v>
      </c>
      <c r="G104" s="2">
        <v>45902</v>
      </c>
      <c r="H104" s="2">
        <v>45998</v>
      </c>
      <c r="I104" s="3">
        <v>74</v>
      </c>
      <c r="J104" s="4">
        <v>3.88</v>
      </c>
      <c r="K104" s="3">
        <v>89</v>
      </c>
      <c r="L104" s="3">
        <v>52</v>
      </c>
      <c r="M104" s="3">
        <v>62</v>
      </c>
      <c r="N104" t="s">
        <v>23</v>
      </c>
      <c r="O104" t="s">
        <v>526</v>
      </c>
      <c r="P104" t="s">
        <v>527</v>
      </c>
      <c r="Q104" t="s">
        <v>528</v>
      </c>
    </row>
    <row r="105" spans="1:17" ht="9.9499999999999993" customHeight="1">
      <c r="A105" t="s">
        <v>529</v>
      </c>
      <c r="B105" t="s">
        <v>530</v>
      </c>
      <c r="C105" t="s">
        <v>19</v>
      </c>
      <c r="D105" t="s">
        <v>20</v>
      </c>
      <c r="E105" t="s">
        <v>21</v>
      </c>
      <c r="F105" t="s">
        <v>22</v>
      </c>
      <c r="G105" s="2">
        <v>45998</v>
      </c>
      <c r="H105" s="2">
        <v>46136</v>
      </c>
      <c r="I105" s="3">
        <v>100</v>
      </c>
      <c r="J105" s="4">
        <v>2.31</v>
      </c>
      <c r="K105" s="3">
        <v>75</v>
      </c>
      <c r="L105" s="3">
        <v>80</v>
      </c>
      <c r="M105" s="3">
        <v>39</v>
      </c>
      <c r="N105" t="s">
        <v>23</v>
      </c>
      <c r="O105" t="s">
        <v>531</v>
      </c>
      <c r="P105" t="s">
        <v>532</v>
      </c>
      <c r="Q105" t="s">
        <v>533</v>
      </c>
    </row>
    <row r="106" spans="1:17" ht="9.9499999999999993" customHeight="1">
      <c r="A106" t="s">
        <v>534</v>
      </c>
      <c r="B106" t="s">
        <v>535</v>
      </c>
      <c r="C106" t="s">
        <v>536</v>
      </c>
      <c r="D106" t="s">
        <v>43</v>
      </c>
      <c r="E106" t="s">
        <v>44</v>
      </c>
      <c r="F106" t="s">
        <v>84</v>
      </c>
      <c r="G106" s="2">
        <v>46048</v>
      </c>
      <c r="H106" s="2">
        <v>46172</v>
      </c>
      <c r="I106" s="3">
        <v>91</v>
      </c>
      <c r="J106" s="4">
        <v>2.69</v>
      </c>
      <c r="K106" s="3">
        <v>80</v>
      </c>
      <c r="L106" s="3">
        <v>88</v>
      </c>
      <c r="M106" s="3">
        <v>67</v>
      </c>
      <c r="N106" t="s">
        <v>23</v>
      </c>
      <c r="O106" t="s">
        <v>537</v>
      </c>
      <c r="P106" t="s">
        <v>538</v>
      </c>
      <c r="Q106" t="s">
        <v>539</v>
      </c>
    </row>
    <row r="107" spans="1:17" ht="9.9499999999999993" customHeight="1">
      <c r="A107" t="s">
        <v>540</v>
      </c>
      <c r="B107" t="s">
        <v>541</v>
      </c>
      <c r="C107" t="s">
        <v>19</v>
      </c>
      <c r="D107" t="s">
        <v>71</v>
      </c>
      <c r="E107" t="s">
        <v>72</v>
      </c>
      <c r="F107" t="s">
        <v>84</v>
      </c>
      <c r="G107" s="2">
        <v>45923</v>
      </c>
      <c r="H107" s="2">
        <v>46048</v>
      </c>
      <c r="I107" s="3">
        <v>61</v>
      </c>
      <c r="J107" s="4">
        <v>2.34</v>
      </c>
      <c r="K107" s="3">
        <v>77</v>
      </c>
      <c r="L107" s="3">
        <v>86</v>
      </c>
      <c r="M107" s="3">
        <v>97</v>
      </c>
      <c r="N107" t="s">
        <v>23</v>
      </c>
      <c r="O107" t="s">
        <v>542</v>
      </c>
      <c r="P107" t="s">
        <v>543</v>
      </c>
      <c r="Q107" t="s">
        <v>544</v>
      </c>
    </row>
    <row r="108" spans="1:17" ht="9.9499999999999993" customHeight="1">
      <c r="A108" t="s">
        <v>545</v>
      </c>
      <c r="B108" t="s">
        <v>546</v>
      </c>
      <c r="C108" t="s">
        <v>19</v>
      </c>
      <c r="D108" t="s">
        <v>20</v>
      </c>
      <c r="E108" t="s">
        <v>21</v>
      </c>
      <c r="F108" t="s">
        <v>193</v>
      </c>
      <c r="G108" s="2">
        <v>46031</v>
      </c>
      <c r="H108" s="2">
        <v>46115</v>
      </c>
      <c r="I108" s="3">
        <v>88</v>
      </c>
      <c r="J108" s="4">
        <v>2.92</v>
      </c>
      <c r="K108" s="3">
        <v>97</v>
      </c>
      <c r="L108" s="3">
        <v>79</v>
      </c>
      <c r="M108" s="3">
        <v>74</v>
      </c>
      <c r="N108" t="s">
        <v>23</v>
      </c>
      <c r="O108" t="s">
        <v>547</v>
      </c>
      <c r="P108" t="s">
        <v>548</v>
      </c>
      <c r="Q108" t="s">
        <v>549</v>
      </c>
    </row>
    <row r="109" spans="1:17" ht="9.9499999999999993" customHeight="1">
      <c r="A109" t="s">
        <v>550</v>
      </c>
      <c r="B109" t="s">
        <v>414</v>
      </c>
      <c r="C109" t="s">
        <v>29</v>
      </c>
      <c r="D109" t="s">
        <v>20</v>
      </c>
      <c r="E109" t="s">
        <v>21</v>
      </c>
      <c r="F109" t="s">
        <v>551</v>
      </c>
      <c r="G109" s="2">
        <v>45951</v>
      </c>
      <c r="H109" s="2">
        <v>46043</v>
      </c>
      <c r="I109" s="3">
        <v>93</v>
      </c>
      <c r="J109" s="4">
        <v>2.14</v>
      </c>
      <c r="K109" s="3">
        <v>88</v>
      </c>
      <c r="L109" s="3">
        <v>44</v>
      </c>
      <c r="M109" s="3">
        <v>52</v>
      </c>
      <c r="N109" t="s">
        <v>78</v>
      </c>
      <c r="O109" t="s">
        <v>552</v>
      </c>
      <c r="P109" t="s">
        <v>553</v>
      </c>
      <c r="Q109" t="s">
        <v>554</v>
      </c>
    </row>
    <row r="110" spans="1:17" ht="9.9499999999999993" customHeight="1">
      <c r="A110" t="s">
        <v>555</v>
      </c>
      <c r="B110" t="s">
        <v>474</v>
      </c>
      <c r="C110" t="s">
        <v>19</v>
      </c>
      <c r="D110" t="s">
        <v>71</v>
      </c>
      <c r="E110" t="s">
        <v>72</v>
      </c>
      <c r="F110" t="s">
        <v>45</v>
      </c>
      <c r="G110" s="2">
        <v>46065</v>
      </c>
      <c r="H110" s="2">
        <v>46176</v>
      </c>
      <c r="I110" s="3">
        <v>95</v>
      </c>
      <c r="J110" s="4">
        <v>2.5</v>
      </c>
      <c r="K110" s="3">
        <v>68</v>
      </c>
      <c r="L110" s="3">
        <v>43</v>
      </c>
      <c r="M110" s="3">
        <v>90</v>
      </c>
      <c r="N110" t="s">
        <v>23</v>
      </c>
      <c r="O110" t="s">
        <v>556</v>
      </c>
      <c r="P110" t="s">
        <v>557</v>
      </c>
      <c r="Q110" t="s">
        <v>558</v>
      </c>
    </row>
    <row r="111" spans="1:17" ht="9.9499999999999993" customHeight="1">
      <c r="A111" t="s">
        <v>250</v>
      </c>
      <c r="B111" t="s">
        <v>251</v>
      </c>
      <c r="C111" t="s">
        <v>19</v>
      </c>
      <c r="D111" t="s">
        <v>51</v>
      </c>
      <c r="E111" t="s">
        <v>52</v>
      </c>
      <c r="F111" t="s">
        <v>84</v>
      </c>
      <c r="G111" s="2">
        <v>45998</v>
      </c>
      <c r="H111" s="2">
        <v>46103</v>
      </c>
      <c r="I111" s="3">
        <v>81</v>
      </c>
      <c r="J111" s="4">
        <v>2.35</v>
      </c>
      <c r="K111" s="3">
        <v>45</v>
      </c>
      <c r="L111" s="3">
        <v>95</v>
      </c>
      <c r="M111" s="3">
        <v>32</v>
      </c>
      <c r="N111" t="s">
        <v>23</v>
      </c>
      <c r="O111" t="s">
        <v>253</v>
      </c>
      <c r="P111" t="s">
        <v>254</v>
      </c>
      <c r="Q111" t="s">
        <v>255</v>
      </c>
    </row>
    <row r="112" spans="1:17" ht="9.9499999999999993" customHeight="1">
      <c r="A112" t="s">
        <v>559</v>
      </c>
      <c r="B112" t="s">
        <v>560</v>
      </c>
      <c r="C112" t="s">
        <v>19</v>
      </c>
      <c r="D112" t="s">
        <v>59</v>
      </c>
      <c r="E112" t="s">
        <v>60</v>
      </c>
      <c r="F112" t="s">
        <v>45</v>
      </c>
      <c r="G112" s="2">
        <v>46042</v>
      </c>
      <c r="H112" s="2">
        <v>46117</v>
      </c>
      <c r="I112" s="3">
        <v>83</v>
      </c>
      <c r="J112" s="4">
        <v>3.8</v>
      </c>
      <c r="K112" s="3">
        <v>76</v>
      </c>
      <c r="L112" s="3">
        <v>59</v>
      </c>
      <c r="M112" s="3">
        <v>71</v>
      </c>
      <c r="N112" t="s">
        <v>23</v>
      </c>
      <c r="O112" t="s">
        <v>561</v>
      </c>
      <c r="P112" t="s">
        <v>562</v>
      </c>
      <c r="Q112" t="s">
        <v>563</v>
      </c>
    </row>
    <row r="113" spans="1:17" ht="9.9499999999999993" customHeight="1">
      <c r="A113" t="s">
        <v>564</v>
      </c>
      <c r="B113" t="s">
        <v>450</v>
      </c>
      <c r="C113" t="s">
        <v>19</v>
      </c>
      <c r="D113" t="s">
        <v>43</v>
      </c>
      <c r="E113" t="s">
        <v>44</v>
      </c>
      <c r="G113" s="2">
        <v>45922</v>
      </c>
      <c r="H113" s="2">
        <v>46056</v>
      </c>
      <c r="I113" s="3">
        <v>96</v>
      </c>
      <c r="J113" s="4">
        <v>2.1800000000000002</v>
      </c>
      <c r="K113" s="3">
        <v>55</v>
      </c>
      <c r="L113" s="3">
        <v>91</v>
      </c>
      <c r="M113" s="3">
        <v>86</v>
      </c>
      <c r="N113" t="s">
        <v>23</v>
      </c>
      <c r="O113" t="s">
        <v>565</v>
      </c>
      <c r="P113" t="s">
        <v>566</v>
      </c>
      <c r="Q113" t="s">
        <v>567</v>
      </c>
    </row>
    <row r="114" spans="1:17" ht="9.9499999999999993" customHeight="1">
      <c r="A114" t="s">
        <v>568</v>
      </c>
      <c r="B114" t="s">
        <v>569</v>
      </c>
      <c r="C114" t="s">
        <v>19</v>
      </c>
      <c r="D114" t="s">
        <v>51</v>
      </c>
      <c r="E114" t="s">
        <v>52</v>
      </c>
      <c r="F114" t="s">
        <v>53</v>
      </c>
      <c r="G114" s="2">
        <v>46005</v>
      </c>
      <c r="H114" s="2">
        <v>46118</v>
      </c>
      <c r="I114" s="3">
        <v>98</v>
      </c>
      <c r="J114" s="4">
        <v>3.12</v>
      </c>
      <c r="K114" s="3">
        <v>90</v>
      </c>
      <c r="L114" s="3">
        <v>77</v>
      </c>
      <c r="M114" s="3">
        <v>38</v>
      </c>
      <c r="N114" t="s">
        <v>23</v>
      </c>
      <c r="O114" t="s">
        <v>570</v>
      </c>
      <c r="P114" t="s">
        <v>571</v>
      </c>
      <c r="Q114" t="s">
        <v>572</v>
      </c>
    </row>
    <row r="115" spans="1:17" ht="9.9499999999999993" customHeight="1">
      <c r="A115" t="s">
        <v>573</v>
      </c>
      <c r="B115" t="s">
        <v>574</v>
      </c>
      <c r="C115" t="s">
        <v>19</v>
      </c>
      <c r="D115" t="s">
        <v>71</v>
      </c>
      <c r="E115" t="s">
        <v>72</v>
      </c>
      <c r="F115" t="s">
        <v>111</v>
      </c>
      <c r="G115" s="2">
        <v>46055</v>
      </c>
      <c r="H115" s="2">
        <v>46144</v>
      </c>
      <c r="I115" s="3">
        <v>76</v>
      </c>
      <c r="J115" s="4">
        <v>1.98</v>
      </c>
      <c r="K115" s="3">
        <v>82</v>
      </c>
      <c r="L115" s="3">
        <v>53</v>
      </c>
      <c r="M115" s="3">
        <v>74</v>
      </c>
      <c r="N115" t="s">
        <v>23</v>
      </c>
      <c r="O115" t="s">
        <v>575</v>
      </c>
      <c r="P115" t="s">
        <v>576</v>
      </c>
      <c r="Q115" t="s">
        <v>577</v>
      </c>
    </row>
    <row r="116" spans="1:17" ht="9.9499999999999993" customHeight="1">
      <c r="A116" t="s">
        <v>578</v>
      </c>
      <c r="B116" t="s">
        <v>388</v>
      </c>
      <c r="C116" t="s">
        <v>29</v>
      </c>
      <c r="D116" t="s">
        <v>51</v>
      </c>
      <c r="E116" t="s">
        <v>52</v>
      </c>
      <c r="F116" t="s">
        <v>45</v>
      </c>
      <c r="G116" s="2">
        <v>45997</v>
      </c>
      <c r="H116" s="2">
        <v>46109</v>
      </c>
      <c r="I116" s="3">
        <v>63</v>
      </c>
      <c r="J116" s="4">
        <v>3.27</v>
      </c>
      <c r="K116" s="3">
        <v>93</v>
      </c>
      <c r="L116" s="3">
        <v>46</v>
      </c>
      <c r="M116" s="3">
        <v>84</v>
      </c>
      <c r="N116" t="s">
        <v>23</v>
      </c>
      <c r="O116" t="s">
        <v>579</v>
      </c>
      <c r="P116" t="s">
        <v>580</v>
      </c>
      <c r="Q116" t="s">
        <v>581</v>
      </c>
    </row>
    <row r="117" spans="1:17" ht="9.9499999999999993" customHeight="1">
      <c r="A117" t="s">
        <v>582</v>
      </c>
      <c r="B117" t="s">
        <v>515</v>
      </c>
      <c r="C117" t="s">
        <v>29</v>
      </c>
      <c r="D117" t="s">
        <v>20</v>
      </c>
      <c r="E117" t="s">
        <v>21</v>
      </c>
      <c r="F117" t="s">
        <v>84</v>
      </c>
      <c r="G117" s="2">
        <v>46025</v>
      </c>
      <c r="H117" s="2">
        <v>46119</v>
      </c>
      <c r="I117" s="3">
        <v>69</v>
      </c>
      <c r="J117" s="4">
        <v>4</v>
      </c>
      <c r="K117" s="3">
        <v>49</v>
      </c>
      <c r="L117" s="3">
        <v>44</v>
      </c>
      <c r="M117" s="3">
        <v>67</v>
      </c>
      <c r="N117" t="s">
        <v>32</v>
      </c>
      <c r="O117" t="s">
        <v>583</v>
      </c>
      <c r="P117" t="s">
        <v>584</v>
      </c>
      <c r="Q117" t="s">
        <v>585</v>
      </c>
    </row>
    <row r="118" spans="1:17" ht="9.9499999999999993" customHeight="1">
      <c r="A118" t="s">
        <v>586</v>
      </c>
      <c r="B118" t="s">
        <v>587</v>
      </c>
      <c r="C118" t="s">
        <v>29</v>
      </c>
      <c r="D118" t="s">
        <v>71</v>
      </c>
      <c r="E118" t="s">
        <v>72</v>
      </c>
      <c r="F118" t="s">
        <v>84</v>
      </c>
      <c r="G118" s="2">
        <v>46059</v>
      </c>
      <c r="H118" s="2">
        <v>46145</v>
      </c>
      <c r="I118" s="3">
        <v>93</v>
      </c>
      <c r="J118" s="4">
        <v>2.63</v>
      </c>
      <c r="K118" s="3">
        <v>50</v>
      </c>
      <c r="L118" s="3">
        <v>58</v>
      </c>
      <c r="M118" s="3">
        <v>51</v>
      </c>
      <c r="N118" t="s">
        <v>23</v>
      </c>
      <c r="O118" t="s">
        <v>588</v>
      </c>
      <c r="P118" t="s">
        <v>589</v>
      </c>
      <c r="Q118" t="s">
        <v>590</v>
      </c>
    </row>
    <row r="119" spans="1:17" ht="9.9499999999999993" customHeight="1">
      <c r="A119" t="s">
        <v>591</v>
      </c>
      <c r="B119" t="s">
        <v>592</v>
      </c>
      <c r="C119" t="s">
        <v>29</v>
      </c>
      <c r="D119" t="s">
        <v>59</v>
      </c>
      <c r="E119" t="s">
        <v>60</v>
      </c>
      <c r="F119" t="s">
        <v>45</v>
      </c>
      <c r="G119" s="2">
        <v>45973</v>
      </c>
      <c r="H119" s="2">
        <v>46100</v>
      </c>
      <c r="I119" s="3">
        <v>69</v>
      </c>
      <c r="J119" s="4">
        <v>2.97</v>
      </c>
      <c r="K119" s="3">
        <v>59</v>
      </c>
      <c r="L119" s="3">
        <v>95</v>
      </c>
      <c r="M119" s="3">
        <v>54</v>
      </c>
      <c r="N119" t="s">
        <v>23</v>
      </c>
      <c r="O119" t="s">
        <v>593</v>
      </c>
      <c r="P119" t="s">
        <v>594</v>
      </c>
      <c r="Q119" t="s">
        <v>595</v>
      </c>
    </row>
    <row r="120" spans="1:17" ht="9.9499999999999993" customHeight="1">
      <c r="A120" t="s">
        <v>596</v>
      </c>
      <c r="B120" t="s">
        <v>460</v>
      </c>
      <c r="C120" t="s">
        <v>19</v>
      </c>
      <c r="D120" t="s">
        <v>59</v>
      </c>
      <c r="E120" t="s">
        <v>60</v>
      </c>
      <c r="F120" t="s">
        <v>45</v>
      </c>
      <c r="G120" s="2">
        <v>46036</v>
      </c>
      <c r="H120" s="2">
        <v>46159</v>
      </c>
      <c r="I120" s="3">
        <v>65</v>
      </c>
      <c r="J120" s="4">
        <v>3.6</v>
      </c>
      <c r="K120" s="3">
        <v>91</v>
      </c>
      <c r="L120" s="3">
        <v>52</v>
      </c>
      <c r="M120" s="3">
        <v>62</v>
      </c>
      <c r="N120" t="s">
        <v>23</v>
      </c>
      <c r="O120" t="s">
        <v>597</v>
      </c>
      <c r="P120" t="s">
        <v>598</v>
      </c>
      <c r="Q120" t="s">
        <v>599</v>
      </c>
    </row>
    <row r="121" spans="1:17" ht="9.9499999999999993" customHeight="1">
      <c r="A121" t="s">
        <v>600</v>
      </c>
      <c r="B121" t="s">
        <v>601</v>
      </c>
      <c r="C121" t="s">
        <v>29</v>
      </c>
      <c r="D121" t="s">
        <v>71</v>
      </c>
      <c r="E121" t="s">
        <v>72</v>
      </c>
      <c r="F121" t="s">
        <v>45</v>
      </c>
      <c r="G121" s="2">
        <v>45932</v>
      </c>
      <c r="H121" s="2">
        <v>46038</v>
      </c>
      <c r="I121" s="3">
        <v>60</v>
      </c>
      <c r="J121" s="4">
        <v>3.48</v>
      </c>
      <c r="K121" s="3">
        <v>57</v>
      </c>
      <c r="L121" s="3">
        <v>92</v>
      </c>
      <c r="M121" s="3">
        <v>95</v>
      </c>
      <c r="N121" t="s">
        <v>23</v>
      </c>
      <c r="O121" t="s">
        <v>602</v>
      </c>
      <c r="P121" t="s">
        <v>603</v>
      </c>
      <c r="Q121" t="s">
        <v>604</v>
      </c>
    </row>
    <row r="122" spans="1:17" ht="9.9499999999999993" customHeight="1">
      <c r="A122" t="s">
        <v>605</v>
      </c>
      <c r="B122" t="s">
        <v>318</v>
      </c>
      <c r="C122" t="s">
        <v>19</v>
      </c>
      <c r="D122" t="s">
        <v>51</v>
      </c>
      <c r="E122" t="s">
        <v>52</v>
      </c>
      <c r="F122" t="s">
        <v>193</v>
      </c>
      <c r="G122" s="2">
        <v>46007</v>
      </c>
      <c r="H122" s="2">
        <v>46083</v>
      </c>
      <c r="I122" s="3">
        <v>80</v>
      </c>
      <c r="J122" s="4">
        <v>2.9</v>
      </c>
      <c r="K122" s="3">
        <v>55</v>
      </c>
      <c r="L122" s="3">
        <v>84</v>
      </c>
      <c r="M122" s="3">
        <v>40</v>
      </c>
      <c r="N122" t="s">
        <v>23</v>
      </c>
      <c r="O122" t="s">
        <v>606</v>
      </c>
      <c r="P122" t="s">
        <v>607</v>
      </c>
      <c r="Q122" t="s">
        <v>608</v>
      </c>
    </row>
    <row r="123" spans="1:17" ht="9.9499999999999993" customHeight="1">
      <c r="A123" t="s">
        <v>609</v>
      </c>
      <c r="B123" t="s">
        <v>358</v>
      </c>
      <c r="C123" t="s">
        <v>19</v>
      </c>
      <c r="D123" t="s">
        <v>20</v>
      </c>
      <c r="E123" t="s">
        <v>21</v>
      </c>
      <c r="F123" t="s">
        <v>22</v>
      </c>
      <c r="G123" s="2">
        <v>45910</v>
      </c>
      <c r="H123" s="2">
        <v>46016</v>
      </c>
      <c r="I123" s="3"/>
      <c r="J123" s="4">
        <v>3.33</v>
      </c>
      <c r="K123" s="3">
        <v>48</v>
      </c>
      <c r="L123" s="3">
        <v>95</v>
      </c>
      <c r="M123" s="3">
        <v>87</v>
      </c>
      <c r="N123" t="s">
        <v>23</v>
      </c>
      <c r="O123" t="s">
        <v>610</v>
      </c>
      <c r="P123" t="s">
        <v>611</v>
      </c>
      <c r="Q123" t="s">
        <v>612</v>
      </c>
    </row>
    <row r="124" spans="1:17" ht="9.9499999999999993" customHeight="1">
      <c r="A124" t="s">
        <v>613</v>
      </c>
      <c r="B124" t="s">
        <v>614</v>
      </c>
      <c r="C124" t="s">
        <v>29</v>
      </c>
      <c r="D124" t="s">
        <v>20</v>
      </c>
      <c r="E124" t="s">
        <v>21</v>
      </c>
      <c r="F124" t="s">
        <v>45</v>
      </c>
      <c r="G124" s="2">
        <v>46056</v>
      </c>
      <c r="H124" s="2">
        <v>46193</v>
      </c>
      <c r="I124" s="3">
        <v>82</v>
      </c>
      <c r="J124" s="4">
        <v>2.04</v>
      </c>
      <c r="K124" s="3">
        <v>58</v>
      </c>
      <c r="L124" s="3">
        <v>65</v>
      </c>
      <c r="M124" s="3">
        <v>68</v>
      </c>
      <c r="N124" t="s">
        <v>23</v>
      </c>
      <c r="O124" t="s">
        <v>615</v>
      </c>
      <c r="P124" t="s">
        <v>616</v>
      </c>
      <c r="Q124" t="s">
        <v>617</v>
      </c>
    </row>
    <row r="125" spans="1:17" ht="9.9499999999999993" customHeight="1">
      <c r="A125" t="s">
        <v>618</v>
      </c>
      <c r="B125" t="s">
        <v>619</v>
      </c>
      <c r="C125" t="s">
        <v>19</v>
      </c>
      <c r="D125" t="s">
        <v>43</v>
      </c>
      <c r="E125" t="s">
        <v>44</v>
      </c>
      <c r="F125" t="s">
        <v>193</v>
      </c>
      <c r="G125" s="2">
        <v>46028</v>
      </c>
      <c r="H125" s="2">
        <v>46166</v>
      </c>
      <c r="I125" s="3">
        <v>56</v>
      </c>
      <c r="J125" s="4">
        <v>3.19</v>
      </c>
      <c r="K125" s="3">
        <v>76</v>
      </c>
      <c r="L125" s="3">
        <v>65</v>
      </c>
      <c r="M125" s="3">
        <v>48</v>
      </c>
      <c r="N125" t="s">
        <v>23</v>
      </c>
      <c r="O125" t="s">
        <v>620</v>
      </c>
      <c r="P125" t="s">
        <v>621</v>
      </c>
      <c r="Q125" t="s">
        <v>622</v>
      </c>
    </row>
    <row r="126" spans="1:17" ht="9.9499999999999993" customHeight="1">
      <c r="A126" t="s">
        <v>623</v>
      </c>
      <c r="B126" t="s">
        <v>624</v>
      </c>
      <c r="C126" t="s">
        <v>29</v>
      </c>
      <c r="D126" t="s">
        <v>30</v>
      </c>
      <c r="E126" t="s">
        <v>31</v>
      </c>
      <c r="F126" t="s">
        <v>53</v>
      </c>
      <c r="G126" s="2">
        <v>45948</v>
      </c>
      <c r="H126" s="2">
        <v>46028</v>
      </c>
      <c r="I126" s="3">
        <v>88</v>
      </c>
      <c r="J126" s="4">
        <v>3.94</v>
      </c>
      <c r="K126" s="3">
        <v>44</v>
      </c>
      <c r="L126" s="3">
        <v>99</v>
      </c>
      <c r="M126" s="3">
        <v>94</v>
      </c>
      <c r="N126" t="s">
        <v>23</v>
      </c>
      <c r="O126" t="s">
        <v>625</v>
      </c>
      <c r="P126" t="s">
        <v>626</v>
      </c>
      <c r="Q126" t="s">
        <v>627</v>
      </c>
    </row>
    <row r="127" spans="1:17" ht="9.9499999999999993" customHeight="1">
      <c r="A127" t="s">
        <v>628</v>
      </c>
      <c r="B127" t="s">
        <v>629</v>
      </c>
      <c r="C127" t="s">
        <v>19</v>
      </c>
      <c r="D127" t="s">
        <v>51</v>
      </c>
      <c r="E127" t="s">
        <v>52</v>
      </c>
      <c r="F127" t="s">
        <v>84</v>
      </c>
      <c r="G127" s="2">
        <v>45905</v>
      </c>
      <c r="H127" s="2">
        <v>46020</v>
      </c>
      <c r="I127" s="3">
        <v>59</v>
      </c>
      <c r="J127" s="4">
        <v>2.56</v>
      </c>
      <c r="K127" s="3">
        <v>86</v>
      </c>
      <c r="L127" s="3">
        <v>48</v>
      </c>
      <c r="M127" s="3">
        <v>72</v>
      </c>
      <c r="N127" t="s">
        <v>23</v>
      </c>
      <c r="O127" t="s">
        <v>630</v>
      </c>
      <c r="P127" t="s">
        <v>631</v>
      </c>
      <c r="Q127" t="s">
        <v>632</v>
      </c>
    </row>
    <row r="128" spans="1:17" ht="9.9499999999999993" customHeight="1">
      <c r="A128" t="s">
        <v>633</v>
      </c>
      <c r="B128" t="s">
        <v>634</v>
      </c>
      <c r="C128" t="s">
        <v>29</v>
      </c>
      <c r="D128" t="s">
        <v>71</v>
      </c>
      <c r="E128" t="s">
        <v>72</v>
      </c>
      <c r="F128" t="s">
        <v>53</v>
      </c>
      <c r="G128" s="2">
        <v>46079</v>
      </c>
      <c r="H128" s="2">
        <v>46210</v>
      </c>
      <c r="I128" s="3">
        <v>95</v>
      </c>
      <c r="J128" s="4">
        <v>2.2000000000000002</v>
      </c>
      <c r="K128" s="3">
        <v>48</v>
      </c>
      <c r="L128" s="3">
        <v>43</v>
      </c>
      <c r="M128" s="3">
        <v>88</v>
      </c>
      <c r="N128" t="s">
        <v>23</v>
      </c>
      <c r="O128" t="s">
        <v>635</v>
      </c>
      <c r="P128" t="s">
        <v>636</v>
      </c>
      <c r="Q128" t="s">
        <v>637</v>
      </c>
    </row>
    <row r="129" spans="1:17" ht="9.9499999999999993" customHeight="1">
      <c r="A129" t="s">
        <v>638</v>
      </c>
      <c r="B129" t="s">
        <v>639</v>
      </c>
      <c r="C129" t="s">
        <v>29</v>
      </c>
      <c r="D129" t="s">
        <v>51</v>
      </c>
      <c r="E129" t="s">
        <v>52</v>
      </c>
      <c r="F129" t="s">
        <v>84</v>
      </c>
      <c r="G129" s="2">
        <v>46032</v>
      </c>
      <c r="H129" s="2">
        <v>46152</v>
      </c>
      <c r="I129" s="3">
        <v>115</v>
      </c>
      <c r="J129" s="4">
        <v>2.84</v>
      </c>
      <c r="K129" s="3">
        <v>42</v>
      </c>
      <c r="L129" s="3">
        <v>59</v>
      </c>
      <c r="M129" s="3">
        <v>66</v>
      </c>
      <c r="N129" t="s">
        <v>23</v>
      </c>
      <c r="O129" t="s">
        <v>640</v>
      </c>
      <c r="P129" t="s">
        <v>641</v>
      </c>
      <c r="Q129" t="s">
        <v>642</v>
      </c>
    </row>
    <row r="130" spans="1:17" ht="9.9499999999999993" customHeight="1">
      <c r="A130" t="s">
        <v>643</v>
      </c>
      <c r="B130" t="s">
        <v>644</v>
      </c>
      <c r="C130" t="s">
        <v>29</v>
      </c>
      <c r="D130" t="s">
        <v>51</v>
      </c>
      <c r="E130" t="s">
        <v>52</v>
      </c>
      <c r="F130" t="s">
        <v>53</v>
      </c>
      <c r="G130" s="2">
        <v>46003</v>
      </c>
      <c r="H130" s="2">
        <v>46129</v>
      </c>
      <c r="I130" s="3">
        <v>79</v>
      </c>
      <c r="J130" s="4">
        <v>2.5499999999999998</v>
      </c>
      <c r="K130" s="3">
        <v>51</v>
      </c>
      <c r="L130" s="3">
        <v>98</v>
      </c>
      <c r="M130" s="3">
        <v>93</v>
      </c>
      <c r="N130" t="s">
        <v>23</v>
      </c>
      <c r="O130" t="s">
        <v>645</v>
      </c>
      <c r="P130" t="s">
        <v>646</v>
      </c>
      <c r="Q130" t="s">
        <v>647</v>
      </c>
    </row>
    <row r="131" spans="1:17" ht="9.9499999999999993" customHeight="1">
      <c r="A131" t="s">
        <v>648</v>
      </c>
      <c r="B131" t="s">
        <v>649</v>
      </c>
      <c r="C131" t="s">
        <v>19</v>
      </c>
      <c r="D131" t="s">
        <v>43</v>
      </c>
      <c r="E131" t="s">
        <v>44</v>
      </c>
      <c r="F131" t="s">
        <v>53</v>
      </c>
      <c r="G131" s="2">
        <v>46055</v>
      </c>
      <c r="H131" s="2">
        <v>46148</v>
      </c>
      <c r="I131" s="3">
        <v>89</v>
      </c>
      <c r="J131" s="4">
        <v>2.4500000000000002</v>
      </c>
      <c r="K131" s="3">
        <v>46</v>
      </c>
      <c r="L131" s="3">
        <v>45</v>
      </c>
      <c r="M131" s="3">
        <v>71</v>
      </c>
      <c r="N131" t="s">
        <v>23</v>
      </c>
      <c r="O131" t="s">
        <v>650</v>
      </c>
      <c r="P131" t="s">
        <v>651</v>
      </c>
      <c r="Q131" t="s">
        <v>652</v>
      </c>
    </row>
    <row r="132" spans="1:17" ht="9.9499999999999993" customHeight="1">
      <c r="A132" t="s">
        <v>653</v>
      </c>
      <c r="B132" t="s">
        <v>654</v>
      </c>
      <c r="C132" t="s">
        <v>19</v>
      </c>
      <c r="D132" t="s">
        <v>20</v>
      </c>
      <c r="E132" t="s">
        <v>21</v>
      </c>
      <c r="F132" t="s">
        <v>111</v>
      </c>
      <c r="G132" s="2">
        <v>46014</v>
      </c>
      <c r="H132" s="2">
        <v>46128</v>
      </c>
      <c r="I132" s="3">
        <v>83</v>
      </c>
      <c r="J132" s="4">
        <v>1.89</v>
      </c>
      <c r="K132" s="3">
        <v>95</v>
      </c>
      <c r="L132" s="3">
        <v>80</v>
      </c>
      <c r="M132" s="3">
        <v>85</v>
      </c>
      <c r="N132" t="s">
        <v>23</v>
      </c>
      <c r="O132" t="s">
        <v>655</v>
      </c>
      <c r="P132" t="s">
        <v>656</v>
      </c>
      <c r="Q132" t="s">
        <v>657</v>
      </c>
    </row>
    <row r="133" spans="1:17" ht="9.9499999999999993" customHeight="1">
      <c r="A133" t="s">
        <v>658</v>
      </c>
      <c r="B133" t="s">
        <v>659</v>
      </c>
      <c r="C133" t="s">
        <v>19</v>
      </c>
      <c r="D133" t="s">
        <v>30</v>
      </c>
      <c r="E133" t="s">
        <v>31</v>
      </c>
      <c r="F133" t="s">
        <v>111</v>
      </c>
      <c r="G133" s="2">
        <v>46074</v>
      </c>
      <c r="H133" s="2">
        <v>46164</v>
      </c>
      <c r="I133" s="3">
        <v>56</v>
      </c>
      <c r="J133" s="4"/>
      <c r="K133" s="3">
        <v>78</v>
      </c>
      <c r="L133" s="3">
        <v>91</v>
      </c>
      <c r="M133" s="3">
        <v>34</v>
      </c>
      <c r="N133" t="s">
        <v>23</v>
      </c>
      <c r="O133" t="s">
        <v>660</v>
      </c>
      <c r="P133" t="s">
        <v>661</v>
      </c>
      <c r="Q133" t="s">
        <v>662</v>
      </c>
    </row>
    <row r="134" spans="1:17" ht="9.9499999999999993" customHeight="1">
      <c r="A134" t="s">
        <v>663</v>
      </c>
      <c r="B134" t="s">
        <v>664</v>
      </c>
      <c r="C134" t="s">
        <v>19</v>
      </c>
      <c r="D134" t="s">
        <v>30</v>
      </c>
      <c r="E134" t="s">
        <v>31</v>
      </c>
      <c r="F134" t="s">
        <v>193</v>
      </c>
      <c r="G134" s="2">
        <v>46055</v>
      </c>
      <c r="H134" s="2">
        <v>46144</v>
      </c>
      <c r="I134" s="3">
        <v>98</v>
      </c>
      <c r="J134" s="4">
        <v>2.79</v>
      </c>
      <c r="K134" s="3">
        <v>63</v>
      </c>
      <c r="L134" s="3">
        <v>82</v>
      </c>
      <c r="M134" s="3">
        <v>86</v>
      </c>
      <c r="N134" t="s">
        <v>32</v>
      </c>
      <c r="O134" t="s">
        <v>665</v>
      </c>
      <c r="P134" t="s">
        <v>666</v>
      </c>
      <c r="Q134" t="s">
        <v>667</v>
      </c>
    </row>
    <row r="135" spans="1:17" ht="9.9499999999999993" customHeight="1">
      <c r="A135" t="s">
        <v>668</v>
      </c>
      <c r="B135" t="s">
        <v>669</v>
      </c>
      <c r="C135" t="s">
        <v>19</v>
      </c>
      <c r="D135" t="s">
        <v>59</v>
      </c>
      <c r="E135" t="s">
        <v>60</v>
      </c>
      <c r="F135" t="s">
        <v>84</v>
      </c>
      <c r="G135" s="2">
        <v>46067</v>
      </c>
      <c r="H135" s="2">
        <v>46172</v>
      </c>
      <c r="I135" s="3">
        <v>70</v>
      </c>
      <c r="J135" s="4">
        <v>3.91</v>
      </c>
      <c r="K135" s="3">
        <v>41</v>
      </c>
      <c r="L135" s="3">
        <v>58</v>
      </c>
      <c r="M135" s="3">
        <v>93</v>
      </c>
      <c r="N135" t="s">
        <v>23</v>
      </c>
      <c r="O135" t="s">
        <v>670</v>
      </c>
      <c r="P135" t="s">
        <v>671</v>
      </c>
      <c r="Q135" t="s">
        <v>672</v>
      </c>
    </row>
    <row r="136" spans="1:17" ht="9.9499999999999993" customHeight="1">
      <c r="A136" t="s">
        <v>673</v>
      </c>
      <c r="B136" t="s">
        <v>187</v>
      </c>
      <c r="C136" t="s">
        <v>674</v>
      </c>
      <c r="D136" t="s">
        <v>71</v>
      </c>
      <c r="E136" t="s">
        <v>72</v>
      </c>
      <c r="F136" t="s">
        <v>53</v>
      </c>
      <c r="G136" s="2">
        <v>45955</v>
      </c>
      <c r="H136" s="2">
        <v>46061</v>
      </c>
      <c r="I136" s="3">
        <v>99</v>
      </c>
      <c r="J136" s="4">
        <v>3.82</v>
      </c>
      <c r="K136" s="3">
        <v>71</v>
      </c>
      <c r="L136" s="3">
        <v>60</v>
      </c>
      <c r="M136" s="3">
        <v>45</v>
      </c>
      <c r="N136" t="s">
        <v>23</v>
      </c>
      <c r="O136" t="s">
        <v>675</v>
      </c>
      <c r="P136" t="s">
        <v>676</v>
      </c>
      <c r="Q136" t="s">
        <v>677</v>
      </c>
    </row>
    <row r="137" spans="1:17" ht="9.9499999999999993" customHeight="1">
      <c r="A137" t="s">
        <v>678</v>
      </c>
      <c r="B137" t="s">
        <v>679</v>
      </c>
      <c r="C137" t="s">
        <v>19</v>
      </c>
      <c r="D137" t="s">
        <v>43</v>
      </c>
      <c r="E137" t="s">
        <v>44</v>
      </c>
      <c r="F137" t="s">
        <v>111</v>
      </c>
      <c r="G137" s="2">
        <v>45982</v>
      </c>
      <c r="H137" s="2">
        <v>46096</v>
      </c>
      <c r="I137" s="3">
        <v>100</v>
      </c>
      <c r="J137" s="4">
        <v>1.94</v>
      </c>
      <c r="K137" s="3">
        <v>74</v>
      </c>
      <c r="L137" s="3">
        <v>72</v>
      </c>
      <c r="M137" s="3">
        <v>68</v>
      </c>
      <c r="N137" t="s">
        <v>78</v>
      </c>
      <c r="O137" t="s">
        <v>680</v>
      </c>
      <c r="P137" t="s">
        <v>681</v>
      </c>
      <c r="Q137" t="s">
        <v>682</v>
      </c>
    </row>
    <row r="138" spans="1:17" ht="9.9499999999999993" customHeight="1">
      <c r="A138" t="s">
        <v>683</v>
      </c>
      <c r="B138" t="s">
        <v>569</v>
      </c>
      <c r="C138" t="s">
        <v>29</v>
      </c>
      <c r="D138" t="s">
        <v>43</v>
      </c>
      <c r="E138" t="s">
        <v>44</v>
      </c>
      <c r="F138" t="s">
        <v>22</v>
      </c>
      <c r="G138" s="2">
        <v>45936</v>
      </c>
      <c r="H138" s="2">
        <v>46036</v>
      </c>
      <c r="I138" s="3">
        <v>86</v>
      </c>
      <c r="J138" s="4">
        <v>1.86</v>
      </c>
      <c r="K138" s="3">
        <v>75</v>
      </c>
      <c r="L138" s="3">
        <v>82</v>
      </c>
      <c r="M138" s="3">
        <v>89</v>
      </c>
      <c r="N138" t="s">
        <v>32</v>
      </c>
      <c r="O138" t="s">
        <v>684</v>
      </c>
      <c r="P138" t="s">
        <v>685</v>
      </c>
      <c r="Q138" t="s">
        <v>686</v>
      </c>
    </row>
    <row r="139" spans="1:17" ht="9.9499999999999993" customHeight="1">
      <c r="A139" t="s">
        <v>687</v>
      </c>
      <c r="B139" t="s">
        <v>688</v>
      </c>
      <c r="C139" t="s">
        <v>29</v>
      </c>
      <c r="D139" t="s">
        <v>43</v>
      </c>
      <c r="E139" t="s">
        <v>44</v>
      </c>
      <c r="F139" t="s">
        <v>689</v>
      </c>
      <c r="G139" s="2">
        <v>46002</v>
      </c>
      <c r="H139" s="2">
        <v>46133</v>
      </c>
      <c r="I139" s="3">
        <v>88</v>
      </c>
      <c r="J139" s="4">
        <v>4.8</v>
      </c>
      <c r="K139" s="3">
        <v>66</v>
      </c>
      <c r="L139" s="3">
        <v>44</v>
      </c>
      <c r="M139" s="3">
        <v>46</v>
      </c>
      <c r="N139" t="s">
        <v>78</v>
      </c>
      <c r="O139" t="s">
        <v>690</v>
      </c>
      <c r="P139" t="s">
        <v>691</v>
      </c>
      <c r="Q139" t="s">
        <v>692</v>
      </c>
    </row>
    <row r="140" spans="1:17" ht="9.9499999999999993" customHeight="1">
      <c r="A140" t="s">
        <v>693</v>
      </c>
      <c r="B140" t="s">
        <v>420</v>
      </c>
      <c r="C140" t="s">
        <v>19</v>
      </c>
      <c r="D140" t="s">
        <v>71</v>
      </c>
      <c r="E140" t="s">
        <v>72</v>
      </c>
      <c r="F140" t="s">
        <v>45</v>
      </c>
      <c r="G140" s="2">
        <v>45989</v>
      </c>
      <c r="H140" s="2">
        <v>46075</v>
      </c>
      <c r="I140" s="3">
        <v>90</v>
      </c>
      <c r="J140" s="4">
        <v>3.21</v>
      </c>
      <c r="K140" s="3">
        <v>51</v>
      </c>
      <c r="L140" s="3">
        <v>51</v>
      </c>
      <c r="M140" s="3">
        <v>85</v>
      </c>
      <c r="N140" t="s">
        <v>23</v>
      </c>
      <c r="O140" t="s">
        <v>694</v>
      </c>
      <c r="P140" t="s">
        <v>695</v>
      </c>
      <c r="Q140" t="s">
        <v>696</v>
      </c>
    </row>
    <row r="141" spans="1:17" ht="9.9499999999999993" customHeight="1">
      <c r="A141" t="s">
        <v>312</v>
      </c>
      <c r="B141" t="s">
        <v>313</v>
      </c>
      <c r="C141" t="s">
        <v>29</v>
      </c>
      <c r="D141" t="s">
        <v>43</v>
      </c>
      <c r="E141" t="s">
        <v>44</v>
      </c>
      <c r="F141" t="s">
        <v>53</v>
      </c>
      <c r="G141" s="2">
        <v>46026</v>
      </c>
      <c r="H141" s="2">
        <v>46105</v>
      </c>
      <c r="I141" s="3">
        <v>91</v>
      </c>
      <c r="J141" s="4">
        <v>3.18</v>
      </c>
      <c r="K141" s="3">
        <v>43</v>
      </c>
      <c r="L141" s="3">
        <v>54</v>
      </c>
      <c r="M141" s="3">
        <v>49</v>
      </c>
      <c r="N141" t="s">
        <v>32</v>
      </c>
      <c r="O141" t="s">
        <v>314</v>
      </c>
      <c r="P141" t="s">
        <v>315</v>
      </c>
      <c r="Q141" t="s">
        <v>316</v>
      </c>
    </row>
    <row r="142" spans="1:17" ht="9.9499999999999993" customHeight="1">
      <c r="A142" t="s">
        <v>697</v>
      </c>
      <c r="B142" t="s">
        <v>698</v>
      </c>
      <c r="C142" t="s">
        <v>29</v>
      </c>
      <c r="D142" t="s">
        <v>71</v>
      </c>
      <c r="E142" t="s">
        <v>72</v>
      </c>
      <c r="F142" t="s">
        <v>84</v>
      </c>
      <c r="G142" s="2">
        <v>46058</v>
      </c>
      <c r="H142" s="2">
        <v>46196</v>
      </c>
      <c r="I142" s="3">
        <v>60</v>
      </c>
      <c r="J142" s="4">
        <v>2.91</v>
      </c>
      <c r="K142" s="3">
        <v>50</v>
      </c>
      <c r="L142" s="3">
        <v>54</v>
      </c>
      <c r="M142" s="3">
        <v>51</v>
      </c>
      <c r="N142" t="s">
        <v>23</v>
      </c>
      <c r="O142" t="s">
        <v>699</v>
      </c>
      <c r="P142" t="s">
        <v>700</v>
      </c>
      <c r="Q142" t="s">
        <v>701</v>
      </c>
    </row>
    <row r="143" spans="1:17" ht="9.9499999999999993" customHeight="1">
      <c r="A143" t="s">
        <v>702</v>
      </c>
      <c r="B143" t="s">
        <v>703</v>
      </c>
      <c r="C143" t="s">
        <v>29</v>
      </c>
      <c r="D143" t="s">
        <v>43</v>
      </c>
      <c r="E143" t="s">
        <v>44</v>
      </c>
      <c r="F143" t="s">
        <v>193</v>
      </c>
      <c r="G143" s="2">
        <v>45912</v>
      </c>
      <c r="H143" s="2">
        <v>46015</v>
      </c>
      <c r="I143" s="3">
        <v>96</v>
      </c>
      <c r="J143" s="4">
        <v>2.2599999999999998</v>
      </c>
      <c r="K143" s="3">
        <v>76</v>
      </c>
      <c r="L143" s="3">
        <v>88</v>
      </c>
      <c r="M143" s="3">
        <v>33</v>
      </c>
      <c r="N143" t="s">
        <v>23</v>
      </c>
      <c r="P143" t="s">
        <v>704</v>
      </c>
      <c r="Q143" t="s">
        <v>705</v>
      </c>
    </row>
    <row r="144" spans="1:17" ht="9.9499999999999993" customHeight="1">
      <c r="A144" t="s">
        <v>706</v>
      </c>
      <c r="B144" t="s">
        <v>308</v>
      </c>
      <c r="C144" t="s">
        <v>19</v>
      </c>
      <c r="D144" t="s">
        <v>59</v>
      </c>
      <c r="E144" t="s">
        <v>60</v>
      </c>
      <c r="F144" t="s">
        <v>22</v>
      </c>
      <c r="G144" s="2">
        <v>46076</v>
      </c>
      <c r="H144" s="2">
        <v>46197</v>
      </c>
      <c r="I144" s="3">
        <v>74</v>
      </c>
      <c r="J144" s="4">
        <v>2.8</v>
      </c>
      <c r="K144" s="3">
        <v>84</v>
      </c>
      <c r="L144" s="3">
        <v>42</v>
      </c>
      <c r="M144" s="3">
        <v>50</v>
      </c>
      <c r="N144" t="s">
        <v>707</v>
      </c>
      <c r="O144" t="s">
        <v>708</v>
      </c>
      <c r="P144" t="s">
        <v>709</v>
      </c>
      <c r="Q144" t="s">
        <v>710</v>
      </c>
    </row>
    <row r="145" spans="1:17" ht="9.9499999999999993" customHeight="1">
      <c r="A145" t="s">
        <v>711</v>
      </c>
      <c r="B145" t="s">
        <v>712</v>
      </c>
      <c r="C145" t="s">
        <v>19</v>
      </c>
      <c r="D145" t="s">
        <v>30</v>
      </c>
      <c r="E145" t="s">
        <v>31</v>
      </c>
      <c r="F145" t="s">
        <v>22</v>
      </c>
      <c r="G145" s="2">
        <v>45981</v>
      </c>
      <c r="H145" s="2">
        <v>46091</v>
      </c>
      <c r="I145" s="3">
        <v>77</v>
      </c>
      <c r="J145" s="4">
        <v>3.95</v>
      </c>
      <c r="K145" s="3">
        <v>48</v>
      </c>
      <c r="L145" s="3">
        <v>82</v>
      </c>
      <c r="M145" s="3">
        <v>95</v>
      </c>
      <c r="N145" t="s">
        <v>23</v>
      </c>
      <c r="O145" t="s">
        <v>713</v>
      </c>
      <c r="P145" t="s">
        <v>714</v>
      </c>
      <c r="Q145" t="s">
        <v>715</v>
      </c>
    </row>
    <row r="146" spans="1:17" ht="9.9499999999999993" customHeight="1">
      <c r="A146" t="s">
        <v>716</v>
      </c>
      <c r="B146" t="s">
        <v>717</v>
      </c>
      <c r="C146" t="s">
        <v>29</v>
      </c>
      <c r="D146" t="s">
        <v>51</v>
      </c>
      <c r="E146" t="s">
        <v>52</v>
      </c>
      <c r="F146" t="s">
        <v>53</v>
      </c>
      <c r="G146" s="2">
        <v>45964</v>
      </c>
      <c r="H146" s="2">
        <v>46052</v>
      </c>
      <c r="I146" s="3">
        <v>61</v>
      </c>
      <c r="J146" s="4">
        <v>1.91</v>
      </c>
      <c r="K146" s="3">
        <v>100</v>
      </c>
      <c r="L146" s="3">
        <v>84</v>
      </c>
      <c r="M146" s="3">
        <v>83</v>
      </c>
      <c r="N146" t="s">
        <v>23</v>
      </c>
      <c r="O146" t="s">
        <v>718</v>
      </c>
      <c r="P146" t="s">
        <v>719</v>
      </c>
      <c r="Q146" t="s">
        <v>720</v>
      </c>
    </row>
    <row r="147" spans="1:17" ht="9.9499999999999993" customHeight="1">
      <c r="A147" t="s">
        <v>721</v>
      </c>
      <c r="B147" t="s">
        <v>703</v>
      </c>
      <c r="C147" t="s">
        <v>19</v>
      </c>
      <c r="D147" t="s">
        <v>20</v>
      </c>
      <c r="E147" t="s">
        <v>21</v>
      </c>
      <c r="F147" t="s">
        <v>22</v>
      </c>
      <c r="G147" s="2">
        <v>46028</v>
      </c>
      <c r="H147" s="2">
        <v>46163</v>
      </c>
      <c r="I147" s="3">
        <v>84</v>
      </c>
      <c r="J147" s="4">
        <v>2.9</v>
      </c>
      <c r="K147" s="3">
        <v>59</v>
      </c>
      <c r="L147" s="3">
        <v>98</v>
      </c>
      <c r="M147" s="3">
        <v>32</v>
      </c>
      <c r="N147" t="s">
        <v>23</v>
      </c>
      <c r="O147" t="s">
        <v>722</v>
      </c>
      <c r="P147" t="s">
        <v>723</v>
      </c>
      <c r="Q147" t="s">
        <v>724</v>
      </c>
    </row>
    <row r="148" spans="1:17" ht="9.9499999999999993" customHeight="1">
      <c r="A148" t="s">
        <v>725</v>
      </c>
      <c r="B148" t="s">
        <v>726</v>
      </c>
      <c r="C148" t="s">
        <v>29</v>
      </c>
      <c r="D148" t="s">
        <v>20</v>
      </c>
      <c r="E148" t="s">
        <v>21</v>
      </c>
      <c r="F148" t="s">
        <v>45</v>
      </c>
      <c r="G148" s="2">
        <v>45991</v>
      </c>
      <c r="H148" s="2">
        <v>46067</v>
      </c>
      <c r="I148" s="3">
        <v>58</v>
      </c>
      <c r="J148" s="4">
        <v>2.42</v>
      </c>
      <c r="K148" s="3">
        <v>78</v>
      </c>
      <c r="L148" s="3">
        <v>95</v>
      </c>
      <c r="M148" s="3">
        <v>66</v>
      </c>
      <c r="N148" t="s">
        <v>23</v>
      </c>
      <c r="O148" t="s">
        <v>727</v>
      </c>
      <c r="P148" t="s">
        <v>728</v>
      </c>
      <c r="Q148" t="s">
        <v>729</v>
      </c>
    </row>
    <row r="149" spans="1:17" ht="9.9499999999999993" customHeight="1">
      <c r="A149" t="s">
        <v>730</v>
      </c>
      <c r="B149" t="s">
        <v>731</v>
      </c>
      <c r="C149" t="s">
        <v>19</v>
      </c>
      <c r="D149" t="s">
        <v>71</v>
      </c>
      <c r="E149" t="s">
        <v>72</v>
      </c>
      <c r="F149" t="s">
        <v>84</v>
      </c>
      <c r="G149" s="2">
        <v>46004</v>
      </c>
      <c r="H149" s="2">
        <v>46120</v>
      </c>
      <c r="I149" s="3">
        <v>57</v>
      </c>
      <c r="J149" s="4">
        <v>2.68</v>
      </c>
      <c r="K149" s="3">
        <v>76</v>
      </c>
      <c r="L149" s="3">
        <v>59</v>
      </c>
      <c r="M149" s="3">
        <v>76</v>
      </c>
      <c r="N149" t="s">
        <v>23</v>
      </c>
      <c r="O149" t="s">
        <v>732</v>
      </c>
      <c r="P149" t="s">
        <v>733</v>
      </c>
      <c r="Q149" t="s">
        <v>734</v>
      </c>
    </row>
    <row r="150" spans="1:17" ht="9.9499999999999993" customHeight="1">
      <c r="A150" t="s">
        <v>735</v>
      </c>
      <c r="B150" t="s">
        <v>736</v>
      </c>
      <c r="C150" t="s">
        <v>19</v>
      </c>
      <c r="D150" t="s">
        <v>30</v>
      </c>
      <c r="E150" t="s">
        <v>31</v>
      </c>
      <c r="F150" t="s">
        <v>84</v>
      </c>
      <c r="G150" s="2">
        <v>46060</v>
      </c>
      <c r="H150" s="2">
        <v>46145</v>
      </c>
      <c r="I150" s="3">
        <v>63</v>
      </c>
      <c r="J150" s="4">
        <v>3.95</v>
      </c>
      <c r="K150" s="3">
        <v>65</v>
      </c>
      <c r="L150" s="3">
        <v>82</v>
      </c>
      <c r="M150" s="3">
        <v>73</v>
      </c>
      <c r="N150" t="s">
        <v>23</v>
      </c>
      <c r="O150" t="s">
        <v>737</v>
      </c>
      <c r="P150" t="s">
        <v>738</v>
      </c>
      <c r="Q150" t="s">
        <v>739</v>
      </c>
    </row>
    <row r="151" spans="1:17" ht="9.9499999999999993" customHeight="1">
      <c r="G151" s="2"/>
      <c r="H151" s="2"/>
      <c r="I151" s="3"/>
      <c r="J151" s="4"/>
      <c r="K151" s="3"/>
      <c r="L151" s="3"/>
      <c r="M151" s="3"/>
    </row>
    <row r="152" spans="1:17" ht="9.9499999999999993" customHeight="1">
      <c r="A152" t="s">
        <v>740</v>
      </c>
      <c r="B152" t="s">
        <v>741</v>
      </c>
      <c r="C152" t="s">
        <v>19</v>
      </c>
      <c r="D152" t="s">
        <v>30</v>
      </c>
      <c r="E152" t="s">
        <v>31</v>
      </c>
      <c r="F152" t="s">
        <v>84</v>
      </c>
      <c r="G152" s="2">
        <v>45942</v>
      </c>
      <c r="H152" s="2">
        <v>46062</v>
      </c>
      <c r="I152" s="3">
        <v>94</v>
      </c>
      <c r="J152" s="4">
        <v>3.43</v>
      </c>
      <c r="K152" s="3">
        <v>59</v>
      </c>
      <c r="L152" s="3">
        <v>78</v>
      </c>
      <c r="M152" s="3">
        <v>94</v>
      </c>
      <c r="N152" t="s">
        <v>32</v>
      </c>
      <c r="O152" t="s">
        <v>742</v>
      </c>
      <c r="P152" t="s">
        <v>743</v>
      </c>
      <c r="Q152" t="s">
        <v>744</v>
      </c>
    </row>
    <row r="153" spans="1:17" ht="9.9499999999999993" customHeight="1">
      <c r="A153" t="s">
        <v>745</v>
      </c>
      <c r="B153" t="s">
        <v>746</v>
      </c>
      <c r="C153" t="s">
        <v>19</v>
      </c>
      <c r="D153" t="s">
        <v>59</v>
      </c>
      <c r="E153" t="s">
        <v>60</v>
      </c>
      <c r="F153" t="s">
        <v>193</v>
      </c>
      <c r="G153" s="2">
        <v>45995</v>
      </c>
      <c r="H153" s="2">
        <v>46107</v>
      </c>
      <c r="I153" s="3">
        <v>98</v>
      </c>
      <c r="J153" s="4">
        <v>2.04</v>
      </c>
      <c r="K153" s="3">
        <v>66</v>
      </c>
      <c r="L153" s="3">
        <v>74</v>
      </c>
      <c r="M153" s="3">
        <v>33</v>
      </c>
      <c r="N153" t="s">
        <v>23</v>
      </c>
      <c r="O153" t="s">
        <v>747</v>
      </c>
      <c r="P153" t="s">
        <v>748</v>
      </c>
      <c r="Q153" t="s">
        <v>749</v>
      </c>
    </row>
    <row r="154" spans="1:17" ht="9.9499999999999993" customHeight="1">
      <c r="A154" t="s">
        <v>750</v>
      </c>
      <c r="B154" t="s">
        <v>751</v>
      </c>
      <c r="C154" t="s">
        <v>29</v>
      </c>
      <c r="D154" t="s">
        <v>71</v>
      </c>
      <c r="E154" t="s">
        <v>72</v>
      </c>
      <c r="F154" t="s">
        <v>193</v>
      </c>
      <c r="G154" s="2">
        <v>46050</v>
      </c>
      <c r="H154" s="2">
        <v>46181</v>
      </c>
      <c r="I154" s="3">
        <v>65</v>
      </c>
      <c r="J154" s="4">
        <v>2.95</v>
      </c>
      <c r="K154" s="3">
        <v>86</v>
      </c>
      <c r="L154" s="3">
        <v>83</v>
      </c>
      <c r="M154" s="3">
        <v>48</v>
      </c>
      <c r="N154" t="s">
        <v>32</v>
      </c>
      <c r="O154" t="s">
        <v>752</v>
      </c>
      <c r="P154" t="s">
        <v>753</v>
      </c>
      <c r="Q154" t="s">
        <v>754</v>
      </c>
    </row>
    <row r="155" spans="1:17" ht="9.9499999999999993" customHeight="1">
      <c r="A155" t="s">
        <v>755</v>
      </c>
      <c r="B155" t="s">
        <v>756</v>
      </c>
      <c r="C155" t="s">
        <v>29</v>
      </c>
      <c r="D155" t="s">
        <v>20</v>
      </c>
      <c r="E155" t="s">
        <v>21</v>
      </c>
      <c r="F155" t="s">
        <v>193</v>
      </c>
      <c r="G155" s="2">
        <v>46013</v>
      </c>
      <c r="H155" s="2">
        <v>46123</v>
      </c>
      <c r="I155" s="3">
        <v>81</v>
      </c>
      <c r="J155" s="4">
        <v>2.13</v>
      </c>
      <c r="K155" s="3">
        <v>84</v>
      </c>
      <c r="L155" s="3">
        <v>61</v>
      </c>
      <c r="M155" s="3">
        <v>82</v>
      </c>
      <c r="N155" t="s">
        <v>23</v>
      </c>
      <c r="O155" t="s">
        <v>757</v>
      </c>
      <c r="P155" t="s">
        <v>758</v>
      </c>
      <c r="Q155" t="s">
        <v>759</v>
      </c>
    </row>
    <row r="156" spans="1:17" ht="9.9499999999999993" customHeight="1">
      <c r="A156" t="s">
        <v>760</v>
      </c>
      <c r="B156" t="s">
        <v>629</v>
      </c>
      <c r="C156" t="s">
        <v>29</v>
      </c>
      <c r="D156" t="s">
        <v>30</v>
      </c>
      <c r="E156" t="s">
        <v>31</v>
      </c>
      <c r="F156" t="s">
        <v>22</v>
      </c>
      <c r="G156" s="2">
        <v>46044</v>
      </c>
      <c r="H156" s="2">
        <v>46155</v>
      </c>
      <c r="I156" s="3">
        <v>97</v>
      </c>
      <c r="J156" s="4">
        <v>2.85</v>
      </c>
      <c r="K156" s="3">
        <v>64</v>
      </c>
      <c r="L156" s="3">
        <v>75</v>
      </c>
      <c r="M156" s="3">
        <v>52</v>
      </c>
      <c r="N156" t="s">
        <v>23</v>
      </c>
      <c r="O156" t="s">
        <v>761</v>
      </c>
      <c r="P156" t="s">
        <v>762</v>
      </c>
      <c r="Q156" t="s">
        <v>763</v>
      </c>
    </row>
    <row r="157" spans="1:17" ht="9.9499999999999993" customHeight="1">
      <c r="A157" t="s">
        <v>764</v>
      </c>
      <c r="B157" t="s">
        <v>765</v>
      </c>
      <c r="C157" t="s">
        <v>19</v>
      </c>
      <c r="D157" t="s">
        <v>71</v>
      </c>
      <c r="E157" t="s">
        <v>72</v>
      </c>
      <c r="F157" t="s">
        <v>111</v>
      </c>
      <c r="G157" s="2">
        <v>46075</v>
      </c>
      <c r="H157" s="2">
        <v>46178</v>
      </c>
      <c r="I157" s="3">
        <v>94</v>
      </c>
      <c r="J157" s="4">
        <v>2.87</v>
      </c>
      <c r="K157" s="3">
        <v>55</v>
      </c>
      <c r="L157" s="3">
        <v>70</v>
      </c>
      <c r="M157" s="3">
        <v>68</v>
      </c>
      <c r="N157" t="s">
        <v>23</v>
      </c>
      <c r="O157" t="s">
        <v>766</v>
      </c>
      <c r="P157" t="s">
        <v>767</v>
      </c>
      <c r="Q157" t="s">
        <v>768</v>
      </c>
    </row>
    <row r="158" spans="1:17" ht="9.9499999999999993" customHeight="1">
      <c r="A158" t="s">
        <v>769</v>
      </c>
      <c r="B158" t="s">
        <v>770</v>
      </c>
      <c r="C158" t="s">
        <v>19</v>
      </c>
      <c r="D158" t="s">
        <v>51</v>
      </c>
      <c r="E158" t="s">
        <v>52</v>
      </c>
      <c r="F158" t="s">
        <v>53</v>
      </c>
      <c r="G158" s="2">
        <v>45990</v>
      </c>
      <c r="H158" s="2">
        <v>46095</v>
      </c>
      <c r="I158" s="3">
        <v>73</v>
      </c>
      <c r="J158" s="4">
        <v>2.0699999999999998</v>
      </c>
      <c r="K158" s="3">
        <v>83</v>
      </c>
      <c r="L158" s="3">
        <v>83</v>
      </c>
      <c r="M158" s="3">
        <v>80</v>
      </c>
      <c r="N158" t="s">
        <v>32</v>
      </c>
      <c r="O158" t="s">
        <v>771</v>
      </c>
      <c r="P158" t="s">
        <v>772</v>
      </c>
      <c r="Q158" t="s">
        <v>773</v>
      </c>
    </row>
    <row r="159" spans="1:17" ht="9.9499999999999993" customHeight="1">
      <c r="A159" t="s">
        <v>774</v>
      </c>
      <c r="B159" t="s">
        <v>775</v>
      </c>
      <c r="C159" t="s">
        <v>19</v>
      </c>
      <c r="D159" t="s">
        <v>71</v>
      </c>
      <c r="E159" t="s">
        <v>72</v>
      </c>
      <c r="F159" t="s">
        <v>193</v>
      </c>
      <c r="G159" s="2">
        <v>45989</v>
      </c>
      <c r="H159" s="2">
        <v>46115</v>
      </c>
      <c r="I159" s="3">
        <v>96</v>
      </c>
      <c r="J159" s="4">
        <v>2.36</v>
      </c>
      <c r="K159" s="3">
        <v>70</v>
      </c>
      <c r="L159" s="3">
        <v>62</v>
      </c>
      <c r="M159" s="3">
        <v>55</v>
      </c>
      <c r="N159" t="s">
        <v>32</v>
      </c>
      <c r="O159" t="s">
        <v>776</v>
      </c>
      <c r="P159" t="s">
        <v>777</v>
      </c>
      <c r="Q159" t="s">
        <v>778</v>
      </c>
    </row>
    <row r="160" spans="1:17" ht="9.9499999999999993" customHeight="1">
      <c r="A160" t="s">
        <v>779</v>
      </c>
      <c r="B160" t="s">
        <v>698</v>
      </c>
      <c r="C160" t="s">
        <v>29</v>
      </c>
      <c r="D160" t="s">
        <v>43</v>
      </c>
      <c r="E160" t="s">
        <v>44</v>
      </c>
      <c r="F160" t="s">
        <v>45</v>
      </c>
      <c r="G160" s="2">
        <v>46051</v>
      </c>
      <c r="H160" s="2">
        <v>46151</v>
      </c>
      <c r="I160" s="3">
        <v>70</v>
      </c>
      <c r="J160" s="4">
        <v>1.91</v>
      </c>
      <c r="K160" s="3">
        <v>97</v>
      </c>
      <c r="L160" s="3">
        <v>63</v>
      </c>
      <c r="M160" s="3">
        <v>59</v>
      </c>
      <c r="N160" t="s">
        <v>23</v>
      </c>
      <c r="O160" t="s">
        <v>780</v>
      </c>
      <c r="P160" t="s">
        <v>781</v>
      </c>
      <c r="Q160" t="s">
        <v>782</v>
      </c>
    </row>
    <row r="161" spans="1:17" ht="9.9499999999999993" customHeight="1">
      <c r="A161" t="s">
        <v>783</v>
      </c>
      <c r="B161" t="s">
        <v>784</v>
      </c>
      <c r="C161" t="s">
        <v>29</v>
      </c>
      <c r="D161" t="s">
        <v>71</v>
      </c>
      <c r="E161" t="s">
        <v>785</v>
      </c>
      <c r="F161" t="s">
        <v>22</v>
      </c>
      <c r="G161" s="2">
        <v>45902</v>
      </c>
      <c r="H161" s="2">
        <v>46042</v>
      </c>
      <c r="I161" s="3">
        <v>65</v>
      </c>
      <c r="J161" s="4">
        <v>2.7</v>
      </c>
      <c r="K161" s="3">
        <v>99</v>
      </c>
      <c r="L161" s="3">
        <v>95</v>
      </c>
      <c r="M161" s="3">
        <v>91</v>
      </c>
      <c r="N161" t="s">
        <v>23</v>
      </c>
      <c r="O161" t="s">
        <v>786</v>
      </c>
      <c r="P161" t="s">
        <v>787</v>
      </c>
      <c r="Q161" t="s">
        <v>788</v>
      </c>
    </row>
    <row r="162" spans="1:17" ht="9.9499999999999993" customHeight="1">
      <c r="A162" t="s">
        <v>789</v>
      </c>
      <c r="B162" t="s">
        <v>790</v>
      </c>
      <c r="C162" t="s">
        <v>29</v>
      </c>
      <c r="D162" t="s">
        <v>43</v>
      </c>
      <c r="E162" t="s">
        <v>44</v>
      </c>
      <c r="F162" t="s">
        <v>111</v>
      </c>
      <c r="G162" s="2">
        <v>46047</v>
      </c>
      <c r="H162" s="2">
        <v>46146</v>
      </c>
      <c r="I162" s="3">
        <v>89</v>
      </c>
      <c r="J162" s="4">
        <v>3.43</v>
      </c>
      <c r="K162" s="3">
        <v>94</v>
      </c>
      <c r="L162" s="3">
        <v>39</v>
      </c>
      <c r="M162" s="3">
        <v>52</v>
      </c>
      <c r="N162" t="s">
        <v>23</v>
      </c>
      <c r="O162" t="s">
        <v>791</v>
      </c>
      <c r="P162" t="s">
        <v>792</v>
      </c>
      <c r="Q162" t="s">
        <v>793</v>
      </c>
    </row>
    <row r="163" spans="1:17" ht="9.9499999999999993" customHeight="1">
      <c r="A163" t="s">
        <v>794</v>
      </c>
      <c r="B163" t="s">
        <v>795</v>
      </c>
      <c r="C163" t="s">
        <v>19</v>
      </c>
      <c r="D163" t="s">
        <v>20</v>
      </c>
      <c r="E163" t="s">
        <v>21</v>
      </c>
      <c r="G163" s="2">
        <v>45975</v>
      </c>
      <c r="H163" s="2">
        <v>46049</v>
      </c>
      <c r="I163" s="3">
        <v>55</v>
      </c>
      <c r="J163" s="4">
        <v>2.46</v>
      </c>
      <c r="K163" s="3">
        <v>78</v>
      </c>
      <c r="L163" s="3">
        <v>48</v>
      </c>
      <c r="M163" s="3">
        <v>72</v>
      </c>
      <c r="N163" t="s">
        <v>23</v>
      </c>
      <c r="O163" t="s">
        <v>796</v>
      </c>
      <c r="P163" t="s">
        <v>797</v>
      </c>
      <c r="Q163" t="s">
        <v>798</v>
      </c>
    </row>
    <row r="164" spans="1:17" ht="9.9499999999999993" customHeight="1">
      <c r="A164" t="s">
        <v>799</v>
      </c>
      <c r="B164" t="s">
        <v>800</v>
      </c>
      <c r="C164" t="s">
        <v>19</v>
      </c>
      <c r="D164" t="s">
        <v>20</v>
      </c>
      <c r="E164" t="s">
        <v>21</v>
      </c>
      <c r="F164" t="s">
        <v>45</v>
      </c>
      <c r="G164" s="2">
        <v>46020</v>
      </c>
      <c r="H164" s="2">
        <v>46124</v>
      </c>
      <c r="I164" s="3">
        <v>67</v>
      </c>
      <c r="J164" s="4">
        <v>3.58</v>
      </c>
      <c r="K164" s="3">
        <v>61</v>
      </c>
      <c r="L164" s="3">
        <v>55</v>
      </c>
      <c r="M164" s="3">
        <v>88</v>
      </c>
      <c r="N164" t="s">
        <v>23</v>
      </c>
      <c r="O164" t="s">
        <v>801</v>
      </c>
      <c r="P164" t="s">
        <v>802</v>
      </c>
      <c r="Q164" t="s">
        <v>803</v>
      </c>
    </row>
    <row r="165" spans="1:17" ht="9.9499999999999993" customHeight="1">
      <c r="A165" t="s">
        <v>804</v>
      </c>
      <c r="B165" t="s">
        <v>805</v>
      </c>
      <c r="C165" t="s">
        <v>19</v>
      </c>
      <c r="D165" t="s">
        <v>30</v>
      </c>
      <c r="E165" t="s">
        <v>31</v>
      </c>
      <c r="F165" t="s">
        <v>111</v>
      </c>
      <c r="G165" s="2">
        <v>45950</v>
      </c>
      <c r="H165" s="2">
        <v>46042</v>
      </c>
      <c r="I165" s="3">
        <v>94</v>
      </c>
      <c r="J165" s="4">
        <v>3.68</v>
      </c>
      <c r="K165" s="3">
        <v>97</v>
      </c>
      <c r="L165" s="3">
        <v>86</v>
      </c>
      <c r="M165" s="3">
        <v>84</v>
      </c>
      <c r="N165" t="s">
        <v>23</v>
      </c>
      <c r="O165" t="s">
        <v>806</v>
      </c>
      <c r="P165" t="s">
        <v>807</v>
      </c>
      <c r="Q165" t="s">
        <v>808</v>
      </c>
    </row>
    <row r="166" spans="1:17" ht="9.9499999999999993" customHeight="1">
      <c r="A166" t="s">
        <v>809</v>
      </c>
      <c r="B166" t="s">
        <v>141</v>
      </c>
      <c r="C166" t="s">
        <v>810</v>
      </c>
      <c r="D166" t="s">
        <v>20</v>
      </c>
      <c r="E166" t="s">
        <v>21</v>
      </c>
      <c r="F166" t="s">
        <v>53</v>
      </c>
      <c r="G166" s="2">
        <v>45983</v>
      </c>
      <c r="H166" s="2">
        <v>46084</v>
      </c>
      <c r="I166" s="3">
        <v>55</v>
      </c>
      <c r="J166" s="4">
        <v>2.37</v>
      </c>
      <c r="K166" s="3">
        <v>55</v>
      </c>
      <c r="L166" s="3">
        <v>92</v>
      </c>
      <c r="M166" s="3">
        <v>64</v>
      </c>
      <c r="N166" t="s">
        <v>78</v>
      </c>
      <c r="O166" t="s">
        <v>811</v>
      </c>
      <c r="P166" t="s">
        <v>812</v>
      </c>
      <c r="Q166" t="s">
        <v>813</v>
      </c>
    </row>
    <row r="167" spans="1:17" ht="9.9499999999999993" customHeight="1">
      <c r="A167" t="s">
        <v>814</v>
      </c>
      <c r="B167" t="s">
        <v>751</v>
      </c>
      <c r="C167" t="s">
        <v>29</v>
      </c>
      <c r="D167" t="s">
        <v>51</v>
      </c>
      <c r="E167" t="s">
        <v>52</v>
      </c>
      <c r="F167" t="s">
        <v>111</v>
      </c>
      <c r="G167" s="2">
        <v>45993</v>
      </c>
      <c r="H167" s="2">
        <v>46093</v>
      </c>
      <c r="I167" s="3">
        <v>58</v>
      </c>
      <c r="J167" s="4">
        <v>3.27</v>
      </c>
      <c r="K167" s="3">
        <v>69</v>
      </c>
      <c r="L167" s="3">
        <v>74</v>
      </c>
      <c r="M167" s="3">
        <v>50</v>
      </c>
      <c r="N167" t="s">
        <v>23</v>
      </c>
      <c r="O167" t="s">
        <v>815</v>
      </c>
      <c r="P167" t="s">
        <v>816</v>
      </c>
      <c r="Q167" t="s">
        <v>817</v>
      </c>
    </row>
    <row r="168" spans="1:17" ht="9.9499999999999993" customHeight="1">
      <c r="A168" t="s">
        <v>818</v>
      </c>
      <c r="B168" t="s">
        <v>819</v>
      </c>
      <c r="C168" t="s">
        <v>19</v>
      </c>
      <c r="D168" t="s">
        <v>820</v>
      </c>
      <c r="E168" t="s">
        <v>52</v>
      </c>
      <c r="F168" t="s">
        <v>45</v>
      </c>
      <c r="G168" s="2">
        <v>45957</v>
      </c>
      <c r="H168" s="2">
        <v>46055</v>
      </c>
      <c r="I168" s="3">
        <v>63</v>
      </c>
      <c r="J168" s="4">
        <v>2.85</v>
      </c>
      <c r="K168" s="3">
        <v>69</v>
      </c>
      <c r="L168" s="3">
        <v>82</v>
      </c>
      <c r="M168" s="3">
        <v>83</v>
      </c>
      <c r="N168" t="s">
        <v>23</v>
      </c>
      <c r="O168" t="s">
        <v>821</v>
      </c>
      <c r="P168" t="s">
        <v>822</v>
      </c>
      <c r="Q168" t="s">
        <v>823</v>
      </c>
    </row>
    <row r="169" spans="1:17" ht="9.9499999999999993" customHeight="1">
      <c r="A169" t="s">
        <v>824</v>
      </c>
      <c r="B169" t="s">
        <v>825</v>
      </c>
      <c r="C169" t="s">
        <v>29</v>
      </c>
      <c r="D169" t="s">
        <v>71</v>
      </c>
      <c r="E169" t="s">
        <v>72</v>
      </c>
      <c r="F169" t="s">
        <v>111</v>
      </c>
      <c r="G169" s="2">
        <v>45921</v>
      </c>
      <c r="H169" s="2">
        <v>46058</v>
      </c>
      <c r="I169" s="3">
        <v>83</v>
      </c>
      <c r="J169" s="4">
        <v>2.96</v>
      </c>
      <c r="K169" s="3">
        <v>63</v>
      </c>
      <c r="L169" s="3">
        <v>44</v>
      </c>
      <c r="M169" s="3">
        <v>44</v>
      </c>
      <c r="N169" t="s">
        <v>23</v>
      </c>
      <c r="O169" t="s">
        <v>826</v>
      </c>
      <c r="P169" t="s">
        <v>827</v>
      </c>
      <c r="Q169" t="s">
        <v>828</v>
      </c>
    </row>
    <row r="170" spans="1:17" ht="9.9499999999999993" customHeight="1">
      <c r="A170" t="s">
        <v>829</v>
      </c>
      <c r="B170" t="s">
        <v>830</v>
      </c>
      <c r="C170" t="s">
        <v>29</v>
      </c>
      <c r="D170" t="s">
        <v>20</v>
      </c>
      <c r="E170" t="s">
        <v>21</v>
      </c>
      <c r="F170" t="s">
        <v>84</v>
      </c>
      <c r="G170" s="2">
        <v>46034</v>
      </c>
      <c r="H170" s="2">
        <v>46160</v>
      </c>
      <c r="I170" s="3">
        <v>62</v>
      </c>
      <c r="J170" s="4">
        <v>3.3</v>
      </c>
      <c r="K170" s="3">
        <v>85</v>
      </c>
      <c r="L170" s="3">
        <v>97</v>
      </c>
      <c r="M170" s="3">
        <v>41</v>
      </c>
      <c r="N170" t="s">
        <v>78</v>
      </c>
      <c r="O170" t="s">
        <v>831</v>
      </c>
      <c r="P170" t="s">
        <v>832</v>
      </c>
      <c r="Q170" t="s">
        <v>833</v>
      </c>
    </row>
    <row r="171" spans="1:17" ht="9.9499999999999993" customHeight="1">
      <c r="A171" t="s">
        <v>377</v>
      </c>
      <c r="B171" t="s">
        <v>378</v>
      </c>
      <c r="C171" t="s">
        <v>19</v>
      </c>
      <c r="D171" t="s">
        <v>43</v>
      </c>
      <c r="E171" t="s">
        <v>44</v>
      </c>
      <c r="F171" t="s">
        <v>84</v>
      </c>
      <c r="G171" s="2">
        <v>45977</v>
      </c>
      <c r="H171" s="2">
        <v>46109</v>
      </c>
      <c r="I171" s="3">
        <v>64</v>
      </c>
      <c r="J171" s="4">
        <v>2.78</v>
      </c>
      <c r="K171" s="3">
        <v>70</v>
      </c>
      <c r="L171" s="3">
        <v>79</v>
      </c>
      <c r="M171" s="3">
        <v>72</v>
      </c>
      <c r="N171" t="s">
        <v>23</v>
      </c>
      <c r="O171" t="s">
        <v>379</v>
      </c>
      <c r="P171" t="s">
        <v>380</v>
      </c>
      <c r="Q171" t="s">
        <v>381</v>
      </c>
    </row>
    <row r="172" spans="1:17" ht="9.9499999999999993" customHeight="1">
      <c r="A172" t="s">
        <v>834</v>
      </c>
      <c r="B172" t="s">
        <v>835</v>
      </c>
      <c r="C172" t="s">
        <v>29</v>
      </c>
      <c r="D172" t="s">
        <v>43</v>
      </c>
      <c r="E172" t="s">
        <v>44</v>
      </c>
      <c r="F172" t="s">
        <v>53</v>
      </c>
      <c r="G172" s="2">
        <v>45989</v>
      </c>
      <c r="H172" s="2">
        <v>46067</v>
      </c>
      <c r="I172" s="3">
        <v>89</v>
      </c>
      <c r="J172" s="4">
        <v>3.99</v>
      </c>
      <c r="K172" s="3">
        <v>99</v>
      </c>
      <c r="L172" s="3">
        <v>43</v>
      </c>
      <c r="M172" s="3">
        <v>90</v>
      </c>
      <c r="N172" t="s">
        <v>23</v>
      </c>
      <c r="O172" t="s">
        <v>836</v>
      </c>
      <c r="P172" t="s">
        <v>837</v>
      </c>
      <c r="Q172" t="s">
        <v>838</v>
      </c>
    </row>
    <row r="173" spans="1:17" ht="9.9499999999999993" customHeight="1">
      <c r="A173" t="s">
        <v>839</v>
      </c>
      <c r="B173" t="s">
        <v>840</v>
      </c>
      <c r="C173" t="s">
        <v>19</v>
      </c>
      <c r="D173" t="s">
        <v>51</v>
      </c>
      <c r="E173" t="s">
        <v>52</v>
      </c>
      <c r="F173" t="s">
        <v>53</v>
      </c>
      <c r="G173" s="2">
        <v>46015</v>
      </c>
      <c r="H173" s="2">
        <v>46133</v>
      </c>
      <c r="I173" s="3"/>
      <c r="J173" s="4">
        <v>1.98</v>
      </c>
      <c r="K173" s="3">
        <v>82</v>
      </c>
      <c r="L173" s="3">
        <v>52</v>
      </c>
      <c r="M173" s="3">
        <v>74</v>
      </c>
      <c r="N173" t="s">
        <v>23</v>
      </c>
      <c r="O173" t="s">
        <v>841</v>
      </c>
      <c r="P173" t="s">
        <v>842</v>
      </c>
      <c r="Q173" t="s">
        <v>843</v>
      </c>
    </row>
    <row r="174" spans="1:17" ht="9.9499999999999993" customHeight="1">
      <c r="A174" t="s">
        <v>844</v>
      </c>
      <c r="B174" t="s">
        <v>845</v>
      </c>
      <c r="C174" t="s">
        <v>29</v>
      </c>
      <c r="D174" t="s">
        <v>71</v>
      </c>
      <c r="E174" t="s">
        <v>72</v>
      </c>
      <c r="F174" t="s">
        <v>22</v>
      </c>
      <c r="G174" s="2">
        <v>45901</v>
      </c>
      <c r="H174" s="2">
        <v>45973</v>
      </c>
      <c r="I174" s="3">
        <v>74</v>
      </c>
      <c r="J174" s="4">
        <v>2.82</v>
      </c>
      <c r="K174" s="3">
        <v>86</v>
      </c>
      <c r="L174" s="3">
        <v>89</v>
      </c>
      <c r="M174" s="3">
        <v>98</v>
      </c>
      <c r="N174" t="s">
        <v>23</v>
      </c>
      <c r="O174" t="s">
        <v>846</v>
      </c>
      <c r="P174" t="s">
        <v>847</v>
      </c>
      <c r="Q174" t="s">
        <v>848</v>
      </c>
    </row>
    <row r="175" spans="1:17" ht="9.9499999999999993" customHeight="1">
      <c r="A175" t="s">
        <v>849</v>
      </c>
      <c r="B175" t="s">
        <v>717</v>
      </c>
      <c r="C175" t="s">
        <v>19</v>
      </c>
      <c r="D175" t="s">
        <v>20</v>
      </c>
      <c r="E175" t="s">
        <v>21</v>
      </c>
      <c r="F175" t="s">
        <v>84</v>
      </c>
      <c r="G175" s="2">
        <v>45949</v>
      </c>
      <c r="H175" s="2">
        <v>46033</v>
      </c>
      <c r="I175" s="3">
        <v>57</v>
      </c>
      <c r="J175" s="4">
        <v>3.58</v>
      </c>
      <c r="K175" s="3">
        <v>66</v>
      </c>
      <c r="L175" s="3">
        <v>37</v>
      </c>
      <c r="M175" s="3">
        <v>60</v>
      </c>
      <c r="N175" t="s">
        <v>23</v>
      </c>
      <c r="O175" t="s">
        <v>850</v>
      </c>
      <c r="P175" t="s">
        <v>851</v>
      </c>
      <c r="Q175" t="s">
        <v>852</v>
      </c>
    </row>
    <row r="176" spans="1:17" ht="9.9499999999999993" customHeight="1">
      <c r="A176" t="s">
        <v>853</v>
      </c>
      <c r="B176" t="s">
        <v>343</v>
      </c>
      <c r="C176" t="s">
        <v>19</v>
      </c>
      <c r="D176" t="s">
        <v>30</v>
      </c>
      <c r="E176" t="s">
        <v>31</v>
      </c>
      <c r="F176" t="s">
        <v>111</v>
      </c>
      <c r="G176" s="2">
        <v>46081</v>
      </c>
      <c r="H176" s="2">
        <v>46157</v>
      </c>
      <c r="I176" s="3">
        <v>70</v>
      </c>
      <c r="J176" s="4">
        <v>3.43</v>
      </c>
      <c r="K176" s="3">
        <v>65</v>
      </c>
      <c r="L176" s="3">
        <v>91</v>
      </c>
      <c r="M176" s="3">
        <v>59</v>
      </c>
      <c r="N176" t="s">
        <v>23</v>
      </c>
      <c r="O176" t="s">
        <v>854</v>
      </c>
      <c r="P176" t="s">
        <v>855</v>
      </c>
      <c r="Q176" t="s">
        <v>856</v>
      </c>
    </row>
    <row r="177" spans="1:17" ht="9.9499999999999993" customHeight="1">
      <c r="A177" t="s">
        <v>857</v>
      </c>
      <c r="B177" t="s">
        <v>669</v>
      </c>
      <c r="C177" t="s">
        <v>19</v>
      </c>
      <c r="D177" t="s">
        <v>20</v>
      </c>
      <c r="E177" t="s">
        <v>21</v>
      </c>
      <c r="F177" t="s">
        <v>111</v>
      </c>
      <c r="G177" s="2">
        <v>46048</v>
      </c>
      <c r="H177" s="2">
        <v>46158</v>
      </c>
      <c r="I177" s="3">
        <v>91</v>
      </c>
      <c r="J177" s="4">
        <v>3.12</v>
      </c>
      <c r="K177" s="3">
        <v>83</v>
      </c>
      <c r="L177" s="3">
        <v>76</v>
      </c>
      <c r="M177" s="3">
        <v>60</v>
      </c>
      <c r="N177" t="s">
        <v>23</v>
      </c>
      <c r="O177" t="s">
        <v>858</v>
      </c>
      <c r="P177" t="s">
        <v>859</v>
      </c>
      <c r="Q177" t="s">
        <v>860</v>
      </c>
    </row>
    <row r="178" spans="1:17" ht="9.9499999999999993" customHeight="1">
      <c r="A178" t="s">
        <v>861</v>
      </c>
      <c r="B178" t="s">
        <v>862</v>
      </c>
      <c r="C178" t="s">
        <v>19</v>
      </c>
      <c r="D178" t="s">
        <v>51</v>
      </c>
      <c r="E178" t="s">
        <v>52</v>
      </c>
      <c r="F178" t="s">
        <v>84</v>
      </c>
      <c r="G178" s="2">
        <v>45916</v>
      </c>
      <c r="H178" s="2">
        <v>46008</v>
      </c>
      <c r="I178" s="3">
        <v>95</v>
      </c>
      <c r="J178" s="4">
        <v>3.29</v>
      </c>
      <c r="K178" s="3">
        <v>75</v>
      </c>
      <c r="L178" s="3">
        <v>98</v>
      </c>
      <c r="M178" s="3">
        <v>36</v>
      </c>
      <c r="N178" t="s">
        <v>78</v>
      </c>
      <c r="O178" t="s">
        <v>863</v>
      </c>
      <c r="P178" t="s">
        <v>864</v>
      </c>
      <c r="Q178" t="s">
        <v>865</v>
      </c>
    </row>
    <row r="179" spans="1:17" ht="9.9499999999999993" customHeight="1">
      <c r="A179" t="s">
        <v>866</v>
      </c>
      <c r="B179" t="s">
        <v>736</v>
      </c>
      <c r="C179" t="s">
        <v>19</v>
      </c>
      <c r="D179" t="s">
        <v>71</v>
      </c>
      <c r="E179" t="s">
        <v>72</v>
      </c>
      <c r="F179" t="s">
        <v>53</v>
      </c>
      <c r="G179" s="2">
        <v>46005</v>
      </c>
      <c r="H179" s="2">
        <v>46094</v>
      </c>
      <c r="I179" s="3">
        <v>74</v>
      </c>
      <c r="J179" s="4">
        <v>2.63</v>
      </c>
      <c r="K179" s="3">
        <v>88</v>
      </c>
      <c r="L179" s="3">
        <v>95</v>
      </c>
      <c r="M179" s="3">
        <v>60</v>
      </c>
      <c r="N179" t="s">
        <v>32</v>
      </c>
      <c r="O179" t="s">
        <v>867</v>
      </c>
      <c r="P179" t="s">
        <v>868</v>
      </c>
      <c r="Q179" t="s">
        <v>869</v>
      </c>
    </row>
    <row r="180" spans="1:17" ht="9.9499999999999993" customHeight="1">
      <c r="A180" t="s">
        <v>870</v>
      </c>
      <c r="B180" t="s">
        <v>871</v>
      </c>
      <c r="C180" t="s">
        <v>29</v>
      </c>
      <c r="D180" t="s">
        <v>30</v>
      </c>
      <c r="E180" t="s">
        <v>31</v>
      </c>
      <c r="F180" t="s">
        <v>53</v>
      </c>
      <c r="G180" s="2">
        <v>46007</v>
      </c>
      <c r="H180" s="2">
        <v>46144</v>
      </c>
      <c r="I180" s="3">
        <v>63</v>
      </c>
      <c r="J180" s="4">
        <v>2.65</v>
      </c>
      <c r="K180" s="3">
        <v>56</v>
      </c>
      <c r="L180" s="3">
        <v>61</v>
      </c>
      <c r="M180" s="3">
        <v>72</v>
      </c>
      <c r="N180" t="s">
        <v>23</v>
      </c>
      <c r="O180" t="s">
        <v>872</v>
      </c>
      <c r="P180" t="s">
        <v>873</v>
      </c>
      <c r="Q180" t="s">
        <v>874</v>
      </c>
    </row>
    <row r="181" spans="1:17" ht="9.9499999999999993" customHeight="1">
      <c r="A181" t="s">
        <v>875</v>
      </c>
      <c r="B181" t="s">
        <v>876</v>
      </c>
      <c r="C181" t="s">
        <v>29</v>
      </c>
      <c r="D181" t="s">
        <v>43</v>
      </c>
      <c r="E181" t="s">
        <v>44</v>
      </c>
      <c r="F181" t="s">
        <v>84</v>
      </c>
      <c r="G181" s="2">
        <v>45997</v>
      </c>
      <c r="H181" s="2">
        <v>46072</v>
      </c>
      <c r="I181" s="3">
        <v>59</v>
      </c>
      <c r="J181" s="4">
        <v>2.21</v>
      </c>
      <c r="K181" s="3">
        <v>88</v>
      </c>
      <c r="L181" s="3">
        <v>62</v>
      </c>
      <c r="M181" s="3">
        <v>91</v>
      </c>
      <c r="N181" t="s">
        <v>23</v>
      </c>
      <c r="O181" t="s">
        <v>877</v>
      </c>
      <c r="P181" t="s">
        <v>878</v>
      </c>
      <c r="Q181" t="s">
        <v>879</v>
      </c>
    </row>
    <row r="182" spans="1:17" ht="9.9499999999999993" customHeight="1">
      <c r="A182" t="s">
        <v>880</v>
      </c>
      <c r="B182" t="s">
        <v>881</v>
      </c>
      <c r="C182" t="s">
        <v>29</v>
      </c>
      <c r="D182" t="s">
        <v>20</v>
      </c>
      <c r="E182" t="s">
        <v>21</v>
      </c>
      <c r="F182" t="s">
        <v>111</v>
      </c>
      <c r="G182" s="2">
        <v>45931</v>
      </c>
      <c r="H182" s="2">
        <v>46062</v>
      </c>
      <c r="I182" s="3">
        <v>70</v>
      </c>
      <c r="J182" s="4">
        <v>3.33</v>
      </c>
      <c r="K182" s="3">
        <v>85</v>
      </c>
      <c r="L182" s="3">
        <v>61</v>
      </c>
      <c r="M182" s="3">
        <v>80</v>
      </c>
      <c r="N182" t="s">
        <v>78</v>
      </c>
      <c r="O182" t="s">
        <v>882</v>
      </c>
      <c r="P182" t="s">
        <v>883</v>
      </c>
      <c r="Q182" t="s">
        <v>884</v>
      </c>
    </row>
    <row r="183" spans="1:17" ht="9.9499999999999993" customHeight="1">
      <c r="A183" t="s">
        <v>885</v>
      </c>
      <c r="B183" t="s">
        <v>790</v>
      </c>
      <c r="C183" t="s">
        <v>19</v>
      </c>
      <c r="D183" t="s">
        <v>59</v>
      </c>
      <c r="E183" t="s">
        <v>60</v>
      </c>
      <c r="F183" t="s">
        <v>45</v>
      </c>
      <c r="G183" s="2">
        <v>46067</v>
      </c>
      <c r="H183" s="2">
        <v>46182</v>
      </c>
      <c r="I183" s="3">
        <v>74</v>
      </c>
      <c r="J183" s="4"/>
      <c r="K183" s="3">
        <v>72</v>
      </c>
      <c r="L183" s="3">
        <v>98</v>
      </c>
      <c r="M183" s="3">
        <v>89</v>
      </c>
      <c r="N183" t="s">
        <v>23</v>
      </c>
      <c r="O183" t="s">
        <v>886</v>
      </c>
      <c r="P183" t="s">
        <v>887</v>
      </c>
      <c r="Q183" t="s">
        <v>888</v>
      </c>
    </row>
    <row r="184" spans="1:17" ht="9.9499999999999993" customHeight="1">
      <c r="A184" t="s">
        <v>889</v>
      </c>
      <c r="B184" t="s">
        <v>251</v>
      </c>
      <c r="C184" t="s">
        <v>19</v>
      </c>
      <c r="D184" t="s">
        <v>51</v>
      </c>
      <c r="E184" t="s">
        <v>52</v>
      </c>
      <c r="F184" t="s">
        <v>53</v>
      </c>
      <c r="G184" s="2">
        <v>45912</v>
      </c>
      <c r="H184" s="2">
        <v>46010</v>
      </c>
      <c r="I184" s="3">
        <v>64</v>
      </c>
      <c r="J184" s="4">
        <v>1.84</v>
      </c>
      <c r="K184" s="3">
        <v>75</v>
      </c>
      <c r="L184" s="3">
        <v>88</v>
      </c>
      <c r="M184" s="3">
        <v>67</v>
      </c>
      <c r="N184" t="s">
        <v>23</v>
      </c>
      <c r="O184" t="s">
        <v>890</v>
      </c>
      <c r="P184" t="s">
        <v>891</v>
      </c>
      <c r="Q184" t="s">
        <v>892</v>
      </c>
    </row>
    <row r="185" spans="1:17" ht="9.9499999999999993" customHeight="1">
      <c r="A185" t="s">
        <v>893</v>
      </c>
      <c r="B185" t="s">
        <v>894</v>
      </c>
      <c r="C185" t="s">
        <v>29</v>
      </c>
      <c r="D185" t="s">
        <v>59</v>
      </c>
      <c r="E185" t="s">
        <v>60</v>
      </c>
      <c r="F185" t="s">
        <v>45</v>
      </c>
      <c r="G185" s="2">
        <v>46068</v>
      </c>
      <c r="H185" s="2">
        <v>46181</v>
      </c>
      <c r="I185" s="3">
        <v>71</v>
      </c>
      <c r="J185" s="4">
        <v>3.48</v>
      </c>
      <c r="K185" s="3">
        <v>71</v>
      </c>
      <c r="L185" s="3">
        <v>97</v>
      </c>
      <c r="M185" s="3">
        <v>88</v>
      </c>
      <c r="N185" t="s">
        <v>23</v>
      </c>
      <c r="O185" t="s">
        <v>895</v>
      </c>
      <c r="P185" t="s">
        <v>896</v>
      </c>
      <c r="Q185" t="s">
        <v>897</v>
      </c>
    </row>
    <row r="186" spans="1:17" ht="9.9499999999999993" customHeight="1">
      <c r="A186" t="s">
        <v>898</v>
      </c>
      <c r="B186" t="s">
        <v>840</v>
      </c>
      <c r="C186" t="s">
        <v>19</v>
      </c>
      <c r="D186" t="s">
        <v>20</v>
      </c>
      <c r="E186" t="s">
        <v>21</v>
      </c>
      <c r="F186" t="s">
        <v>45</v>
      </c>
      <c r="G186" s="2">
        <v>46065</v>
      </c>
      <c r="H186" s="2">
        <v>46142</v>
      </c>
      <c r="I186" s="3">
        <v>88</v>
      </c>
      <c r="J186" s="4">
        <v>1.87</v>
      </c>
      <c r="K186" s="3">
        <v>94</v>
      </c>
      <c r="L186" s="3">
        <v>44</v>
      </c>
      <c r="M186" s="3">
        <v>36</v>
      </c>
      <c r="N186" t="s">
        <v>32</v>
      </c>
      <c r="O186" t="s">
        <v>899</v>
      </c>
      <c r="P186" t="s">
        <v>900</v>
      </c>
      <c r="Q186" t="s">
        <v>901</v>
      </c>
    </row>
    <row r="187" spans="1:17" ht="9.9499999999999993" customHeight="1">
      <c r="A187" t="s">
        <v>902</v>
      </c>
      <c r="B187" t="s">
        <v>414</v>
      </c>
      <c r="C187" t="s">
        <v>29</v>
      </c>
      <c r="D187" t="s">
        <v>71</v>
      </c>
      <c r="E187" t="s">
        <v>72</v>
      </c>
      <c r="F187" t="s">
        <v>22</v>
      </c>
      <c r="G187" s="2">
        <v>45903</v>
      </c>
      <c r="H187" s="2">
        <v>46000</v>
      </c>
      <c r="I187" s="3">
        <v>87</v>
      </c>
      <c r="J187" s="4">
        <v>2.8</v>
      </c>
      <c r="K187" s="3">
        <v>43</v>
      </c>
      <c r="L187" s="3">
        <v>96</v>
      </c>
      <c r="M187" s="3">
        <v>92</v>
      </c>
      <c r="N187" t="s">
        <v>23</v>
      </c>
      <c r="O187" t="s">
        <v>903</v>
      </c>
      <c r="P187" t="s">
        <v>904</v>
      </c>
      <c r="Q187" t="s">
        <v>905</v>
      </c>
    </row>
    <row r="188" spans="1:17" ht="9.9499999999999993" customHeight="1">
      <c r="A188" t="s">
        <v>906</v>
      </c>
      <c r="B188" t="s">
        <v>368</v>
      </c>
      <c r="C188" t="s">
        <v>29</v>
      </c>
      <c r="D188" t="s">
        <v>43</v>
      </c>
      <c r="E188" t="s">
        <v>44</v>
      </c>
      <c r="F188" t="s">
        <v>45</v>
      </c>
      <c r="G188" s="2">
        <v>45971</v>
      </c>
      <c r="H188" s="2">
        <v>46109</v>
      </c>
      <c r="I188" s="3">
        <v>73</v>
      </c>
      <c r="J188" s="4">
        <v>1.84</v>
      </c>
      <c r="K188" s="3">
        <v>92</v>
      </c>
      <c r="L188" s="3">
        <v>90</v>
      </c>
      <c r="M188" s="3">
        <v>52</v>
      </c>
      <c r="N188" t="s">
        <v>23</v>
      </c>
      <c r="O188" t="s">
        <v>907</v>
      </c>
      <c r="P188" t="s">
        <v>908</v>
      </c>
      <c r="Q188" t="s">
        <v>909</v>
      </c>
    </row>
    <row r="189" spans="1:17" ht="9.9499999999999993" customHeight="1">
      <c r="A189" t="s">
        <v>910</v>
      </c>
      <c r="B189" t="s">
        <v>741</v>
      </c>
      <c r="C189" t="s">
        <v>29</v>
      </c>
      <c r="D189" t="s">
        <v>20</v>
      </c>
      <c r="E189" t="s">
        <v>21</v>
      </c>
      <c r="F189" t="s">
        <v>45</v>
      </c>
      <c r="G189" s="2">
        <v>46035</v>
      </c>
      <c r="H189" s="2">
        <v>46137</v>
      </c>
      <c r="I189" s="3">
        <v>77</v>
      </c>
      <c r="J189" s="4">
        <v>2.39</v>
      </c>
      <c r="K189" s="3">
        <v>65</v>
      </c>
      <c r="L189" s="3">
        <v>45</v>
      </c>
      <c r="M189" s="3">
        <v>77</v>
      </c>
      <c r="N189" t="s">
        <v>78</v>
      </c>
      <c r="O189" t="s">
        <v>911</v>
      </c>
      <c r="P189" t="s">
        <v>912</v>
      </c>
      <c r="Q189" t="s">
        <v>913</v>
      </c>
    </row>
    <row r="190" spans="1:17" ht="9.9499999999999993" customHeight="1">
      <c r="A190" t="s">
        <v>914</v>
      </c>
      <c r="B190" t="s">
        <v>915</v>
      </c>
      <c r="C190" t="s">
        <v>29</v>
      </c>
      <c r="D190" t="s">
        <v>51</v>
      </c>
      <c r="E190" t="s">
        <v>52</v>
      </c>
      <c r="F190" t="s">
        <v>111</v>
      </c>
      <c r="G190" s="2">
        <v>45921</v>
      </c>
      <c r="H190" s="2">
        <v>45995</v>
      </c>
      <c r="I190" s="3">
        <v>60</v>
      </c>
      <c r="J190" s="4">
        <v>2.69</v>
      </c>
      <c r="K190" s="3">
        <v>64</v>
      </c>
      <c r="L190" s="3">
        <v>95</v>
      </c>
      <c r="M190" s="3">
        <v>37</v>
      </c>
      <c r="N190" t="s">
        <v>23</v>
      </c>
      <c r="O190" t="s">
        <v>916</v>
      </c>
      <c r="P190" t="s">
        <v>917</v>
      </c>
      <c r="Q190" t="s">
        <v>918</v>
      </c>
    </row>
    <row r="191" spans="1:17" ht="9.9499999999999993" customHeight="1">
      <c r="A191" t="s">
        <v>919</v>
      </c>
      <c r="B191" t="s">
        <v>920</v>
      </c>
      <c r="C191" t="s">
        <v>19</v>
      </c>
      <c r="D191" t="s">
        <v>71</v>
      </c>
      <c r="E191" t="s">
        <v>72</v>
      </c>
      <c r="F191" t="s">
        <v>84</v>
      </c>
      <c r="G191" s="2">
        <v>46045</v>
      </c>
      <c r="H191" s="2">
        <v>46127</v>
      </c>
      <c r="I191" s="3">
        <v>88</v>
      </c>
      <c r="J191" s="4">
        <v>3.82</v>
      </c>
      <c r="K191" s="3">
        <v>54</v>
      </c>
      <c r="L191" s="3">
        <v>62</v>
      </c>
      <c r="M191" s="3">
        <v>90</v>
      </c>
      <c r="N191" t="s">
        <v>23</v>
      </c>
      <c r="O191" t="s">
        <v>921</v>
      </c>
      <c r="P191" t="s">
        <v>922</v>
      </c>
      <c r="Q191" t="s">
        <v>923</v>
      </c>
    </row>
    <row r="192" spans="1:17" ht="9.9499999999999993" customHeight="1">
      <c r="A192" t="s">
        <v>924</v>
      </c>
      <c r="B192" t="s">
        <v>925</v>
      </c>
      <c r="C192" t="s">
        <v>29</v>
      </c>
      <c r="D192" t="s">
        <v>20</v>
      </c>
      <c r="E192" t="s">
        <v>21</v>
      </c>
      <c r="F192" t="s">
        <v>84</v>
      </c>
      <c r="G192" s="2">
        <v>45905</v>
      </c>
      <c r="H192" s="2">
        <v>46001</v>
      </c>
      <c r="I192" s="3">
        <v>92</v>
      </c>
      <c r="J192" s="4">
        <v>2.12</v>
      </c>
      <c r="K192" s="3">
        <v>92</v>
      </c>
      <c r="L192" s="3">
        <v>85</v>
      </c>
      <c r="M192" s="3">
        <v>39</v>
      </c>
      <c r="N192" t="s">
        <v>23</v>
      </c>
      <c r="O192" t="s">
        <v>926</v>
      </c>
      <c r="P192" t="s">
        <v>927</v>
      </c>
      <c r="Q192" t="s">
        <v>928</v>
      </c>
    </row>
    <row r="193" spans="1:17" ht="9.9499999999999993" customHeight="1">
      <c r="A193" t="s">
        <v>929</v>
      </c>
      <c r="B193" t="s">
        <v>930</v>
      </c>
      <c r="C193" t="s">
        <v>19</v>
      </c>
      <c r="D193" t="s">
        <v>71</v>
      </c>
      <c r="E193" t="s">
        <v>72</v>
      </c>
      <c r="F193" t="s">
        <v>45</v>
      </c>
      <c r="G193" s="2">
        <v>45985</v>
      </c>
      <c r="H193" s="2">
        <v>46104</v>
      </c>
      <c r="I193" s="3">
        <v>63</v>
      </c>
      <c r="J193" s="4">
        <v>3.54</v>
      </c>
      <c r="K193" s="3">
        <v>84</v>
      </c>
      <c r="L193" s="3">
        <v>45</v>
      </c>
      <c r="M193" s="3">
        <v>94</v>
      </c>
      <c r="N193" t="s">
        <v>23</v>
      </c>
      <c r="P193" t="s">
        <v>931</v>
      </c>
      <c r="Q193" t="s">
        <v>932</v>
      </c>
    </row>
    <row r="194" spans="1:17" ht="9.9499999999999993" customHeight="1">
      <c r="A194" t="s">
        <v>933</v>
      </c>
      <c r="B194" t="s">
        <v>934</v>
      </c>
      <c r="C194" t="s">
        <v>19</v>
      </c>
      <c r="D194" t="s">
        <v>20</v>
      </c>
      <c r="E194" t="s">
        <v>21</v>
      </c>
      <c r="F194" t="s">
        <v>193</v>
      </c>
      <c r="G194" s="2">
        <v>45988</v>
      </c>
      <c r="H194" s="2">
        <v>46108</v>
      </c>
      <c r="I194" s="3">
        <v>75</v>
      </c>
      <c r="J194" s="4">
        <v>1.87</v>
      </c>
      <c r="K194" s="3">
        <v>57</v>
      </c>
      <c r="L194" s="3">
        <v>92</v>
      </c>
      <c r="M194" s="3">
        <v>92</v>
      </c>
      <c r="N194" t="s">
        <v>23</v>
      </c>
      <c r="O194" t="s">
        <v>935</v>
      </c>
      <c r="P194" t="s">
        <v>936</v>
      </c>
      <c r="Q194" t="s">
        <v>937</v>
      </c>
    </row>
    <row r="195" spans="1:17" ht="9.9499999999999993" customHeight="1">
      <c r="A195" t="s">
        <v>938</v>
      </c>
      <c r="B195" t="s">
        <v>939</v>
      </c>
      <c r="C195" t="s">
        <v>29</v>
      </c>
      <c r="D195" t="s">
        <v>71</v>
      </c>
      <c r="E195" t="s">
        <v>72</v>
      </c>
      <c r="F195" t="s">
        <v>45</v>
      </c>
      <c r="G195" s="2">
        <v>46070</v>
      </c>
      <c r="H195" s="2">
        <v>46188</v>
      </c>
      <c r="I195" s="3">
        <v>60</v>
      </c>
      <c r="J195" s="4">
        <v>3.5</v>
      </c>
      <c r="K195" s="3">
        <v>58</v>
      </c>
      <c r="L195" s="3">
        <v>66</v>
      </c>
      <c r="M195" s="3">
        <v>39</v>
      </c>
      <c r="N195" t="s">
        <v>23</v>
      </c>
      <c r="O195" t="s">
        <v>940</v>
      </c>
      <c r="P195" t="s">
        <v>941</v>
      </c>
      <c r="Q195" t="s">
        <v>942</v>
      </c>
    </row>
    <row r="196" spans="1:17" ht="9.9499999999999993" customHeight="1">
      <c r="A196" t="s">
        <v>943</v>
      </c>
      <c r="B196" t="s">
        <v>388</v>
      </c>
      <c r="C196" t="s">
        <v>19</v>
      </c>
      <c r="D196" t="s">
        <v>51</v>
      </c>
      <c r="E196" t="s">
        <v>52</v>
      </c>
      <c r="F196" t="s">
        <v>84</v>
      </c>
      <c r="G196" s="2">
        <v>45928</v>
      </c>
      <c r="H196" s="2">
        <v>46009</v>
      </c>
      <c r="I196" s="3">
        <v>55</v>
      </c>
      <c r="J196" s="4">
        <v>3.87</v>
      </c>
      <c r="K196" s="3">
        <v>68</v>
      </c>
      <c r="L196" s="3">
        <v>81</v>
      </c>
      <c r="M196" s="3">
        <v>64</v>
      </c>
      <c r="N196" t="s">
        <v>23</v>
      </c>
      <c r="O196" t="s">
        <v>944</v>
      </c>
      <c r="P196" t="s">
        <v>945</v>
      </c>
      <c r="Q196" t="s">
        <v>946</v>
      </c>
    </row>
    <row r="197" spans="1:17" ht="9.9499999999999993" customHeight="1">
      <c r="A197" t="s">
        <v>947</v>
      </c>
      <c r="B197" t="s">
        <v>948</v>
      </c>
      <c r="C197" t="s">
        <v>19</v>
      </c>
      <c r="D197" t="s">
        <v>30</v>
      </c>
      <c r="E197" t="s">
        <v>31</v>
      </c>
      <c r="F197" t="s">
        <v>45</v>
      </c>
      <c r="G197" s="2">
        <v>46032</v>
      </c>
      <c r="H197" s="2">
        <v>46154</v>
      </c>
      <c r="I197" s="3">
        <v>61</v>
      </c>
      <c r="J197" s="4">
        <v>1.86</v>
      </c>
      <c r="K197" s="3">
        <v>62</v>
      </c>
      <c r="L197" s="3">
        <v>46</v>
      </c>
      <c r="M197" s="3">
        <v>71</v>
      </c>
      <c r="N197" t="s">
        <v>78</v>
      </c>
      <c r="O197" t="s">
        <v>949</v>
      </c>
      <c r="P197" t="s">
        <v>950</v>
      </c>
      <c r="Q197" t="s">
        <v>951</v>
      </c>
    </row>
    <row r="198" spans="1:17" ht="9.9499999999999993" customHeight="1">
      <c r="A198" t="s">
        <v>952</v>
      </c>
      <c r="B198" t="s">
        <v>953</v>
      </c>
      <c r="C198" t="s">
        <v>19</v>
      </c>
      <c r="D198" t="s">
        <v>43</v>
      </c>
      <c r="E198" t="s">
        <v>44</v>
      </c>
      <c r="F198" t="s">
        <v>111</v>
      </c>
      <c r="G198" s="2">
        <v>46044</v>
      </c>
      <c r="H198" s="2">
        <v>46145</v>
      </c>
      <c r="I198" s="3">
        <v>91</v>
      </c>
      <c r="J198" s="4">
        <v>2.95</v>
      </c>
      <c r="K198" s="3">
        <v>83</v>
      </c>
      <c r="L198" s="3">
        <v>83</v>
      </c>
      <c r="M198" s="3">
        <v>51</v>
      </c>
      <c r="N198" t="s">
        <v>23</v>
      </c>
      <c r="O198" t="s">
        <v>954</v>
      </c>
      <c r="P198" t="s">
        <v>955</v>
      </c>
      <c r="Q198" t="s">
        <v>956</v>
      </c>
    </row>
    <row r="199" spans="1:17" ht="9.9499999999999993" customHeight="1">
      <c r="A199" t="s">
        <v>957</v>
      </c>
      <c r="B199" t="s">
        <v>313</v>
      </c>
      <c r="C199" t="s">
        <v>29</v>
      </c>
      <c r="D199" t="s">
        <v>43</v>
      </c>
      <c r="E199" t="s">
        <v>44</v>
      </c>
      <c r="F199" t="s">
        <v>22</v>
      </c>
      <c r="G199" s="2">
        <v>46012</v>
      </c>
      <c r="H199" s="2">
        <v>46117</v>
      </c>
      <c r="I199" s="3">
        <v>81</v>
      </c>
      <c r="J199" s="4">
        <v>2.46</v>
      </c>
      <c r="K199" s="3">
        <v>90</v>
      </c>
      <c r="L199" s="3">
        <v>44</v>
      </c>
      <c r="M199" s="3">
        <v>76</v>
      </c>
      <c r="N199" t="s">
        <v>23</v>
      </c>
      <c r="O199" t="s">
        <v>958</v>
      </c>
      <c r="P199" t="s">
        <v>959</v>
      </c>
      <c r="Q199" t="s">
        <v>960</v>
      </c>
    </row>
    <row r="200" spans="1:17" ht="9.9499999999999993" customHeight="1">
      <c r="A200" t="s">
        <v>961</v>
      </c>
      <c r="B200" t="s">
        <v>962</v>
      </c>
      <c r="C200" t="s">
        <v>29</v>
      </c>
      <c r="D200" t="s">
        <v>59</v>
      </c>
      <c r="E200" t="s">
        <v>60</v>
      </c>
      <c r="F200" t="s">
        <v>193</v>
      </c>
      <c r="G200" s="2">
        <v>45935</v>
      </c>
      <c r="H200" s="2">
        <v>46043</v>
      </c>
      <c r="I200" s="3">
        <v>55</v>
      </c>
      <c r="J200" s="4">
        <v>3.89</v>
      </c>
      <c r="K200" s="3">
        <v>61</v>
      </c>
      <c r="L200" s="3">
        <v>83</v>
      </c>
      <c r="M200" s="3">
        <v>72</v>
      </c>
      <c r="N200" t="s">
        <v>23</v>
      </c>
      <c r="O200" t="s">
        <v>963</v>
      </c>
      <c r="P200" t="s">
        <v>964</v>
      </c>
      <c r="Q200" t="s">
        <v>965</v>
      </c>
    </row>
    <row r="201" spans="1:17" ht="9.9499999999999993" customHeight="1">
      <c r="A201" t="s">
        <v>440</v>
      </c>
      <c r="B201" t="s">
        <v>441</v>
      </c>
      <c r="C201" t="s">
        <v>19</v>
      </c>
      <c r="D201" t="s">
        <v>43</v>
      </c>
      <c r="E201" t="s">
        <v>44</v>
      </c>
      <c r="F201" t="s">
        <v>53</v>
      </c>
      <c r="G201" s="2">
        <v>45904</v>
      </c>
      <c r="H201" s="2">
        <v>46007</v>
      </c>
      <c r="I201" s="3">
        <v>89</v>
      </c>
      <c r="J201" s="4">
        <v>2.0699999999999998</v>
      </c>
      <c r="K201" s="3">
        <v>63</v>
      </c>
      <c r="L201" s="3">
        <v>68</v>
      </c>
      <c r="M201" s="3">
        <v>78</v>
      </c>
      <c r="N201" t="s">
        <v>32</v>
      </c>
      <c r="O201" t="s">
        <v>442</v>
      </c>
      <c r="P201" t="s">
        <v>443</v>
      </c>
      <c r="Q201" t="s">
        <v>444</v>
      </c>
    </row>
    <row r="202" spans="1:17" ht="9.9499999999999993" customHeight="1">
      <c r="A202" t="s">
        <v>966</v>
      </c>
      <c r="B202" t="s">
        <v>746</v>
      </c>
      <c r="C202" t="s">
        <v>29</v>
      </c>
      <c r="D202" t="s">
        <v>51</v>
      </c>
      <c r="E202" t="s">
        <v>52</v>
      </c>
      <c r="F202" t="s">
        <v>53</v>
      </c>
      <c r="G202" s="2">
        <v>45972</v>
      </c>
      <c r="H202" s="2">
        <v>46092</v>
      </c>
      <c r="I202" s="3">
        <v>78</v>
      </c>
      <c r="J202" s="4">
        <v>2.0499999999999998</v>
      </c>
      <c r="K202" s="3">
        <v>76</v>
      </c>
      <c r="L202" s="3">
        <v>60</v>
      </c>
      <c r="M202" s="3">
        <v>99</v>
      </c>
      <c r="N202" t="s">
        <v>23</v>
      </c>
      <c r="O202" t="s">
        <v>967</v>
      </c>
      <c r="P202" t="s">
        <v>968</v>
      </c>
      <c r="Q202" t="s">
        <v>969</v>
      </c>
    </row>
    <row r="203" spans="1:17" ht="9.9499999999999993" customHeight="1">
      <c r="A203" t="s">
        <v>970</v>
      </c>
      <c r="B203" t="s">
        <v>971</v>
      </c>
      <c r="C203" t="s">
        <v>29</v>
      </c>
      <c r="D203" t="s">
        <v>59</v>
      </c>
      <c r="E203" t="s">
        <v>60</v>
      </c>
      <c r="F203" t="s">
        <v>84</v>
      </c>
      <c r="G203" s="2">
        <v>46078</v>
      </c>
      <c r="H203" s="2">
        <v>46156</v>
      </c>
      <c r="I203" s="3">
        <v>81</v>
      </c>
      <c r="J203" s="4">
        <v>3.28</v>
      </c>
      <c r="K203" s="3">
        <v>48</v>
      </c>
      <c r="L203" s="3">
        <v>73</v>
      </c>
      <c r="M203" s="3">
        <v>60</v>
      </c>
      <c r="N203" t="s">
        <v>23</v>
      </c>
      <c r="O203" t="s">
        <v>972</v>
      </c>
      <c r="P203" t="s">
        <v>973</v>
      </c>
      <c r="Q203" t="s">
        <v>974</v>
      </c>
    </row>
    <row r="204" spans="1:17" ht="9.9499999999999993" customHeight="1">
      <c r="A204" t="s">
        <v>975</v>
      </c>
      <c r="B204" t="s">
        <v>203</v>
      </c>
      <c r="C204" t="s">
        <v>29</v>
      </c>
      <c r="D204" t="s">
        <v>59</v>
      </c>
      <c r="E204" t="s">
        <v>60</v>
      </c>
      <c r="F204" t="s">
        <v>45</v>
      </c>
      <c r="G204" s="2">
        <v>46023</v>
      </c>
      <c r="H204" s="2">
        <v>46144</v>
      </c>
      <c r="I204" s="3">
        <v>89</v>
      </c>
      <c r="J204" s="4">
        <v>2.91</v>
      </c>
      <c r="K204" s="3">
        <v>98</v>
      </c>
      <c r="L204" s="3">
        <v>88</v>
      </c>
      <c r="M204" s="3">
        <v>99</v>
      </c>
      <c r="N204" t="s">
        <v>976</v>
      </c>
      <c r="O204" t="s">
        <v>977</v>
      </c>
      <c r="P204" t="s">
        <v>978</v>
      </c>
      <c r="Q204" t="s">
        <v>979</v>
      </c>
    </row>
    <row r="205" spans="1:17" ht="9.9499999999999993" customHeight="1">
      <c r="A205" t="s">
        <v>980</v>
      </c>
      <c r="B205" t="s">
        <v>981</v>
      </c>
      <c r="C205" t="s">
        <v>29</v>
      </c>
      <c r="D205" t="s">
        <v>43</v>
      </c>
      <c r="E205" t="s">
        <v>44</v>
      </c>
      <c r="F205" t="s">
        <v>22</v>
      </c>
      <c r="G205" s="2">
        <v>46069</v>
      </c>
      <c r="H205" s="2">
        <v>46184</v>
      </c>
      <c r="I205" s="3">
        <v>65</v>
      </c>
      <c r="J205" s="4">
        <v>3.22</v>
      </c>
      <c r="K205" s="3">
        <v>42</v>
      </c>
      <c r="L205" s="3">
        <v>86</v>
      </c>
      <c r="M205" s="3">
        <v>72</v>
      </c>
      <c r="N205" t="s">
        <v>78</v>
      </c>
      <c r="O205" t="s">
        <v>982</v>
      </c>
      <c r="P205" t="s">
        <v>983</v>
      </c>
      <c r="Q205" t="s">
        <v>984</v>
      </c>
    </row>
    <row r="206" spans="1:17" ht="9.9499999999999993" customHeight="1">
      <c r="A206" t="s">
        <v>985</v>
      </c>
      <c r="B206" t="s">
        <v>18</v>
      </c>
      <c r="C206" t="s">
        <v>29</v>
      </c>
      <c r="D206" t="s">
        <v>51</v>
      </c>
      <c r="E206" t="s">
        <v>52</v>
      </c>
      <c r="F206" t="s">
        <v>22</v>
      </c>
      <c r="G206" s="2">
        <v>46031</v>
      </c>
      <c r="H206" s="2">
        <v>46167</v>
      </c>
      <c r="I206" s="3">
        <v>90</v>
      </c>
      <c r="J206" s="4">
        <v>3.08</v>
      </c>
      <c r="K206" s="3">
        <v>76</v>
      </c>
      <c r="L206" s="3">
        <v>63</v>
      </c>
      <c r="M206" s="3">
        <v>87</v>
      </c>
      <c r="N206" t="s">
        <v>23</v>
      </c>
      <c r="O206" t="s">
        <v>986</v>
      </c>
      <c r="P206" t="s">
        <v>987</v>
      </c>
      <c r="Q206" t="s">
        <v>988</v>
      </c>
    </row>
    <row r="207" spans="1:17" ht="9.9499999999999993" customHeight="1">
      <c r="A207" t="s">
        <v>989</v>
      </c>
      <c r="B207" t="s">
        <v>990</v>
      </c>
      <c r="C207" t="s">
        <v>29</v>
      </c>
      <c r="D207" t="s">
        <v>51</v>
      </c>
      <c r="E207" t="s">
        <v>52</v>
      </c>
      <c r="F207" t="s">
        <v>193</v>
      </c>
      <c r="G207" s="2">
        <v>46024</v>
      </c>
      <c r="H207" s="2">
        <v>46107</v>
      </c>
      <c r="I207" s="3">
        <v>73</v>
      </c>
      <c r="J207" s="4">
        <v>2.72</v>
      </c>
      <c r="K207" s="3">
        <v>45</v>
      </c>
      <c r="L207" s="3">
        <v>49</v>
      </c>
      <c r="M207" s="3">
        <v>48</v>
      </c>
      <c r="N207" t="s">
        <v>23</v>
      </c>
      <c r="O207" t="s">
        <v>991</v>
      </c>
      <c r="P207" t="s">
        <v>992</v>
      </c>
      <c r="Q207" t="s">
        <v>993</v>
      </c>
    </row>
    <row r="208" spans="1:17" ht="9.9499999999999993" customHeight="1">
      <c r="A208" t="s">
        <v>994</v>
      </c>
      <c r="B208" t="s">
        <v>712</v>
      </c>
      <c r="C208" t="s">
        <v>19</v>
      </c>
      <c r="D208" t="s">
        <v>51</v>
      </c>
      <c r="E208" t="s">
        <v>52</v>
      </c>
      <c r="F208" t="s">
        <v>53</v>
      </c>
      <c r="G208" s="2">
        <v>45925</v>
      </c>
      <c r="H208" s="2">
        <v>46051</v>
      </c>
      <c r="I208" s="3">
        <v>99</v>
      </c>
      <c r="J208" s="4">
        <v>2.8</v>
      </c>
      <c r="K208" s="3">
        <v>44</v>
      </c>
      <c r="L208" s="3">
        <v>73</v>
      </c>
      <c r="M208" s="3">
        <v>35</v>
      </c>
      <c r="N208" t="s">
        <v>32</v>
      </c>
      <c r="O208" t="s">
        <v>995</v>
      </c>
      <c r="P208" t="s">
        <v>996</v>
      </c>
      <c r="Q208" t="s">
        <v>997</v>
      </c>
    </row>
    <row r="209" spans="1:17" ht="9.9499999999999993" customHeight="1">
      <c r="A209" t="s">
        <v>998</v>
      </c>
      <c r="B209" t="s">
        <v>805</v>
      </c>
      <c r="C209" t="s">
        <v>29</v>
      </c>
      <c r="D209" t="s">
        <v>71</v>
      </c>
      <c r="E209" t="s">
        <v>72</v>
      </c>
      <c r="F209" t="s">
        <v>22</v>
      </c>
      <c r="G209" s="2">
        <v>45963</v>
      </c>
      <c r="H209" s="2">
        <v>46099</v>
      </c>
      <c r="I209" s="3">
        <v>66</v>
      </c>
      <c r="J209" s="4">
        <v>3.01</v>
      </c>
      <c r="K209" s="3">
        <v>61</v>
      </c>
      <c r="L209" s="3">
        <v>89</v>
      </c>
      <c r="M209" s="3">
        <v>89</v>
      </c>
      <c r="N209" t="s">
        <v>23</v>
      </c>
      <c r="O209" t="s">
        <v>999</v>
      </c>
      <c r="P209" t="s">
        <v>1000</v>
      </c>
      <c r="Q209" t="s">
        <v>1001</v>
      </c>
    </row>
    <row r="210" spans="1:17" ht="9.9499999999999993" customHeight="1">
      <c r="A210" t="s">
        <v>1002</v>
      </c>
      <c r="B210" t="s">
        <v>1003</v>
      </c>
      <c r="C210" t="s">
        <v>19</v>
      </c>
      <c r="D210" t="s">
        <v>59</v>
      </c>
      <c r="E210" t="s">
        <v>60</v>
      </c>
      <c r="F210" t="s">
        <v>193</v>
      </c>
      <c r="G210" s="2">
        <v>46058</v>
      </c>
      <c r="H210" s="2">
        <v>46153</v>
      </c>
      <c r="I210" s="3">
        <v>83</v>
      </c>
      <c r="J210" s="4">
        <v>3.1</v>
      </c>
      <c r="K210" s="3">
        <v>64</v>
      </c>
      <c r="L210" s="3">
        <v>35</v>
      </c>
      <c r="M210" s="3">
        <v>57</v>
      </c>
      <c r="N210" t="s">
        <v>23</v>
      </c>
      <c r="O210" t="s">
        <v>1004</v>
      </c>
      <c r="P210" t="s">
        <v>1005</v>
      </c>
      <c r="Q210" t="s">
        <v>1006</v>
      </c>
    </row>
    <row r="211" spans="1:17" ht="9.9499999999999993" customHeight="1">
      <c r="G211" s="2"/>
      <c r="H211" s="2"/>
      <c r="I211" s="3"/>
      <c r="J211" s="4"/>
      <c r="K211" s="3"/>
      <c r="L211" s="3"/>
      <c r="M211" s="3"/>
    </row>
    <row r="212" spans="1:17" ht="9.9499999999999993" customHeight="1">
      <c r="A212" t="s">
        <v>1007</v>
      </c>
      <c r="B212" t="s">
        <v>1008</v>
      </c>
      <c r="C212" t="s">
        <v>19</v>
      </c>
      <c r="D212" t="s">
        <v>30</v>
      </c>
      <c r="E212" t="s">
        <v>31</v>
      </c>
      <c r="F212" t="s">
        <v>193</v>
      </c>
      <c r="G212" s="2">
        <v>45990</v>
      </c>
      <c r="H212" s="2">
        <v>46105</v>
      </c>
      <c r="I212" s="3">
        <v>84</v>
      </c>
      <c r="J212" s="4">
        <v>3.16</v>
      </c>
      <c r="K212" s="3">
        <v>92</v>
      </c>
      <c r="L212" s="3">
        <v>73</v>
      </c>
      <c r="M212" s="3">
        <v>40</v>
      </c>
      <c r="N212" t="s">
        <v>23</v>
      </c>
      <c r="O212" t="s">
        <v>1009</v>
      </c>
      <c r="P212" t="s">
        <v>1010</v>
      </c>
      <c r="Q212" t="s">
        <v>1011</v>
      </c>
    </row>
    <row r="213" spans="1:17" ht="9.9499999999999993" customHeight="1">
      <c r="A213" t="s">
        <v>1012</v>
      </c>
      <c r="B213" t="s">
        <v>104</v>
      </c>
      <c r="C213" t="s">
        <v>19</v>
      </c>
      <c r="D213" t="s">
        <v>43</v>
      </c>
      <c r="E213" t="s">
        <v>44</v>
      </c>
      <c r="G213" s="2">
        <v>45996</v>
      </c>
      <c r="H213" s="2">
        <v>46084</v>
      </c>
      <c r="I213" s="3">
        <v>87</v>
      </c>
      <c r="J213" s="4">
        <v>2.65</v>
      </c>
      <c r="K213" s="3">
        <v>78</v>
      </c>
      <c r="L213" s="3">
        <v>52</v>
      </c>
      <c r="M213" s="3">
        <v>79</v>
      </c>
      <c r="N213" t="s">
        <v>23</v>
      </c>
      <c r="O213" t="s">
        <v>1013</v>
      </c>
      <c r="P213" t="s">
        <v>1014</v>
      </c>
      <c r="Q213" t="s">
        <v>1015</v>
      </c>
    </row>
    <row r="214" spans="1:17" ht="9.9499999999999993" customHeight="1">
      <c r="A214" t="s">
        <v>1016</v>
      </c>
      <c r="B214" t="s">
        <v>1017</v>
      </c>
      <c r="C214" t="s">
        <v>29</v>
      </c>
      <c r="D214" t="s">
        <v>59</v>
      </c>
      <c r="E214" t="s">
        <v>60</v>
      </c>
      <c r="F214" t="s">
        <v>84</v>
      </c>
      <c r="G214" s="2">
        <v>45936</v>
      </c>
      <c r="H214" s="2">
        <v>46029</v>
      </c>
      <c r="I214" s="3">
        <v>75</v>
      </c>
      <c r="J214" s="4">
        <v>3.65</v>
      </c>
      <c r="K214" s="3">
        <v>79</v>
      </c>
      <c r="L214" s="3">
        <v>41</v>
      </c>
      <c r="M214" s="3">
        <v>75</v>
      </c>
      <c r="N214" t="s">
        <v>78</v>
      </c>
      <c r="O214" t="s">
        <v>1018</v>
      </c>
      <c r="P214" t="s">
        <v>1019</v>
      </c>
      <c r="Q214" t="s">
        <v>1020</v>
      </c>
    </row>
    <row r="215" spans="1:17" ht="9.9499999999999993" customHeight="1">
      <c r="A215" t="s">
        <v>1021</v>
      </c>
      <c r="B215" t="s">
        <v>232</v>
      </c>
      <c r="C215" t="s">
        <v>19</v>
      </c>
      <c r="D215" t="s">
        <v>30</v>
      </c>
      <c r="E215" t="s">
        <v>31</v>
      </c>
      <c r="F215" t="s">
        <v>45</v>
      </c>
      <c r="G215" s="2">
        <v>46068</v>
      </c>
      <c r="H215" s="2">
        <v>46201</v>
      </c>
      <c r="I215" s="3">
        <v>81</v>
      </c>
      <c r="J215" s="4">
        <v>3.31</v>
      </c>
      <c r="K215" s="3">
        <v>66</v>
      </c>
      <c r="L215" s="3">
        <v>91</v>
      </c>
      <c r="M215" s="3">
        <v>92</v>
      </c>
      <c r="N215" t="s">
        <v>23</v>
      </c>
      <c r="O215" t="s">
        <v>1022</v>
      </c>
      <c r="P215" t="s">
        <v>1023</v>
      </c>
      <c r="Q215" t="s">
        <v>1024</v>
      </c>
    </row>
    <row r="216" spans="1:17" ht="9.9499999999999993" customHeight="1">
      <c r="A216" t="s">
        <v>1025</v>
      </c>
      <c r="B216" t="s">
        <v>1026</v>
      </c>
      <c r="C216" t="s">
        <v>19</v>
      </c>
      <c r="D216" t="s">
        <v>43</v>
      </c>
      <c r="E216" t="s">
        <v>44</v>
      </c>
      <c r="F216" t="s">
        <v>84</v>
      </c>
      <c r="G216" s="2">
        <v>45958</v>
      </c>
      <c r="H216" s="2">
        <v>46096</v>
      </c>
      <c r="I216" s="3">
        <v>73</v>
      </c>
      <c r="J216" s="4">
        <v>2.17</v>
      </c>
      <c r="K216" s="3">
        <v>69</v>
      </c>
      <c r="L216" s="3">
        <v>98</v>
      </c>
      <c r="M216" s="3">
        <v>100</v>
      </c>
      <c r="N216" t="s">
        <v>23</v>
      </c>
      <c r="O216" t="s">
        <v>1027</v>
      </c>
      <c r="P216" t="s">
        <v>1028</v>
      </c>
      <c r="Q216" t="s">
        <v>1029</v>
      </c>
    </row>
    <row r="217" spans="1:17" ht="9.9499999999999993" customHeight="1">
      <c r="A217" t="s">
        <v>1030</v>
      </c>
      <c r="B217" t="s">
        <v>187</v>
      </c>
      <c r="C217" t="s">
        <v>19</v>
      </c>
      <c r="D217" t="s">
        <v>30</v>
      </c>
      <c r="E217" t="s">
        <v>31</v>
      </c>
      <c r="F217" t="s">
        <v>193</v>
      </c>
      <c r="G217" s="2">
        <v>46013</v>
      </c>
      <c r="H217" s="2">
        <v>46152</v>
      </c>
      <c r="I217" s="3">
        <v>68</v>
      </c>
      <c r="J217" s="4">
        <v>3.98</v>
      </c>
      <c r="K217" s="3">
        <v>46</v>
      </c>
      <c r="L217" s="3">
        <v>66</v>
      </c>
      <c r="M217" s="3">
        <v>68</v>
      </c>
      <c r="N217" t="s">
        <v>78</v>
      </c>
      <c r="O217" t="s">
        <v>1031</v>
      </c>
      <c r="P217" t="s">
        <v>1032</v>
      </c>
      <c r="Q217" t="s">
        <v>1033</v>
      </c>
    </row>
    <row r="218" spans="1:17" ht="9.9499999999999993" customHeight="1">
      <c r="A218" t="s">
        <v>1034</v>
      </c>
      <c r="B218" t="s">
        <v>1035</v>
      </c>
      <c r="C218" t="s">
        <v>19</v>
      </c>
      <c r="D218" t="s">
        <v>43</v>
      </c>
      <c r="E218" t="s">
        <v>44</v>
      </c>
      <c r="F218" t="s">
        <v>53</v>
      </c>
      <c r="G218" s="2">
        <v>45931</v>
      </c>
      <c r="H218" s="2">
        <v>46031</v>
      </c>
      <c r="I218" s="3">
        <v>68</v>
      </c>
      <c r="J218" s="4">
        <v>3.58</v>
      </c>
      <c r="K218" s="3">
        <v>77</v>
      </c>
      <c r="L218" s="3">
        <v>79</v>
      </c>
      <c r="M218" s="3">
        <v>84</v>
      </c>
      <c r="N218" t="s">
        <v>23</v>
      </c>
      <c r="O218" t="s">
        <v>1036</v>
      </c>
      <c r="P218" t="s">
        <v>1037</v>
      </c>
      <c r="Q218" t="s">
        <v>1038</v>
      </c>
    </row>
    <row r="219" spans="1:17" ht="9.9499999999999993" customHeight="1">
      <c r="A219" t="s">
        <v>1039</v>
      </c>
      <c r="B219" t="s">
        <v>1040</v>
      </c>
      <c r="C219" t="s">
        <v>29</v>
      </c>
      <c r="D219" t="s">
        <v>30</v>
      </c>
      <c r="E219" t="s">
        <v>31</v>
      </c>
      <c r="F219" t="s">
        <v>84</v>
      </c>
      <c r="G219" s="2">
        <v>46037</v>
      </c>
      <c r="H219" s="2">
        <v>46142</v>
      </c>
      <c r="I219" s="3">
        <v>93</v>
      </c>
      <c r="J219" s="4">
        <v>2.99</v>
      </c>
      <c r="K219" s="3">
        <v>60</v>
      </c>
      <c r="L219" s="3">
        <v>72</v>
      </c>
      <c r="M219" s="3">
        <v>67</v>
      </c>
      <c r="N219" t="s">
        <v>23</v>
      </c>
      <c r="O219" t="s">
        <v>1041</v>
      </c>
      <c r="P219" t="s">
        <v>1042</v>
      </c>
      <c r="Q219" t="s">
        <v>1043</v>
      </c>
    </row>
    <row r="220" spans="1:17" ht="9.9499999999999993" customHeight="1">
      <c r="A220" t="s">
        <v>1044</v>
      </c>
      <c r="B220" t="s">
        <v>77</v>
      </c>
      <c r="C220" t="s">
        <v>19</v>
      </c>
      <c r="D220" t="s">
        <v>43</v>
      </c>
      <c r="E220" t="s">
        <v>44</v>
      </c>
      <c r="F220" t="s">
        <v>84</v>
      </c>
      <c r="G220" s="2">
        <v>46068</v>
      </c>
      <c r="H220" s="2">
        <v>46154</v>
      </c>
      <c r="I220" s="3">
        <v>99</v>
      </c>
      <c r="J220" s="4">
        <v>3.71</v>
      </c>
      <c r="K220" s="3">
        <v>55</v>
      </c>
      <c r="L220" s="3">
        <v>53</v>
      </c>
      <c r="M220" s="3">
        <v>71</v>
      </c>
      <c r="N220" t="s">
        <v>32</v>
      </c>
      <c r="O220" t="s">
        <v>1045</v>
      </c>
      <c r="P220" t="s">
        <v>1046</v>
      </c>
      <c r="Q220" t="s">
        <v>1047</v>
      </c>
    </row>
    <row r="221" spans="1:17" ht="9.9499999999999993" customHeight="1">
      <c r="A221" t="s">
        <v>1048</v>
      </c>
      <c r="B221" t="s">
        <v>1049</v>
      </c>
      <c r="C221" t="s">
        <v>19</v>
      </c>
      <c r="D221" t="s">
        <v>71</v>
      </c>
      <c r="E221" t="s">
        <v>1050</v>
      </c>
      <c r="F221" t="s">
        <v>53</v>
      </c>
      <c r="G221" s="2">
        <v>45997</v>
      </c>
      <c r="H221" s="2">
        <v>46124</v>
      </c>
      <c r="I221" s="3">
        <v>59</v>
      </c>
      <c r="J221" s="4">
        <v>3.19</v>
      </c>
      <c r="K221" s="3">
        <v>96</v>
      </c>
      <c r="L221" s="3">
        <v>46</v>
      </c>
      <c r="M221" s="3">
        <v>81</v>
      </c>
      <c r="N221" t="s">
        <v>23</v>
      </c>
      <c r="O221" t="s">
        <v>1051</v>
      </c>
      <c r="P221" t="s">
        <v>1052</v>
      </c>
      <c r="Q221" t="s">
        <v>1053</v>
      </c>
    </row>
    <row r="222" spans="1:17" ht="9.9499999999999993" customHeight="1">
      <c r="A222" t="s">
        <v>1054</v>
      </c>
      <c r="B222" t="s">
        <v>1055</v>
      </c>
      <c r="C222" t="s">
        <v>19</v>
      </c>
      <c r="D222" t="s">
        <v>51</v>
      </c>
      <c r="E222" t="s">
        <v>52</v>
      </c>
      <c r="F222" t="s">
        <v>45</v>
      </c>
      <c r="G222" s="2">
        <v>45901</v>
      </c>
      <c r="H222" s="2">
        <v>45982</v>
      </c>
      <c r="I222" s="3">
        <v>84</v>
      </c>
      <c r="J222" s="4">
        <v>3.2</v>
      </c>
      <c r="K222" s="3">
        <v>84</v>
      </c>
      <c r="L222" s="3">
        <v>80</v>
      </c>
      <c r="M222" s="3">
        <v>38</v>
      </c>
      <c r="N222" t="s">
        <v>32</v>
      </c>
      <c r="O222" t="s">
        <v>1056</v>
      </c>
      <c r="P222" t="s">
        <v>1057</v>
      </c>
      <c r="Q222" t="s">
        <v>1058</v>
      </c>
    </row>
    <row r="223" spans="1:17" ht="9.9499999999999993" customHeight="1">
      <c r="A223" t="s">
        <v>1059</v>
      </c>
      <c r="B223" t="s">
        <v>1060</v>
      </c>
      <c r="C223" t="s">
        <v>29</v>
      </c>
      <c r="D223" t="s">
        <v>59</v>
      </c>
      <c r="E223" t="s">
        <v>60</v>
      </c>
      <c r="F223" t="s">
        <v>84</v>
      </c>
      <c r="G223" s="2">
        <v>45983</v>
      </c>
      <c r="H223" s="2">
        <v>46089</v>
      </c>
      <c r="I223" s="3"/>
      <c r="J223" s="4">
        <v>3</v>
      </c>
      <c r="K223" s="3">
        <v>48</v>
      </c>
      <c r="L223" s="3">
        <v>97</v>
      </c>
      <c r="M223" s="3">
        <v>73</v>
      </c>
      <c r="N223" t="s">
        <v>78</v>
      </c>
      <c r="O223" t="s">
        <v>1061</v>
      </c>
      <c r="P223" t="s">
        <v>1062</v>
      </c>
      <c r="Q223" t="s">
        <v>1063</v>
      </c>
    </row>
    <row r="224" spans="1:17" ht="9.9499999999999993" customHeight="1">
      <c r="A224" t="s">
        <v>1064</v>
      </c>
      <c r="B224" t="s">
        <v>934</v>
      </c>
      <c r="C224" t="s">
        <v>19</v>
      </c>
      <c r="D224" t="s">
        <v>43</v>
      </c>
      <c r="E224" t="s">
        <v>44</v>
      </c>
      <c r="F224" t="s">
        <v>193</v>
      </c>
      <c r="G224" s="2">
        <v>45941</v>
      </c>
      <c r="H224" s="2">
        <v>46067</v>
      </c>
      <c r="I224" s="3">
        <v>84</v>
      </c>
      <c r="J224" s="4">
        <v>1.8</v>
      </c>
      <c r="K224" s="3">
        <v>67</v>
      </c>
      <c r="L224" s="3">
        <v>60</v>
      </c>
      <c r="M224" s="3">
        <v>46</v>
      </c>
      <c r="N224" t="s">
        <v>78</v>
      </c>
      <c r="O224" t="s">
        <v>1065</v>
      </c>
      <c r="P224" t="s">
        <v>1066</v>
      </c>
      <c r="Q224" t="s">
        <v>1067</v>
      </c>
    </row>
    <row r="225" spans="1:17" ht="9.9499999999999993" customHeight="1">
      <c r="A225" t="s">
        <v>1068</v>
      </c>
      <c r="B225" t="s">
        <v>1069</v>
      </c>
      <c r="C225" t="s">
        <v>29</v>
      </c>
      <c r="D225" t="s">
        <v>71</v>
      </c>
      <c r="E225" t="s">
        <v>72</v>
      </c>
      <c r="F225" t="s">
        <v>84</v>
      </c>
      <c r="G225" s="2">
        <v>45965</v>
      </c>
      <c r="H225" s="2">
        <v>46045</v>
      </c>
      <c r="I225" s="3">
        <v>78</v>
      </c>
      <c r="J225" s="4">
        <v>3.26</v>
      </c>
      <c r="K225" s="3">
        <v>81</v>
      </c>
      <c r="L225" s="3">
        <v>56</v>
      </c>
      <c r="M225" s="3">
        <v>36</v>
      </c>
      <c r="N225" t="s">
        <v>23</v>
      </c>
      <c r="O225" t="s">
        <v>1070</v>
      </c>
      <c r="P225" t="s">
        <v>1071</v>
      </c>
      <c r="Q225" t="s">
        <v>1072</v>
      </c>
    </row>
    <row r="226" spans="1:17" ht="9.9499999999999993" customHeight="1">
      <c r="A226" t="s">
        <v>1073</v>
      </c>
      <c r="B226" t="s">
        <v>505</v>
      </c>
      <c r="C226" t="s">
        <v>29</v>
      </c>
      <c r="D226" t="s">
        <v>71</v>
      </c>
      <c r="E226" t="s">
        <v>72</v>
      </c>
      <c r="F226" t="s">
        <v>193</v>
      </c>
      <c r="G226" s="2">
        <v>45901</v>
      </c>
      <c r="H226" s="2">
        <v>45998</v>
      </c>
      <c r="I226" s="3">
        <v>85</v>
      </c>
      <c r="J226" s="4">
        <v>1.97</v>
      </c>
      <c r="K226" s="3">
        <v>77</v>
      </c>
      <c r="L226" s="3">
        <v>63</v>
      </c>
      <c r="M226" s="3">
        <v>96</v>
      </c>
      <c r="N226" t="s">
        <v>23</v>
      </c>
      <c r="O226" t="s">
        <v>1074</v>
      </c>
      <c r="P226" t="s">
        <v>1075</v>
      </c>
      <c r="Q226" t="s">
        <v>1076</v>
      </c>
    </row>
    <row r="227" spans="1:17" ht="9.9499999999999993" customHeight="1">
      <c r="A227" t="s">
        <v>1077</v>
      </c>
      <c r="B227" t="s">
        <v>805</v>
      </c>
      <c r="C227" t="s">
        <v>29</v>
      </c>
      <c r="D227" t="s">
        <v>59</v>
      </c>
      <c r="E227" t="s">
        <v>60</v>
      </c>
      <c r="F227" t="s">
        <v>111</v>
      </c>
      <c r="G227" s="2">
        <v>45934</v>
      </c>
      <c r="H227" s="2">
        <v>46065</v>
      </c>
      <c r="I227" s="3">
        <v>59</v>
      </c>
      <c r="J227" s="4">
        <v>2.2999999999999998</v>
      </c>
      <c r="K227" s="3">
        <v>45</v>
      </c>
      <c r="L227" s="3">
        <v>48</v>
      </c>
      <c r="M227" s="3">
        <v>43</v>
      </c>
      <c r="N227" t="s">
        <v>23</v>
      </c>
      <c r="O227" t="s">
        <v>1078</v>
      </c>
      <c r="P227" t="s">
        <v>1079</v>
      </c>
      <c r="Q227" t="s">
        <v>1080</v>
      </c>
    </row>
    <row r="228" spans="1:17" ht="9.9499999999999993" customHeight="1">
      <c r="A228" t="s">
        <v>1081</v>
      </c>
      <c r="B228" t="s">
        <v>1082</v>
      </c>
      <c r="C228" t="s">
        <v>29</v>
      </c>
      <c r="D228" t="s">
        <v>71</v>
      </c>
      <c r="E228" t="s">
        <v>72</v>
      </c>
      <c r="F228" t="s">
        <v>111</v>
      </c>
      <c r="G228" s="2">
        <v>45937</v>
      </c>
      <c r="H228" s="2">
        <v>46015</v>
      </c>
      <c r="I228" s="3">
        <v>88</v>
      </c>
      <c r="J228" s="4">
        <v>3.04</v>
      </c>
      <c r="K228" s="3">
        <v>79</v>
      </c>
      <c r="L228" s="3">
        <v>56</v>
      </c>
      <c r="M228" s="3">
        <v>86</v>
      </c>
      <c r="N228" t="s">
        <v>23</v>
      </c>
      <c r="O228" t="s">
        <v>1083</v>
      </c>
      <c r="P228" t="s">
        <v>1084</v>
      </c>
      <c r="Q228" t="s">
        <v>1085</v>
      </c>
    </row>
    <row r="229" spans="1:17" ht="9.9499999999999993" customHeight="1">
      <c r="A229" t="s">
        <v>1086</v>
      </c>
      <c r="B229" t="s">
        <v>393</v>
      </c>
      <c r="C229" t="s">
        <v>19</v>
      </c>
      <c r="D229" t="s">
        <v>20</v>
      </c>
      <c r="E229" t="s">
        <v>21</v>
      </c>
      <c r="F229" t="s">
        <v>193</v>
      </c>
      <c r="G229" s="2">
        <v>45926</v>
      </c>
      <c r="H229" s="2">
        <v>46013</v>
      </c>
      <c r="I229" s="3">
        <v>115</v>
      </c>
      <c r="J229" s="4">
        <v>3.1</v>
      </c>
      <c r="K229" s="3">
        <v>64</v>
      </c>
      <c r="L229" s="3">
        <v>79</v>
      </c>
      <c r="M229" s="3">
        <v>84</v>
      </c>
      <c r="N229" t="s">
        <v>23</v>
      </c>
      <c r="O229" t="s">
        <v>1087</v>
      </c>
      <c r="P229" t="s">
        <v>1088</v>
      </c>
      <c r="Q229" t="s">
        <v>1089</v>
      </c>
    </row>
    <row r="230" spans="1:17" ht="9.9499999999999993" customHeight="1">
      <c r="A230" t="s">
        <v>1090</v>
      </c>
      <c r="B230" t="s">
        <v>146</v>
      </c>
      <c r="C230" t="s">
        <v>29</v>
      </c>
      <c r="D230" t="s">
        <v>20</v>
      </c>
      <c r="E230" t="s">
        <v>21</v>
      </c>
      <c r="F230" t="s">
        <v>45</v>
      </c>
      <c r="G230" s="2">
        <v>46054</v>
      </c>
      <c r="H230" s="2">
        <v>46160</v>
      </c>
      <c r="I230" s="3">
        <v>99</v>
      </c>
      <c r="J230" s="4">
        <v>1.86</v>
      </c>
      <c r="K230" s="3">
        <v>94</v>
      </c>
      <c r="L230" s="3">
        <v>73</v>
      </c>
      <c r="M230" s="3">
        <v>56</v>
      </c>
      <c r="N230" t="s">
        <v>23</v>
      </c>
      <c r="O230" t="s">
        <v>1091</v>
      </c>
      <c r="P230" t="s">
        <v>1092</v>
      </c>
      <c r="Q230" t="s">
        <v>1093</v>
      </c>
    </row>
    <row r="231" spans="1:17" ht="9.9499999999999993" customHeight="1">
      <c r="A231" t="s">
        <v>496</v>
      </c>
      <c r="B231" t="s">
        <v>70</v>
      </c>
      <c r="C231" t="s">
        <v>19</v>
      </c>
      <c r="D231" t="s">
        <v>71</v>
      </c>
      <c r="E231" t="s">
        <v>72</v>
      </c>
      <c r="F231" t="s">
        <v>193</v>
      </c>
      <c r="G231" s="2">
        <v>46006</v>
      </c>
      <c r="H231" s="2">
        <v>46121</v>
      </c>
      <c r="I231" s="3">
        <v>97</v>
      </c>
      <c r="J231" s="4">
        <v>3.87</v>
      </c>
      <c r="K231" s="3">
        <v>67</v>
      </c>
      <c r="L231" s="3">
        <v>41</v>
      </c>
      <c r="M231" s="3">
        <v>66</v>
      </c>
      <c r="N231" t="s">
        <v>23</v>
      </c>
      <c r="O231" t="s">
        <v>497</v>
      </c>
      <c r="P231" t="s">
        <v>498</v>
      </c>
      <c r="Q231" t="s">
        <v>499</v>
      </c>
    </row>
    <row r="232" spans="1:17" ht="9.9499999999999993" customHeight="1">
      <c r="A232" t="s">
        <v>1094</v>
      </c>
      <c r="B232" t="s">
        <v>1095</v>
      </c>
      <c r="C232" t="s">
        <v>29</v>
      </c>
      <c r="D232" t="s">
        <v>59</v>
      </c>
      <c r="E232" t="s">
        <v>60</v>
      </c>
      <c r="F232" t="s">
        <v>45</v>
      </c>
      <c r="G232" s="2">
        <v>46008</v>
      </c>
      <c r="H232" s="2">
        <v>46124</v>
      </c>
      <c r="I232" s="3">
        <v>89</v>
      </c>
      <c r="J232" s="4">
        <v>3.3</v>
      </c>
      <c r="K232" s="3">
        <v>88</v>
      </c>
      <c r="L232" s="3">
        <v>95</v>
      </c>
      <c r="M232" s="3">
        <v>39</v>
      </c>
      <c r="N232" t="s">
        <v>23</v>
      </c>
      <c r="O232" t="s">
        <v>1096</v>
      </c>
      <c r="P232" t="s">
        <v>1097</v>
      </c>
      <c r="Q232" t="s">
        <v>1098</v>
      </c>
    </row>
    <row r="233" spans="1:17" ht="9.9499999999999993" customHeight="1">
      <c r="A233" t="s">
        <v>1099</v>
      </c>
      <c r="B233" t="s">
        <v>614</v>
      </c>
      <c r="C233" t="s">
        <v>29</v>
      </c>
      <c r="D233" t="s">
        <v>43</v>
      </c>
      <c r="E233" t="s">
        <v>44</v>
      </c>
      <c r="F233" t="s">
        <v>193</v>
      </c>
      <c r="G233" s="2">
        <v>46002</v>
      </c>
      <c r="H233" s="2">
        <v>46136</v>
      </c>
      <c r="I233" s="3">
        <v>73</v>
      </c>
      <c r="J233" s="4"/>
      <c r="K233" s="3">
        <v>72</v>
      </c>
      <c r="L233" s="3">
        <v>88</v>
      </c>
      <c r="M233" s="3">
        <v>84</v>
      </c>
      <c r="N233" t="s">
        <v>23</v>
      </c>
      <c r="O233" t="s">
        <v>1100</v>
      </c>
      <c r="P233" t="s">
        <v>1101</v>
      </c>
      <c r="Q233" t="s">
        <v>1102</v>
      </c>
    </row>
    <row r="234" spans="1:17" ht="9.9499999999999993" customHeight="1">
      <c r="A234" t="s">
        <v>1103</v>
      </c>
      <c r="B234" t="s">
        <v>70</v>
      </c>
      <c r="C234" t="s">
        <v>29</v>
      </c>
      <c r="D234" t="s">
        <v>51</v>
      </c>
      <c r="E234" t="s">
        <v>52</v>
      </c>
      <c r="F234" t="s">
        <v>193</v>
      </c>
      <c r="G234" s="2">
        <v>45980</v>
      </c>
      <c r="H234" s="2">
        <v>46060</v>
      </c>
      <c r="I234" s="3">
        <v>87</v>
      </c>
      <c r="J234" s="4">
        <v>3.83</v>
      </c>
      <c r="K234" s="3">
        <v>91</v>
      </c>
      <c r="L234" s="3">
        <v>54</v>
      </c>
      <c r="M234" s="3">
        <v>98</v>
      </c>
      <c r="N234" t="s">
        <v>23</v>
      </c>
      <c r="O234" t="s">
        <v>1104</v>
      </c>
      <c r="P234" t="s">
        <v>1105</v>
      </c>
      <c r="Q234" t="s">
        <v>1106</v>
      </c>
    </row>
    <row r="235" spans="1:17" ht="9.9499999999999993" customHeight="1">
      <c r="A235" t="s">
        <v>1107</v>
      </c>
      <c r="B235" t="s">
        <v>1108</v>
      </c>
      <c r="C235" t="s">
        <v>19</v>
      </c>
      <c r="D235" t="s">
        <v>71</v>
      </c>
      <c r="E235" t="s">
        <v>72</v>
      </c>
      <c r="F235" t="s">
        <v>22</v>
      </c>
      <c r="G235" s="2">
        <v>45915</v>
      </c>
      <c r="H235" s="2">
        <v>46016</v>
      </c>
      <c r="I235" s="3">
        <v>60</v>
      </c>
      <c r="J235" s="4">
        <v>3.83</v>
      </c>
      <c r="K235" s="3">
        <v>47</v>
      </c>
      <c r="L235" s="3">
        <v>93</v>
      </c>
      <c r="M235" s="3">
        <v>37</v>
      </c>
      <c r="N235" t="s">
        <v>23</v>
      </c>
      <c r="O235" t="s">
        <v>1109</v>
      </c>
      <c r="P235" t="s">
        <v>1110</v>
      </c>
      <c r="Q235" t="s">
        <v>1111</v>
      </c>
    </row>
    <row r="236" spans="1:17" ht="9.9499999999999993" customHeight="1">
      <c r="A236" t="s">
        <v>1112</v>
      </c>
      <c r="B236" t="s">
        <v>1113</v>
      </c>
      <c r="C236" t="s">
        <v>29</v>
      </c>
      <c r="D236" t="s">
        <v>71</v>
      </c>
      <c r="E236" t="s">
        <v>72</v>
      </c>
      <c r="F236" t="s">
        <v>22</v>
      </c>
      <c r="G236" s="2">
        <v>46080</v>
      </c>
      <c r="H236" s="2">
        <v>46151</v>
      </c>
      <c r="I236" s="3">
        <v>65</v>
      </c>
      <c r="J236" s="4">
        <v>2.89</v>
      </c>
      <c r="K236" s="3">
        <v>62</v>
      </c>
      <c r="L236" s="3">
        <v>68</v>
      </c>
      <c r="M236" s="3">
        <v>51</v>
      </c>
      <c r="N236" t="s">
        <v>23</v>
      </c>
      <c r="O236" t="s">
        <v>1114</v>
      </c>
      <c r="P236" t="s">
        <v>1115</v>
      </c>
      <c r="Q236" t="s">
        <v>1116</v>
      </c>
    </row>
    <row r="237" spans="1:17" ht="9.9499999999999993" customHeight="1">
      <c r="A237" t="s">
        <v>1117</v>
      </c>
      <c r="B237" t="s">
        <v>18</v>
      </c>
      <c r="C237" t="s">
        <v>19</v>
      </c>
      <c r="D237" t="s">
        <v>59</v>
      </c>
      <c r="E237" t="s">
        <v>60</v>
      </c>
      <c r="F237" t="s">
        <v>84</v>
      </c>
      <c r="G237" s="2">
        <v>46035</v>
      </c>
      <c r="H237" s="2">
        <v>46113</v>
      </c>
      <c r="I237" s="3">
        <v>71</v>
      </c>
      <c r="J237" s="4">
        <v>3.37</v>
      </c>
      <c r="K237" s="3">
        <v>76</v>
      </c>
      <c r="L237" s="3">
        <v>44</v>
      </c>
      <c r="M237" s="3">
        <v>93</v>
      </c>
      <c r="N237" t="s">
        <v>23</v>
      </c>
      <c r="O237" t="s">
        <v>1118</v>
      </c>
      <c r="P237" t="s">
        <v>1119</v>
      </c>
      <c r="Q237" t="s">
        <v>1120</v>
      </c>
    </row>
    <row r="238" spans="1:17" ht="9.9499999999999993" customHeight="1">
      <c r="A238" t="s">
        <v>1121</v>
      </c>
      <c r="B238" t="s">
        <v>1122</v>
      </c>
      <c r="C238" t="s">
        <v>29</v>
      </c>
      <c r="D238" t="s">
        <v>51</v>
      </c>
      <c r="E238" t="s">
        <v>52</v>
      </c>
      <c r="F238" t="s">
        <v>22</v>
      </c>
      <c r="G238" s="2">
        <v>45966</v>
      </c>
      <c r="H238" s="2">
        <v>46049</v>
      </c>
      <c r="I238" s="3">
        <v>91</v>
      </c>
      <c r="J238" s="4">
        <v>3.28</v>
      </c>
      <c r="K238" s="3">
        <v>47</v>
      </c>
      <c r="L238" s="3">
        <v>64</v>
      </c>
      <c r="M238" s="3">
        <v>95</v>
      </c>
      <c r="N238" t="s">
        <v>23</v>
      </c>
      <c r="O238" t="s">
        <v>1123</v>
      </c>
      <c r="P238" t="s">
        <v>1124</v>
      </c>
      <c r="Q238" t="s">
        <v>1125</v>
      </c>
    </row>
    <row r="239" spans="1:17" ht="9.9499999999999993" customHeight="1">
      <c r="A239" t="s">
        <v>1126</v>
      </c>
      <c r="B239" t="s">
        <v>1127</v>
      </c>
      <c r="C239" t="s">
        <v>19</v>
      </c>
      <c r="D239" t="s">
        <v>51</v>
      </c>
      <c r="E239" t="s">
        <v>52</v>
      </c>
      <c r="F239" t="s">
        <v>53</v>
      </c>
      <c r="G239" s="2">
        <v>45939</v>
      </c>
      <c r="H239" s="2">
        <v>46031</v>
      </c>
      <c r="I239" s="3">
        <v>57</v>
      </c>
      <c r="J239" s="4">
        <v>4.8</v>
      </c>
      <c r="K239" s="3">
        <v>98</v>
      </c>
      <c r="L239" s="3">
        <v>88</v>
      </c>
      <c r="M239" s="3">
        <v>58</v>
      </c>
      <c r="N239" t="s">
        <v>23</v>
      </c>
      <c r="O239" t="s">
        <v>1128</v>
      </c>
      <c r="P239" t="s">
        <v>1129</v>
      </c>
      <c r="Q239" t="s">
        <v>1130</v>
      </c>
    </row>
    <row r="240" spans="1:17" ht="9.9499999999999993" customHeight="1">
      <c r="A240" t="s">
        <v>1131</v>
      </c>
      <c r="B240" t="s">
        <v>644</v>
      </c>
      <c r="C240" t="s">
        <v>29</v>
      </c>
      <c r="D240" t="s">
        <v>30</v>
      </c>
      <c r="E240" t="s">
        <v>31</v>
      </c>
      <c r="F240" t="s">
        <v>84</v>
      </c>
      <c r="G240" s="2">
        <v>45931</v>
      </c>
      <c r="H240" s="2">
        <v>46065</v>
      </c>
      <c r="I240" s="3">
        <v>98</v>
      </c>
      <c r="J240" s="4">
        <v>3.78</v>
      </c>
      <c r="K240" s="3">
        <v>51</v>
      </c>
      <c r="L240" s="3">
        <v>63</v>
      </c>
      <c r="M240" s="3">
        <v>96</v>
      </c>
      <c r="N240" t="s">
        <v>78</v>
      </c>
      <c r="O240" t="s">
        <v>1132</v>
      </c>
      <c r="P240" t="s">
        <v>1133</v>
      </c>
      <c r="Q240" t="s">
        <v>1134</v>
      </c>
    </row>
    <row r="241" spans="1:17" ht="9.9499999999999993" customHeight="1">
      <c r="A241" t="s">
        <v>1135</v>
      </c>
      <c r="B241" t="s">
        <v>420</v>
      </c>
      <c r="C241" t="s">
        <v>19</v>
      </c>
      <c r="D241" t="s">
        <v>51</v>
      </c>
      <c r="E241" t="s">
        <v>52</v>
      </c>
      <c r="F241" t="s">
        <v>84</v>
      </c>
      <c r="G241" s="2">
        <v>45923</v>
      </c>
      <c r="H241" s="2">
        <v>46063</v>
      </c>
      <c r="I241" s="3">
        <v>84</v>
      </c>
      <c r="J241" s="4">
        <v>1.82</v>
      </c>
      <c r="K241" s="3">
        <v>52</v>
      </c>
      <c r="L241" s="3">
        <v>72</v>
      </c>
      <c r="M241" s="3">
        <v>68</v>
      </c>
      <c r="N241" t="s">
        <v>23</v>
      </c>
      <c r="O241" t="s">
        <v>1136</v>
      </c>
      <c r="P241" t="s">
        <v>1137</v>
      </c>
      <c r="Q241" t="s">
        <v>1138</v>
      </c>
    </row>
    <row r="242" spans="1:17" ht="9.9499999999999993" customHeight="1">
      <c r="A242" t="s">
        <v>1139</v>
      </c>
      <c r="B242" t="s">
        <v>1140</v>
      </c>
      <c r="C242" t="s">
        <v>19</v>
      </c>
      <c r="D242" t="s">
        <v>20</v>
      </c>
      <c r="E242" t="s">
        <v>21</v>
      </c>
      <c r="F242" t="s">
        <v>111</v>
      </c>
      <c r="G242" s="2">
        <v>46040</v>
      </c>
      <c r="H242" s="2">
        <v>46141</v>
      </c>
      <c r="I242" s="3">
        <v>64</v>
      </c>
      <c r="J242" s="4">
        <v>1.81</v>
      </c>
      <c r="K242" s="3">
        <v>66</v>
      </c>
      <c r="L242" s="3">
        <v>38</v>
      </c>
      <c r="M242" s="3">
        <v>59</v>
      </c>
      <c r="N242" t="s">
        <v>23</v>
      </c>
      <c r="O242" t="s">
        <v>1141</v>
      </c>
      <c r="P242" t="s">
        <v>1142</v>
      </c>
      <c r="Q242" t="s">
        <v>1143</v>
      </c>
    </row>
    <row r="243" spans="1:17" ht="9.9499999999999993" customHeight="1">
      <c r="A243" t="s">
        <v>1144</v>
      </c>
      <c r="B243" t="s">
        <v>805</v>
      </c>
      <c r="C243" t="s">
        <v>29</v>
      </c>
      <c r="D243" t="s">
        <v>71</v>
      </c>
      <c r="E243" t="s">
        <v>72</v>
      </c>
      <c r="F243" t="s">
        <v>53</v>
      </c>
      <c r="G243" s="2">
        <v>45979</v>
      </c>
      <c r="H243" s="2">
        <v>46062</v>
      </c>
      <c r="I243" s="3">
        <v>68</v>
      </c>
      <c r="J243" s="4">
        <v>2.97</v>
      </c>
      <c r="K243" s="3">
        <v>55</v>
      </c>
      <c r="L243" s="3">
        <v>88</v>
      </c>
      <c r="M243" s="3">
        <v>92</v>
      </c>
      <c r="N243" t="s">
        <v>78</v>
      </c>
      <c r="P243" t="s">
        <v>1145</v>
      </c>
      <c r="Q243" t="s">
        <v>1146</v>
      </c>
    </row>
    <row r="244" spans="1:17" ht="9.9499999999999993" customHeight="1">
      <c r="A244" t="s">
        <v>1147</v>
      </c>
      <c r="B244" t="s">
        <v>649</v>
      </c>
      <c r="C244" t="s">
        <v>29</v>
      </c>
      <c r="D244" t="s">
        <v>20</v>
      </c>
      <c r="E244" t="s">
        <v>21</v>
      </c>
      <c r="F244" t="s">
        <v>45</v>
      </c>
      <c r="G244" s="2">
        <v>46006</v>
      </c>
      <c r="H244" s="2">
        <v>46123</v>
      </c>
      <c r="I244" s="3">
        <v>84</v>
      </c>
      <c r="J244" s="4">
        <v>3.94</v>
      </c>
      <c r="K244" s="3">
        <v>45</v>
      </c>
      <c r="L244" s="3">
        <v>47</v>
      </c>
      <c r="M244" s="3">
        <v>94</v>
      </c>
      <c r="N244" t="s">
        <v>23</v>
      </c>
      <c r="O244" t="s">
        <v>1148</v>
      </c>
      <c r="P244" t="s">
        <v>1149</v>
      </c>
      <c r="Q244" t="s">
        <v>1150</v>
      </c>
    </row>
    <row r="245" spans="1:17" ht="9.9499999999999993" customHeight="1">
      <c r="A245" t="s">
        <v>1151</v>
      </c>
      <c r="B245" t="s">
        <v>1152</v>
      </c>
      <c r="C245" t="s">
        <v>29</v>
      </c>
      <c r="D245" t="s">
        <v>59</v>
      </c>
      <c r="E245" t="s">
        <v>60</v>
      </c>
      <c r="F245" t="s">
        <v>111</v>
      </c>
      <c r="G245" s="2">
        <v>45934</v>
      </c>
      <c r="H245" s="2">
        <v>46034</v>
      </c>
      <c r="I245" s="3">
        <v>73</v>
      </c>
      <c r="J245" s="4">
        <v>2.37</v>
      </c>
      <c r="K245" s="3">
        <v>60</v>
      </c>
      <c r="L245" s="3">
        <v>85</v>
      </c>
      <c r="M245" s="3">
        <v>71</v>
      </c>
      <c r="N245" t="s">
        <v>23</v>
      </c>
      <c r="O245" t="s">
        <v>1153</v>
      </c>
      <c r="P245" t="s">
        <v>1154</v>
      </c>
      <c r="Q245" t="s">
        <v>1155</v>
      </c>
    </row>
    <row r="246" spans="1:17" ht="9.9499999999999993" customHeight="1">
      <c r="A246" t="s">
        <v>1156</v>
      </c>
      <c r="B246" t="s">
        <v>1157</v>
      </c>
      <c r="C246" t="s">
        <v>29</v>
      </c>
      <c r="D246" t="s">
        <v>20</v>
      </c>
      <c r="E246" t="s">
        <v>21</v>
      </c>
      <c r="F246" t="s">
        <v>45</v>
      </c>
      <c r="G246" s="2">
        <v>45928</v>
      </c>
      <c r="H246" s="2">
        <v>46017</v>
      </c>
      <c r="I246" s="3">
        <v>61</v>
      </c>
      <c r="J246" s="4">
        <v>2.16</v>
      </c>
      <c r="K246" s="3">
        <v>69</v>
      </c>
      <c r="L246" s="3">
        <v>75</v>
      </c>
      <c r="M246" s="3">
        <v>82</v>
      </c>
      <c r="N246" t="s">
        <v>23</v>
      </c>
      <c r="O246" t="s">
        <v>1158</v>
      </c>
      <c r="P246" t="s">
        <v>1159</v>
      </c>
      <c r="Q246" t="s">
        <v>1160</v>
      </c>
    </row>
    <row r="247" spans="1:17" ht="9.9499999999999993" customHeight="1">
      <c r="A247" t="s">
        <v>1161</v>
      </c>
      <c r="B247" t="s">
        <v>1162</v>
      </c>
      <c r="C247" t="s">
        <v>19</v>
      </c>
      <c r="D247" t="s">
        <v>59</v>
      </c>
      <c r="E247" t="s">
        <v>60</v>
      </c>
      <c r="F247" t="s">
        <v>84</v>
      </c>
      <c r="G247" s="2">
        <v>45931</v>
      </c>
      <c r="H247" s="2">
        <v>46012</v>
      </c>
      <c r="I247" s="3">
        <v>65</v>
      </c>
      <c r="J247" s="4">
        <v>3.58</v>
      </c>
      <c r="K247" s="3">
        <v>59</v>
      </c>
      <c r="L247" s="3">
        <v>40</v>
      </c>
      <c r="M247" s="3">
        <v>57</v>
      </c>
      <c r="N247" t="s">
        <v>32</v>
      </c>
      <c r="O247" t="s">
        <v>1163</v>
      </c>
      <c r="P247" t="s">
        <v>1164</v>
      </c>
      <c r="Q247" t="s">
        <v>1165</v>
      </c>
    </row>
    <row r="248" spans="1:17" ht="9.9499999999999993" customHeight="1">
      <c r="A248" t="s">
        <v>1166</v>
      </c>
      <c r="B248" t="s">
        <v>1167</v>
      </c>
      <c r="C248" t="s">
        <v>29</v>
      </c>
      <c r="D248" t="s">
        <v>51</v>
      </c>
      <c r="E248" t="s">
        <v>52</v>
      </c>
      <c r="F248" t="s">
        <v>53</v>
      </c>
      <c r="G248" s="2">
        <v>46032</v>
      </c>
      <c r="H248" s="2">
        <v>46108</v>
      </c>
      <c r="I248" s="3">
        <v>98</v>
      </c>
      <c r="J248" s="4">
        <v>2.46</v>
      </c>
      <c r="K248" s="3">
        <v>92</v>
      </c>
      <c r="L248" s="3">
        <v>57</v>
      </c>
      <c r="M248" s="3">
        <v>33</v>
      </c>
      <c r="N248" t="s">
        <v>78</v>
      </c>
      <c r="O248" t="s">
        <v>1168</v>
      </c>
      <c r="P248" t="s">
        <v>1169</v>
      </c>
      <c r="Q248" t="s">
        <v>1170</v>
      </c>
    </row>
    <row r="249" spans="1:17" ht="9.9499999999999993" customHeight="1">
      <c r="A249" t="s">
        <v>1171</v>
      </c>
      <c r="B249" t="s">
        <v>70</v>
      </c>
      <c r="C249" t="s">
        <v>29</v>
      </c>
      <c r="D249" t="s">
        <v>43</v>
      </c>
      <c r="E249" t="s">
        <v>44</v>
      </c>
      <c r="F249" t="s">
        <v>53</v>
      </c>
      <c r="G249" s="2">
        <v>45927</v>
      </c>
      <c r="H249" s="2">
        <v>46014</v>
      </c>
      <c r="I249" s="3">
        <v>62</v>
      </c>
      <c r="J249" s="4">
        <v>1.83</v>
      </c>
      <c r="K249" s="3">
        <v>93</v>
      </c>
      <c r="L249" s="3">
        <v>63</v>
      </c>
      <c r="M249" s="3">
        <v>46</v>
      </c>
      <c r="N249" t="s">
        <v>23</v>
      </c>
      <c r="O249" t="s">
        <v>1172</v>
      </c>
      <c r="P249" t="s">
        <v>1173</v>
      </c>
      <c r="Q249" t="s">
        <v>1174</v>
      </c>
    </row>
    <row r="250" spans="1:17" ht="9.9499999999999993" customHeight="1">
      <c r="A250" t="s">
        <v>1175</v>
      </c>
      <c r="B250" t="s">
        <v>876</v>
      </c>
      <c r="C250" t="s">
        <v>19</v>
      </c>
      <c r="D250" t="s">
        <v>43</v>
      </c>
      <c r="E250" t="s">
        <v>44</v>
      </c>
      <c r="F250" t="s">
        <v>193</v>
      </c>
      <c r="G250" s="2">
        <v>45917</v>
      </c>
      <c r="H250" s="2">
        <v>46012</v>
      </c>
      <c r="I250" s="3">
        <v>96</v>
      </c>
      <c r="J250" s="4">
        <v>2.78</v>
      </c>
      <c r="K250" s="3">
        <v>48</v>
      </c>
      <c r="L250" s="3">
        <v>46</v>
      </c>
      <c r="M250" s="3">
        <v>72</v>
      </c>
      <c r="N250" t="s">
        <v>23</v>
      </c>
      <c r="O250" t="s">
        <v>1176</v>
      </c>
      <c r="P250" t="s">
        <v>1177</v>
      </c>
      <c r="Q250" t="s">
        <v>1178</v>
      </c>
    </row>
    <row r="251" spans="1:17" ht="9.9499999999999993" customHeight="1">
      <c r="A251" t="s">
        <v>1179</v>
      </c>
      <c r="B251" t="s">
        <v>1180</v>
      </c>
      <c r="C251" t="s">
        <v>19</v>
      </c>
      <c r="D251" t="s">
        <v>71</v>
      </c>
      <c r="E251" t="s">
        <v>72</v>
      </c>
      <c r="F251" t="s">
        <v>53</v>
      </c>
      <c r="G251" s="2">
        <v>46028</v>
      </c>
      <c r="H251" s="2">
        <v>46101</v>
      </c>
      <c r="I251" s="3">
        <v>79</v>
      </c>
      <c r="J251" s="4">
        <v>3.3</v>
      </c>
      <c r="K251" s="3">
        <v>51</v>
      </c>
      <c r="L251" s="3">
        <v>80</v>
      </c>
      <c r="M251" s="3">
        <v>57</v>
      </c>
      <c r="N251" t="s">
        <v>78</v>
      </c>
      <c r="O251" t="s">
        <v>1181</v>
      </c>
      <c r="P251" t="s">
        <v>1182</v>
      </c>
      <c r="Q251" t="s">
        <v>1183</v>
      </c>
    </row>
    <row r="252" spans="1:17" ht="9.9499999999999993" customHeight="1">
      <c r="A252" t="s">
        <v>1184</v>
      </c>
      <c r="B252" t="s">
        <v>1185</v>
      </c>
      <c r="C252" t="s">
        <v>29</v>
      </c>
      <c r="D252" t="s">
        <v>43</v>
      </c>
      <c r="E252" t="s">
        <v>44</v>
      </c>
      <c r="F252" t="s">
        <v>45</v>
      </c>
      <c r="G252" s="2">
        <v>46059</v>
      </c>
      <c r="H252" s="2">
        <v>46160</v>
      </c>
      <c r="I252" s="3">
        <v>96</v>
      </c>
      <c r="J252" s="4">
        <v>2.4500000000000002</v>
      </c>
      <c r="K252" s="3">
        <v>66</v>
      </c>
      <c r="L252" s="3">
        <v>96</v>
      </c>
      <c r="M252" s="3">
        <v>37</v>
      </c>
      <c r="N252" t="s">
        <v>23</v>
      </c>
      <c r="O252" t="s">
        <v>1186</v>
      </c>
      <c r="P252" t="s">
        <v>1187</v>
      </c>
      <c r="Q252" t="s">
        <v>1188</v>
      </c>
    </row>
    <row r="253" spans="1:17" ht="9.9499999999999993" customHeight="1">
      <c r="A253" t="s">
        <v>1189</v>
      </c>
      <c r="B253" t="s">
        <v>393</v>
      </c>
      <c r="C253" t="s">
        <v>29</v>
      </c>
      <c r="D253" t="s">
        <v>71</v>
      </c>
      <c r="E253" t="s">
        <v>72</v>
      </c>
      <c r="F253" t="s">
        <v>45</v>
      </c>
      <c r="G253" s="2">
        <v>45964</v>
      </c>
      <c r="H253" s="2">
        <v>46103</v>
      </c>
      <c r="I253" s="3">
        <v>56</v>
      </c>
      <c r="J253" s="4">
        <v>3.98</v>
      </c>
      <c r="K253" s="3">
        <v>90</v>
      </c>
      <c r="L253" s="3">
        <v>80</v>
      </c>
      <c r="M253" s="3">
        <v>91</v>
      </c>
      <c r="N253" t="s">
        <v>23</v>
      </c>
      <c r="O253" t="s">
        <v>1190</v>
      </c>
      <c r="P253" t="s">
        <v>1191</v>
      </c>
      <c r="Q253" t="s">
        <v>1192</v>
      </c>
    </row>
    <row r="254" spans="1:17" ht="9.9499999999999993" customHeight="1">
      <c r="A254" t="s">
        <v>1193</v>
      </c>
      <c r="B254" t="s">
        <v>1194</v>
      </c>
      <c r="C254" t="s">
        <v>19</v>
      </c>
      <c r="D254" t="s">
        <v>59</v>
      </c>
      <c r="E254" t="s">
        <v>60</v>
      </c>
      <c r="F254" t="s">
        <v>84</v>
      </c>
      <c r="G254" s="2">
        <v>45947</v>
      </c>
      <c r="H254" s="2">
        <v>46020</v>
      </c>
      <c r="I254" s="3">
        <v>75</v>
      </c>
      <c r="J254" s="4">
        <v>3.11</v>
      </c>
      <c r="K254" s="3">
        <v>41</v>
      </c>
      <c r="L254" s="3">
        <v>70</v>
      </c>
      <c r="M254" s="3">
        <v>37</v>
      </c>
      <c r="N254" t="s">
        <v>32</v>
      </c>
      <c r="O254" t="s">
        <v>1195</v>
      </c>
      <c r="P254" t="s">
        <v>1196</v>
      </c>
      <c r="Q254" t="s">
        <v>1197</v>
      </c>
    </row>
    <row r="255" spans="1:17" ht="9.9499999999999993" customHeight="1">
      <c r="A255" t="s">
        <v>1198</v>
      </c>
      <c r="B255" t="s">
        <v>1199</v>
      </c>
      <c r="C255" t="s">
        <v>29</v>
      </c>
      <c r="D255" t="s">
        <v>20</v>
      </c>
      <c r="E255" t="s">
        <v>21</v>
      </c>
      <c r="F255" t="s">
        <v>193</v>
      </c>
      <c r="G255" s="2">
        <v>45964</v>
      </c>
      <c r="H255" s="2">
        <v>46064</v>
      </c>
      <c r="I255" s="3">
        <v>72</v>
      </c>
      <c r="J255" s="4">
        <v>2.97</v>
      </c>
      <c r="K255" s="3">
        <v>90</v>
      </c>
      <c r="L255" s="3">
        <v>42</v>
      </c>
      <c r="M255" s="3">
        <v>58</v>
      </c>
      <c r="N255" t="s">
        <v>23</v>
      </c>
      <c r="O255" t="s">
        <v>1200</v>
      </c>
      <c r="P255" t="s">
        <v>1201</v>
      </c>
      <c r="Q255" t="s">
        <v>1202</v>
      </c>
    </row>
    <row r="256" spans="1:17" ht="9.9499999999999993" customHeight="1">
      <c r="A256" t="s">
        <v>1203</v>
      </c>
      <c r="B256" t="s">
        <v>1204</v>
      </c>
      <c r="C256" t="s">
        <v>29</v>
      </c>
      <c r="D256" t="s">
        <v>20</v>
      </c>
      <c r="E256" t="s">
        <v>21</v>
      </c>
      <c r="F256" t="s">
        <v>45</v>
      </c>
      <c r="G256" s="2">
        <v>45982</v>
      </c>
      <c r="H256" s="2">
        <v>46097</v>
      </c>
      <c r="I256" s="3">
        <v>92</v>
      </c>
      <c r="J256" s="4">
        <v>1.86</v>
      </c>
      <c r="K256" s="3">
        <v>84</v>
      </c>
      <c r="L256" s="3">
        <v>80</v>
      </c>
      <c r="M256" s="3">
        <v>48</v>
      </c>
      <c r="N256" t="s">
        <v>23</v>
      </c>
      <c r="O256" t="s">
        <v>1205</v>
      </c>
      <c r="P256" t="s">
        <v>1206</v>
      </c>
      <c r="Q256" t="s">
        <v>1207</v>
      </c>
    </row>
    <row r="257" spans="1:17" ht="9.9499999999999993" customHeight="1">
      <c r="A257" t="s">
        <v>1208</v>
      </c>
      <c r="B257" t="s">
        <v>1209</v>
      </c>
      <c r="C257" t="s">
        <v>19</v>
      </c>
      <c r="D257" t="s">
        <v>20</v>
      </c>
      <c r="E257" t="s">
        <v>21</v>
      </c>
      <c r="F257" t="s">
        <v>53</v>
      </c>
      <c r="G257" s="2">
        <v>45910</v>
      </c>
      <c r="H257" s="2">
        <v>45991</v>
      </c>
      <c r="I257" s="3">
        <v>58</v>
      </c>
      <c r="J257" s="4">
        <v>2.31</v>
      </c>
      <c r="K257" s="3">
        <v>54</v>
      </c>
      <c r="L257" s="3">
        <v>37</v>
      </c>
      <c r="M257" s="3">
        <v>97</v>
      </c>
      <c r="N257" t="s">
        <v>23</v>
      </c>
      <c r="O257" t="s">
        <v>1210</v>
      </c>
      <c r="P257" t="s">
        <v>1211</v>
      </c>
      <c r="Q257" t="s">
        <v>1212</v>
      </c>
    </row>
    <row r="258" spans="1:17" ht="9.9499999999999993" customHeight="1">
      <c r="A258" t="s">
        <v>1213</v>
      </c>
      <c r="B258" t="s">
        <v>1214</v>
      </c>
      <c r="C258" t="s">
        <v>29</v>
      </c>
      <c r="D258" t="s">
        <v>51</v>
      </c>
      <c r="E258" t="s">
        <v>52</v>
      </c>
      <c r="F258" t="s">
        <v>111</v>
      </c>
      <c r="G258" s="2">
        <v>45946</v>
      </c>
      <c r="H258" s="2">
        <v>46057</v>
      </c>
      <c r="I258" s="3">
        <v>58</v>
      </c>
      <c r="J258" s="4">
        <v>1.85</v>
      </c>
      <c r="K258" s="3">
        <v>77</v>
      </c>
      <c r="L258" s="3">
        <v>53</v>
      </c>
      <c r="M258" s="3">
        <v>44</v>
      </c>
      <c r="N258" t="s">
        <v>32</v>
      </c>
      <c r="O258" t="s">
        <v>1215</v>
      </c>
      <c r="P258" t="s">
        <v>1216</v>
      </c>
      <c r="Q258" t="s">
        <v>1217</v>
      </c>
    </row>
    <row r="259" spans="1:17" ht="9.9499999999999993" customHeight="1">
      <c r="A259" t="s">
        <v>1218</v>
      </c>
      <c r="B259" t="s">
        <v>1219</v>
      </c>
      <c r="C259" t="s">
        <v>19</v>
      </c>
      <c r="D259" t="s">
        <v>30</v>
      </c>
      <c r="E259" t="s">
        <v>31</v>
      </c>
      <c r="F259" t="s">
        <v>193</v>
      </c>
      <c r="G259" s="2">
        <v>45987</v>
      </c>
      <c r="H259" s="2">
        <v>46095</v>
      </c>
      <c r="I259" s="3">
        <v>75</v>
      </c>
      <c r="J259" s="4">
        <v>2.1</v>
      </c>
      <c r="K259" s="3">
        <v>50</v>
      </c>
      <c r="L259" s="3">
        <v>90</v>
      </c>
      <c r="M259" s="3">
        <v>92</v>
      </c>
      <c r="N259" t="s">
        <v>23</v>
      </c>
      <c r="O259" t="s">
        <v>1220</v>
      </c>
      <c r="P259" t="s">
        <v>1221</v>
      </c>
      <c r="Q259" t="s">
        <v>1222</v>
      </c>
    </row>
    <row r="260" spans="1:17" ht="9.9499999999999993" customHeight="1">
      <c r="A260" t="s">
        <v>1223</v>
      </c>
      <c r="B260" t="s">
        <v>981</v>
      </c>
      <c r="C260" t="s">
        <v>19</v>
      </c>
      <c r="D260" t="s">
        <v>20</v>
      </c>
      <c r="E260" t="s">
        <v>21</v>
      </c>
      <c r="F260" t="s">
        <v>111</v>
      </c>
      <c r="G260" s="2">
        <v>46051</v>
      </c>
      <c r="H260" s="2">
        <v>46143</v>
      </c>
      <c r="I260" s="3">
        <v>79</v>
      </c>
      <c r="J260" s="4">
        <v>2.48</v>
      </c>
      <c r="K260" s="3">
        <v>84</v>
      </c>
      <c r="L260" s="3">
        <v>72</v>
      </c>
      <c r="M260" s="3">
        <v>46</v>
      </c>
      <c r="N260" t="s">
        <v>23</v>
      </c>
      <c r="O260" t="s">
        <v>1224</v>
      </c>
      <c r="P260" t="s">
        <v>1225</v>
      </c>
      <c r="Q260" t="s">
        <v>1226</v>
      </c>
    </row>
    <row r="261" spans="1:17" ht="9.9499999999999993" customHeight="1">
      <c r="A261" t="s">
        <v>250</v>
      </c>
      <c r="B261" t="s">
        <v>251</v>
      </c>
      <c r="C261" t="s">
        <v>19</v>
      </c>
      <c r="D261" t="s">
        <v>51</v>
      </c>
      <c r="E261" t="s">
        <v>52</v>
      </c>
      <c r="F261" t="s">
        <v>84</v>
      </c>
      <c r="G261" s="2">
        <v>45998</v>
      </c>
      <c r="H261" s="2">
        <v>46103</v>
      </c>
      <c r="I261" s="3">
        <v>81</v>
      </c>
      <c r="J261" s="4">
        <v>2.35</v>
      </c>
      <c r="K261" s="3">
        <v>45</v>
      </c>
      <c r="L261" s="3">
        <v>95</v>
      </c>
      <c r="M261" s="3">
        <v>32</v>
      </c>
      <c r="N261" t="s">
        <v>23</v>
      </c>
      <c r="O261" t="s">
        <v>253</v>
      </c>
      <c r="P261" t="s">
        <v>254</v>
      </c>
      <c r="Q261" t="s">
        <v>255</v>
      </c>
    </row>
    <row r="262" spans="1:17" ht="9.9499999999999993" customHeight="1">
      <c r="A262" t="s">
        <v>1227</v>
      </c>
      <c r="B262" t="s">
        <v>1228</v>
      </c>
      <c r="C262" t="s">
        <v>19</v>
      </c>
      <c r="D262" t="s">
        <v>20</v>
      </c>
      <c r="E262" t="s">
        <v>21</v>
      </c>
      <c r="F262" t="s">
        <v>111</v>
      </c>
      <c r="G262" s="2">
        <v>45923</v>
      </c>
      <c r="H262" s="2">
        <v>46035</v>
      </c>
      <c r="I262" s="3">
        <v>83</v>
      </c>
      <c r="J262" s="4">
        <v>1.83</v>
      </c>
      <c r="K262" s="3">
        <v>53</v>
      </c>
      <c r="L262" s="3">
        <v>66</v>
      </c>
      <c r="M262" s="3">
        <v>38</v>
      </c>
      <c r="N262" t="s">
        <v>23</v>
      </c>
      <c r="O262" t="s">
        <v>1229</v>
      </c>
      <c r="P262" t="s">
        <v>1230</v>
      </c>
      <c r="Q262" t="s">
        <v>1231</v>
      </c>
    </row>
    <row r="263" spans="1:17" ht="9.9499999999999993" customHeight="1">
      <c r="A263" t="s">
        <v>1232</v>
      </c>
      <c r="B263" t="s">
        <v>1233</v>
      </c>
      <c r="C263" t="s">
        <v>19</v>
      </c>
      <c r="D263" t="s">
        <v>59</v>
      </c>
      <c r="E263" t="s">
        <v>60</v>
      </c>
      <c r="F263" t="s">
        <v>111</v>
      </c>
      <c r="G263" s="2">
        <v>46008</v>
      </c>
      <c r="H263" s="2">
        <v>46099</v>
      </c>
      <c r="I263" s="3">
        <v>81</v>
      </c>
      <c r="J263" s="4">
        <v>2.88</v>
      </c>
      <c r="K263" s="3">
        <v>64</v>
      </c>
      <c r="L263" s="3">
        <v>79</v>
      </c>
      <c r="M263" s="3">
        <v>99</v>
      </c>
      <c r="N263" t="s">
        <v>23</v>
      </c>
      <c r="O263" t="s">
        <v>1234</v>
      </c>
      <c r="P263" t="s">
        <v>1235</v>
      </c>
      <c r="Q263" t="s">
        <v>1236</v>
      </c>
    </row>
    <row r="264" spans="1:17" ht="9.9499999999999993" customHeight="1">
      <c r="A264" t="s">
        <v>1237</v>
      </c>
      <c r="B264" t="s">
        <v>915</v>
      </c>
      <c r="C264" t="s">
        <v>29</v>
      </c>
      <c r="D264" t="s">
        <v>59</v>
      </c>
      <c r="E264" t="s">
        <v>60</v>
      </c>
      <c r="F264" t="s">
        <v>193</v>
      </c>
      <c r="G264" s="2">
        <v>45909</v>
      </c>
      <c r="H264" s="2">
        <v>46016</v>
      </c>
      <c r="I264" s="3">
        <v>56</v>
      </c>
      <c r="J264" s="4">
        <v>2.5</v>
      </c>
      <c r="K264" s="3">
        <v>100</v>
      </c>
      <c r="L264" s="3">
        <v>48</v>
      </c>
      <c r="M264" s="3">
        <v>39</v>
      </c>
      <c r="N264" t="s">
        <v>23</v>
      </c>
      <c r="O264" t="s">
        <v>1238</v>
      </c>
      <c r="P264" t="s">
        <v>1239</v>
      </c>
      <c r="Q264" t="s">
        <v>1240</v>
      </c>
    </row>
    <row r="265" spans="1:17" ht="9.9499999999999993" customHeight="1">
      <c r="A265" t="s">
        <v>1241</v>
      </c>
      <c r="B265" t="s">
        <v>1242</v>
      </c>
      <c r="C265" t="s">
        <v>29</v>
      </c>
      <c r="D265" t="s">
        <v>51</v>
      </c>
      <c r="E265" t="s">
        <v>52</v>
      </c>
      <c r="F265" t="s">
        <v>45</v>
      </c>
      <c r="G265" s="2">
        <v>46058</v>
      </c>
      <c r="H265" s="2">
        <v>46189</v>
      </c>
      <c r="I265" s="3">
        <v>100</v>
      </c>
      <c r="J265" s="4">
        <v>1.87</v>
      </c>
      <c r="K265" s="3">
        <v>100</v>
      </c>
      <c r="L265" s="3">
        <v>56</v>
      </c>
      <c r="M265" s="3">
        <v>85</v>
      </c>
      <c r="N265" t="s">
        <v>23</v>
      </c>
      <c r="O265" t="s">
        <v>1243</v>
      </c>
      <c r="P265" t="s">
        <v>1244</v>
      </c>
      <c r="Q265" t="s">
        <v>1245</v>
      </c>
    </row>
    <row r="266" spans="1:17" ht="9.9499999999999993" customHeight="1">
      <c r="A266" t="s">
        <v>1246</v>
      </c>
      <c r="B266" t="s">
        <v>251</v>
      </c>
      <c r="C266" t="s">
        <v>29</v>
      </c>
      <c r="D266" t="s">
        <v>59</v>
      </c>
      <c r="E266" t="s">
        <v>60</v>
      </c>
      <c r="F266" t="s">
        <v>111</v>
      </c>
      <c r="G266" s="2">
        <v>46042</v>
      </c>
      <c r="H266" s="2">
        <v>46181</v>
      </c>
      <c r="I266" s="3">
        <v>71</v>
      </c>
      <c r="J266" s="4">
        <v>3.25</v>
      </c>
      <c r="K266" s="3">
        <v>59</v>
      </c>
      <c r="L266" s="3">
        <v>65</v>
      </c>
      <c r="M266" s="3">
        <v>42</v>
      </c>
      <c r="N266" t="s">
        <v>23</v>
      </c>
      <c r="O266" t="s">
        <v>1247</v>
      </c>
      <c r="P266" t="s">
        <v>1248</v>
      </c>
      <c r="Q266" t="s">
        <v>1249</v>
      </c>
    </row>
    <row r="267" spans="1:17" ht="9.9499999999999993" customHeight="1">
      <c r="A267" t="s">
        <v>1250</v>
      </c>
      <c r="B267" t="s">
        <v>1251</v>
      </c>
      <c r="C267" t="s">
        <v>29</v>
      </c>
      <c r="D267" t="s">
        <v>43</v>
      </c>
      <c r="E267" t="s">
        <v>44</v>
      </c>
      <c r="F267" t="s">
        <v>84</v>
      </c>
      <c r="G267" s="2">
        <v>45901</v>
      </c>
      <c r="H267" s="2">
        <v>46025</v>
      </c>
      <c r="I267" s="3">
        <v>60</v>
      </c>
      <c r="J267" s="4">
        <v>2.4500000000000002</v>
      </c>
      <c r="K267" s="3">
        <v>82</v>
      </c>
      <c r="L267" s="3">
        <v>96</v>
      </c>
      <c r="M267" s="3">
        <v>55</v>
      </c>
      <c r="N267" t="s">
        <v>23</v>
      </c>
      <c r="O267" t="s">
        <v>1252</v>
      </c>
      <c r="P267" t="s">
        <v>1253</v>
      </c>
      <c r="Q267" t="s">
        <v>1254</v>
      </c>
    </row>
    <row r="268" spans="1:17" ht="9.9499999999999993" customHeight="1">
      <c r="A268" t="s">
        <v>1255</v>
      </c>
      <c r="B268" t="s">
        <v>1256</v>
      </c>
      <c r="C268" t="s">
        <v>29</v>
      </c>
      <c r="D268" t="s">
        <v>59</v>
      </c>
      <c r="E268" t="s">
        <v>60</v>
      </c>
      <c r="F268" t="s">
        <v>193</v>
      </c>
      <c r="G268" s="2">
        <v>45979</v>
      </c>
      <c r="H268" s="2">
        <v>46099</v>
      </c>
      <c r="I268" s="3">
        <v>85</v>
      </c>
      <c r="J268" s="4">
        <v>2.88</v>
      </c>
      <c r="K268" s="3">
        <v>82</v>
      </c>
      <c r="L268" s="3">
        <v>68</v>
      </c>
      <c r="M268" s="3">
        <v>41</v>
      </c>
      <c r="N268" t="s">
        <v>23</v>
      </c>
      <c r="O268" t="s">
        <v>1257</v>
      </c>
      <c r="P268" t="s">
        <v>1258</v>
      </c>
      <c r="Q268" t="s">
        <v>1259</v>
      </c>
    </row>
    <row r="269" spans="1:17" ht="9.9499999999999993" customHeight="1">
      <c r="A269" t="s">
        <v>1260</v>
      </c>
      <c r="B269" t="s">
        <v>569</v>
      </c>
      <c r="C269" t="s">
        <v>19</v>
      </c>
      <c r="D269" t="s">
        <v>51</v>
      </c>
      <c r="E269" t="s">
        <v>52</v>
      </c>
      <c r="F269" t="s">
        <v>22</v>
      </c>
      <c r="G269" s="2">
        <v>46015</v>
      </c>
      <c r="H269" s="2">
        <v>46090</v>
      </c>
      <c r="I269" s="3">
        <v>71</v>
      </c>
      <c r="J269" s="4">
        <v>2.77</v>
      </c>
      <c r="K269" s="3">
        <v>56</v>
      </c>
      <c r="L269" s="3">
        <v>63</v>
      </c>
      <c r="M269" s="3">
        <v>64</v>
      </c>
      <c r="N269" t="s">
        <v>23</v>
      </c>
      <c r="O269" t="s">
        <v>1261</v>
      </c>
      <c r="P269" t="s">
        <v>1262</v>
      </c>
      <c r="Q269" t="s">
        <v>1263</v>
      </c>
    </row>
    <row r="270" spans="1:17" ht="9.9499999999999993" customHeight="1">
      <c r="A270" t="s">
        <v>1264</v>
      </c>
      <c r="B270" t="s">
        <v>151</v>
      </c>
      <c r="C270" t="s">
        <v>19</v>
      </c>
      <c r="D270" t="s">
        <v>30</v>
      </c>
      <c r="E270" t="s">
        <v>31</v>
      </c>
      <c r="F270" t="s">
        <v>53</v>
      </c>
      <c r="G270" s="2">
        <v>46051</v>
      </c>
      <c r="H270" s="2">
        <v>46150</v>
      </c>
      <c r="I270" s="3">
        <v>90</v>
      </c>
      <c r="J270" s="4">
        <v>1.93</v>
      </c>
      <c r="K270" s="3">
        <v>64</v>
      </c>
      <c r="L270" s="3">
        <v>88</v>
      </c>
      <c r="M270" s="3">
        <v>98</v>
      </c>
      <c r="N270" t="s">
        <v>23</v>
      </c>
      <c r="O270" t="s">
        <v>1265</v>
      </c>
      <c r="P270" t="s">
        <v>1266</v>
      </c>
      <c r="Q270" t="s">
        <v>1267</v>
      </c>
    </row>
    <row r="271" spans="1:17" ht="9.9499999999999993" customHeight="1">
      <c r="G271" s="2"/>
      <c r="H271" s="2"/>
      <c r="I271" s="3"/>
      <c r="J271" s="4"/>
      <c r="K271" s="3"/>
      <c r="L271" s="3"/>
      <c r="M271" s="3"/>
    </row>
    <row r="272" spans="1:17" ht="9.9499999999999993" customHeight="1">
      <c r="A272" t="s">
        <v>1268</v>
      </c>
      <c r="B272" t="s">
        <v>1003</v>
      </c>
      <c r="C272" t="s">
        <v>29</v>
      </c>
      <c r="D272" t="s">
        <v>20</v>
      </c>
      <c r="E272" t="s">
        <v>21</v>
      </c>
      <c r="F272" t="s">
        <v>22</v>
      </c>
      <c r="G272" s="2">
        <v>45911</v>
      </c>
      <c r="H272" s="2">
        <v>46035</v>
      </c>
      <c r="I272" s="3">
        <v>60</v>
      </c>
      <c r="J272" s="4">
        <v>3.97</v>
      </c>
      <c r="K272" s="3">
        <v>67</v>
      </c>
      <c r="L272" s="3">
        <v>60</v>
      </c>
      <c r="M272" s="3">
        <v>48</v>
      </c>
      <c r="N272" t="s">
        <v>32</v>
      </c>
      <c r="O272" t="s">
        <v>1269</v>
      </c>
      <c r="P272" t="s">
        <v>1270</v>
      </c>
      <c r="Q272" t="s">
        <v>1271</v>
      </c>
    </row>
    <row r="273" spans="1:17" ht="9.9499999999999993" customHeight="1">
      <c r="A273" t="s">
        <v>1272</v>
      </c>
      <c r="B273" t="s">
        <v>109</v>
      </c>
      <c r="C273" t="s">
        <v>29</v>
      </c>
      <c r="D273" t="s">
        <v>59</v>
      </c>
      <c r="E273" t="s">
        <v>60</v>
      </c>
      <c r="F273" t="s">
        <v>45</v>
      </c>
      <c r="G273" s="2">
        <v>46002</v>
      </c>
      <c r="H273" s="2">
        <v>46142</v>
      </c>
      <c r="I273" s="3">
        <v>75</v>
      </c>
      <c r="J273" s="4">
        <v>3.68</v>
      </c>
      <c r="K273" s="3">
        <v>73</v>
      </c>
      <c r="L273" s="3">
        <v>93</v>
      </c>
      <c r="M273" s="3">
        <v>31</v>
      </c>
      <c r="N273" t="s">
        <v>32</v>
      </c>
      <c r="O273" t="s">
        <v>1273</v>
      </c>
      <c r="P273" t="s">
        <v>1274</v>
      </c>
      <c r="Q273" t="s">
        <v>1275</v>
      </c>
    </row>
    <row r="274" spans="1:17" ht="9.9499999999999993" customHeight="1">
      <c r="A274" t="s">
        <v>1276</v>
      </c>
      <c r="B274" t="s">
        <v>990</v>
      </c>
      <c r="C274" t="s">
        <v>19</v>
      </c>
      <c r="D274" t="s">
        <v>43</v>
      </c>
      <c r="E274" t="s">
        <v>44</v>
      </c>
      <c r="F274" t="s">
        <v>53</v>
      </c>
      <c r="G274" s="2">
        <v>45939</v>
      </c>
      <c r="H274" s="2">
        <v>46027</v>
      </c>
      <c r="I274" s="3">
        <v>91</v>
      </c>
      <c r="J274" s="4">
        <v>3.09</v>
      </c>
      <c r="K274" s="3">
        <v>88</v>
      </c>
      <c r="L274" s="3">
        <v>47</v>
      </c>
      <c r="M274" s="3">
        <v>43</v>
      </c>
      <c r="N274" t="s">
        <v>23</v>
      </c>
      <c r="O274" t="s">
        <v>1277</v>
      </c>
      <c r="P274" t="s">
        <v>1278</v>
      </c>
      <c r="Q274" t="s">
        <v>1279</v>
      </c>
    </row>
    <row r="275" spans="1:17" ht="9.9499999999999993" customHeight="1">
      <c r="A275" t="s">
        <v>1280</v>
      </c>
      <c r="B275" t="s">
        <v>1281</v>
      </c>
      <c r="C275" t="s">
        <v>19</v>
      </c>
      <c r="D275" t="s">
        <v>59</v>
      </c>
      <c r="E275" t="s">
        <v>60</v>
      </c>
      <c r="F275" t="s">
        <v>84</v>
      </c>
      <c r="G275" s="2">
        <v>45999</v>
      </c>
      <c r="H275" s="2">
        <v>46131</v>
      </c>
      <c r="I275" s="3">
        <v>91</v>
      </c>
      <c r="J275" s="4">
        <v>3.14</v>
      </c>
      <c r="K275" s="3">
        <v>42</v>
      </c>
      <c r="L275" s="3">
        <v>57</v>
      </c>
      <c r="M275" s="3">
        <v>65</v>
      </c>
      <c r="N275" t="s">
        <v>23</v>
      </c>
      <c r="O275" t="s">
        <v>1282</v>
      </c>
      <c r="P275" t="s">
        <v>1283</v>
      </c>
      <c r="Q275" t="s">
        <v>1284</v>
      </c>
    </row>
    <row r="276" spans="1:17" ht="9.9499999999999993" customHeight="1">
      <c r="A276" t="s">
        <v>1285</v>
      </c>
      <c r="B276" t="s">
        <v>1008</v>
      </c>
      <c r="C276" t="s">
        <v>29</v>
      </c>
      <c r="D276" t="s">
        <v>59</v>
      </c>
      <c r="E276" t="s">
        <v>60</v>
      </c>
      <c r="F276" t="s">
        <v>84</v>
      </c>
      <c r="G276" s="2">
        <v>46077</v>
      </c>
      <c r="H276" s="2">
        <v>46177</v>
      </c>
      <c r="I276" s="3">
        <v>58</v>
      </c>
      <c r="J276" s="4">
        <v>3.44</v>
      </c>
      <c r="K276" s="3">
        <v>98</v>
      </c>
      <c r="L276" s="3">
        <v>69</v>
      </c>
      <c r="M276" s="3">
        <v>77</v>
      </c>
      <c r="N276" t="s">
        <v>23</v>
      </c>
      <c r="O276" t="s">
        <v>1286</v>
      </c>
      <c r="P276" t="s">
        <v>1287</v>
      </c>
      <c r="Q276" t="s">
        <v>1288</v>
      </c>
    </row>
    <row r="277" spans="1:17" ht="9.9499999999999993" customHeight="1">
      <c r="A277" t="s">
        <v>1289</v>
      </c>
      <c r="B277" t="s">
        <v>298</v>
      </c>
      <c r="C277" t="s">
        <v>19</v>
      </c>
      <c r="D277" t="s">
        <v>71</v>
      </c>
      <c r="E277" t="s">
        <v>72</v>
      </c>
      <c r="F277" t="s">
        <v>111</v>
      </c>
      <c r="G277" s="2">
        <v>45926</v>
      </c>
      <c r="H277" s="2">
        <v>46025</v>
      </c>
      <c r="I277" s="3">
        <v>63</v>
      </c>
      <c r="J277" s="4">
        <v>2.46</v>
      </c>
      <c r="K277" s="3">
        <v>87</v>
      </c>
      <c r="L277" s="3">
        <v>91</v>
      </c>
      <c r="M277" s="3">
        <v>71</v>
      </c>
      <c r="N277" t="s">
        <v>23</v>
      </c>
      <c r="O277" t="s">
        <v>1290</v>
      </c>
      <c r="P277" t="s">
        <v>1291</v>
      </c>
      <c r="Q277" t="s">
        <v>1292</v>
      </c>
    </row>
    <row r="278" spans="1:17" ht="9.9499999999999993" customHeight="1">
      <c r="A278" t="s">
        <v>1293</v>
      </c>
      <c r="B278" t="s">
        <v>1294</v>
      </c>
      <c r="C278" t="s">
        <v>29</v>
      </c>
      <c r="D278" t="s">
        <v>59</v>
      </c>
      <c r="E278" t="s">
        <v>60</v>
      </c>
      <c r="F278" t="s">
        <v>22</v>
      </c>
      <c r="G278" s="2">
        <v>46005</v>
      </c>
      <c r="H278" s="2">
        <v>46137</v>
      </c>
      <c r="I278" s="3">
        <v>88</v>
      </c>
      <c r="J278" s="4">
        <v>3.71</v>
      </c>
      <c r="K278" s="3">
        <v>92</v>
      </c>
      <c r="L278" s="3">
        <v>42</v>
      </c>
      <c r="M278" s="3">
        <v>95</v>
      </c>
      <c r="N278" t="s">
        <v>32</v>
      </c>
      <c r="O278" t="s">
        <v>1295</v>
      </c>
      <c r="P278" t="s">
        <v>1296</v>
      </c>
      <c r="Q278" t="s">
        <v>1297</v>
      </c>
    </row>
    <row r="279" spans="1:17" ht="9.9499999999999993" customHeight="1">
      <c r="A279" t="s">
        <v>1298</v>
      </c>
      <c r="B279" t="s">
        <v>1299</v>
      </c>
      <c r="C279" t="s">
        <v>19</v>
      </c>
      <c r="D279" t="s">
        <v>20</v>
      </c>
      <c r="E279" t="s">
        <v>21</v>
      </c>
      <c r="F279" t="s">
        <v>45</v>
      </c>
      <c r="G279" s="2">
        <v>46046</v>
      </c>
      <c r="H279" s="2">
        <v>46119</v>
      </c>
      <c r="I279" s="3">
        <v>66</v>
      </c>
      <c r="J279" s="4">
        <v>2.2200000000000002</v>
      </c>
      <c r="K279" s="3">
        <v>93</v>
      </c>
      <c r="L279" s="3">
        <v>60</v>
      </c>
      <c r="M279" s="3">
        <v>37</v>
      </c>
      <c r="N279" t="s">
        <v>23</v>
      </c>
      <c r="O279" t="s">
        <v>1300</v>
      </c>
      <c r="P279" t="s">
        <v>1301</v>
      </c>
      <c r="Q279" t="s">
        <v>1302</v>
      </c>
    </row>
    <row r="280" spans="1:17" ht="9.9499999999999993" customHeight="1">
      <c r="A280" t="s">
        <v>1303</v>
      </c>
      <c r="B280" t="s">
        <v>1304</v>
      </c>
      <c r="C280" t="s">
        <v>29</v>
      </c>
      <c r="D280" t="s">
        <v>51</v>
      </c>
      <c r="E280" t="s">
        <v>52</v>
      </c>
      <c r="F280" t="s">
        <v>84</v>
      </c>
      <c r="G280" s="2">
        <v>46019</v>
      </c>
      <c r="H280" s="2">
        <v>46153</v>
      </c>
      <c r="I280" s="3">
        <v>80</v>
      </c>
      <c r="J280" s="4">
        <v>3.2</v>
      </c>
      <c r="K280" s="3">
        <v>47</v>
      </c>
      <c r="L280" s="3">
        <v>38</v>
      </c>
      <c r="M280" s="3">
        <v>60</v>
      </c>
      <c r="N280" t="s">
        <v>23</v>
      </c>
      <c r="O280" t="s">
        <v>1305</v>
      </c>
      <c r="P280" t="s">
        <v>1306</v>
      </c>
      <c r="Q280" t="s">
        <v>1307</v>
      </c>
    </row>
    <row r="281" spans="1:17" ht="9.9499999999999993" customHeight="1">
      <c r="A281" t="s">
        <v>1308</v>
      </c>
      <c r="B281" t="s">
        <v>679</v>
      </c>
      <c r="C281" t="s">
        <v>19</v>
      </c>
      <c r="D281" t="s">
        <v>30</v>
      </c>
      <c r="E281" t="s">
        <v>1309</v>
      </c>
      <c r="F281" t="s">
        <v>45</v>
      </c>
      <c r="G281" s="2">
        <v>45990</v>
      </c>
      <c r="H281" s="2">
        <v>46104</v>
      </c>
      <c r="I281" s="3">
        <v>65</v>
      </c>
      <c r="J281" s="4">
        <v>3.64</v>
      </c>
      <c r="K281" s="3">
        <v>56</v>
      </c>
      <c r="L281" s="3">
        <v>46</v>
      </c>
      <c r="M281" s="3">
        <v>66</v>
      </c>
      <c r="N281" t="s">
        <v>23</v>
      </c>
      <c r="O281" t="s">
        <v>1310</v>
      </c>
      <c r="P281" t="s">
        <v>1311</v>
      </c>
      <c r="Q281" t="s">
        <v>1312</v>
      </c>
    </row>
    <row r="282" spans="1:17" ht="9.9499999999999993" customHeight="1">
      <c r="A282" t="s">
        <v>1313</v>
      </c>
      <c r="B282" t="s">
        <v>1314</v>
      </c>
      <c r="C282" t="s">
        <v>29</v>
      </c>
      <c r="D282" t="s">
        <v>20</v>
      </c>
      <c r="E282" t="s">
        <v>21</v>
      </c>
      <c r="F282" t="s">
        <v>111</v>
      </c>
      <c r="G282" s="2">
        <v>45958</v>
      </c>
      <c r="H282" s="2">
        <v>46054</v>
      </c>
      <c r="I282" s="3">
        <v>72</v>
      </c>
      <c r="J282" s="4">
        <v>3.23</v>
      </c>
      <c r="K282" s="3">
        <v>72</v>
      </c>
      <c r="L282" s="3">
        <v>37</v>
      </c>
      <c r="M282" s="3">
        <v>31</v>
      </c>
      <c r="N282" t="s">
        <v>23</v>
      </c>
      <c r="O282" t="s">
        <v>1315</v>
      </c>
      <c r="P282" t="s">
        <v>1316</v>
      </c>
      <c r="Q282" t="s">
        <v>1317</v>
      </c>
    </row>
    <row r="283" spans="1:17" ht="9.9499999999999993" customHeight="1">
      <c r="A283" t="s">
        <v>1318</v>
      </c>
      <c r="B283" t="s">
        <v>1319</v>
      </c>
      <c r="C283" t="s">
        <v>29</v>
      </c>
      <c r="D283" t="s">
        <v>20</v>
      </c>
      <c r="E283" t="s">
        <v>21</v>
      </c>
      <c r="F283" t="s">
        <v>84</v>
      </c>
      <c r="G283" s="2">
        <v>46056</v>
      </c>
      <c r="H283" s="2">
        <v>46165</v>
      </c>
      <c r="I283" s="3">
        <v>100</v>
      </c>
      <c r="J283" s="4">
        <v>3.93</v>
      </c>
      <c r="K283" s="3">
        <v>81</v>
      </c>
      <c r="L283" s="3">
        <v>70</v>
      </c>
      <c r="M283" s="3">
        <v>84</v>
      </c>
      <c r="N283" t="s">
        <v>78</v>
      </c>
      <c r="O283" t="s">
        <v>1320</v>
      </c>
      <c r="P283" t="s">
        <v>1321</v>
      </c>
      <c r="Q283" t="s">
        <v>1322</v>
      </c>
    </row>
    <row r="284" spans="1:17" ht="9.9499999999999993" customHeight="1">
      <c r="A284" t="s">
        <v>1323</v>
      </c>
      <c r="B284" t="s">
        <v>1035</v>
      </c>
      <c r="C284" t="s">
        <v>29</v>
      </c>
      <c r="D284" t="s">
        <v>59</v>
      </c>
      <c r="E284" t="s">
        <v>60</v>
      </c>
      <c r="F284" t="s">
        <v>84</v>
      </c>
      <c r="G284" s="2">
        <v>46074</v>
      </c>
      <c r="H284" s="2">
        <v>46210</v>
      </c>
      <c r="I284" s="3">
        <v>94</v>
      </c>
      <c r="J284" s="4">
        <v>2.67</v>
      </c>
      <c r="K284" s="3">
        <v>46</v>
      </c>
      <c r="L284" s="3">
        <v>35</v>
      </c>
      <c r="M284" s="3">
        <v>95</v>
      </c>
      <c r="N284" t="s">
        <v>78</v>
      </c>
      <c r="O284" t="s">
        <v>1324</v>
      </c>
      <c r="P284" t="s">
        <v>1325</v>
      </c>
      <c r="Q284" t="s">
        <v>1326</v>
      </c>
    </row>
    <row r="285" spans="1:17" ht="9.9499999999999993" customHeight="1">
      <c r="A285" t="s">
        <v>1327</v>
      </c>
      <c r="B285" t="s">
        <v>981</v>
      </c>
      <c r="C285" t="s">
        <v>19</v>
      </c>
      <c r="D285" t="s">
        <v>51</v>
      </c>
      <c r="E285" t="s">
        <v>52</v>
      </c>
      <c r="F285" t="s">
        <v>111</v>
      </c>
      <c r="G285" s="2">
        <v>45928</v>
      </c>
      <c r="H285" s="2">
        <v>46059</v>
      </c>
      <c r="I285" s="3">
        <v>59</v>
      </c>
      <c r="J285" s="4">
        <v>2.54</v>
      </c>
      <c r="K285" s="3">
        <v>57</v>
      </c>
      <c r="L285" s="3">
        <v>76</v>
      </c>
      <c r="M285" s="3">
        <v>65</v>
      </c>
      <c r="N285" t="s">
        <v>23</v>
      </c>
      <c r="O285" t="s">
        <v>1328</v>
      </c>
      <c r="P285" t="s">
        <v>1329</v>
      </c>
      <c r="Q285" t="s">
        <v>1330</v>
      </c>
    </row>
    <row r="286" spans="1:17" ht="9.9499999999999993" customHeight="1">
      <c r="A286" t="s">
        <v>1331</v>
      </c>
      <c r="B286" t="s">
        <v>770</v>
      </c>
      <c r="C286" t="s">
        <v>29</v>
      </c>
      <c r="D286" t="s">
        <v>30</v>
      </c>
      <c r="E286" t="s">
        <v>31</v>
      </c>
      <c r="F286" t="s">
        <v>22</v>
      </c>
      <c r="G286" s="2">
        <v>45915</v>
      </c>
      <c r="H286" s="2">
        <v>46036</v>
      </c>
      <c r="I286" s="3">
        <v>97</v>
      </c>
      <c r="J286" s="4">
        <v>2.5</v>
      </c>
      <c r="K286" s="3">
        <v>48</v>
      </c>
      <c r="L286" s="3">
        <v>38</v>
      </c>
      <c r="M286" s="3">
        <v>93</v>
      </c>
      <c r="N286" t="s">
        <v>78</v>
      </c>
      <c r="O286" t="s">
        <v>1332</v>
      </c>
      <c r="P286" t="s">
        <v>1333</v>
      </c>
      <c r="Q286" t="s">
        <v>1334</v>
      </c>
    </row>
    <row r="287" spans="1:17" ht="9.9499999999999993" customHeight="1">
      <c r="A287" t="s">
        <v>1335</v>
      </c>
      <c r="B287" t="s">
        <v>203</v>
      </c>
      <c r="C287" t="s">
        <v>19</v>
      </c>
      <c r="D287" t="s">
        <v>71</v>
      </c>
      <c r="E287" t="s">
        <v>72</v>
      </c>
      <c r="F287" t="s">
        <v>193</v>
      </c>
      <c r="G287" s="2">
        <v>46050</v>
      </c>
      <c r="H287" s="2">
        <v>46144</v>
      </c>
      <c r="I287" s="3">
        <v>76</v>
      </c>
      <c r="J287" s="4">
        <v>3.4</v>
      </c>
      <c r="K287" s="3">
        <v>54</v>
      </c>
      <c r="L287" s="3">
        <v>95</v>
      </c>
      <c r="M287" s="3">
        <v>75</v>
      </c>
      <c r="N287" t="s">
        <v>23</v>
      </c>
      <c r="O287" t="s">
        <v>1336</v>
      </c>
      <c r="P287" t="s">
        <v>1337</v>
      </c>
      <c r="Q287" t="s">
        <v>1338</v>
      </c>
    </row>
    <row r="288" spans="1:17" ht="9.9499999999999993" customHeight="1">
      <c r="A288" t="s">
        <v>1339</v>
      </c>
      <c r="B288" t="s">
        <v>1340</v>
      </c>
      <c r="C288" t="s">
        <v>19</v>
      </c>
      <c r="D288" t="s">
        <v>43</v>
      </c>
      <c r="E288" t="s">
        <v>44</v>
      </c>
      <c r="F288" t="s">
        <v>53</v>
      </c>
      <c r="G288" s="2">
        <v>45933</v>
      </c>
      <c r="H288" s="2">
        <v>46036</v>
      </c>
      <c r="I288" s="3">
        <v>90</v>
      </c>
      <c r="J288" s="4">
        <v>3.48</v>
      </c>
      <c r="K288" s="3">
        <v>51</v>
      </c>
      <c r="L288" s="3">
        <v>77</v>
      </c>
      <c r="M288" s="3">
        <v>41</v>
      </c>
      <c r="N288" t="s">
        <v>23</v>
      </c>
      <c r="O288" t="s">
        <v>1341</v>
      </c>
      <c r="P288" t="s">
        <v>1342</v>
      </c>
      <c r="Q288" t="s">
        <v>1343</v>
      </c>
    </row>
    <row r="289" spans="1:17" ht="9.9499999999999993" customHeight="1">
      <c r="A289" t="s">
        <v>1344</v>
      </c>
      <c r="B289" t="s">
        <v>953</v>
      </c>
      <c r="C289" t="s">
        <v>19</v>
      </c>
      <c r="D289" t="s">
        <v>51</v>
      </c>
      <c r="E289" t="s">
        <v>52</v>
      </c>
      <c r="F289" t="s">
        <v>84</v>
      </c>
      <c r="G289" s="2">
        <v>46050</v>
      </c>
      <c r="H289" s="2">
        <v>46157</v>
      </c>
      <c r="I289" s="3">
        <v>84</v>
      </c>
      <c r="J289" s="4">
        <v>3.67</v>
      </c>
      <c r="K289" s="3">
        <v>70</v>
      </c>
      <c r="L289" s="3">
        <v>41</v>
      </c>
      <c r="M289" s="3">
        <v>39</v>
      </c>
      <c r="N289" t="s">
        <v>23</v>
      </c>
      <c r="O289" t="s">
        <v>1345</v>
      </c>
      <c r="P289" t="s">
        <v>1346</v>
      </c>
      <c r="Q289" t="s">
        <v>1347</v>
      </c>
    </row>
    <row r="290" spans="1:17" ht="9.9499999999999993" customHeight="1">
      <c r="A290" t="s">
        <v>1348</v>
      </c>
      <c r="B290" t="s">
        <v>1349</v>
      </c>
      <c r="C290" t="s">
        <v>19</v>
      </c>
      <c r="D290" t="s">
        <v>30</v>
      </c>
      <c r="E290" t="s">
        <v>31</v>
      </c>
      <c r="F290" t="s">
        <v>84</v>
      </c>
      <c r="G290" s="2">
        <v>46006</v>
      </c>
      <c r="H290" s="2">
        <v>46082</v>
      </c>
      <c r="I290" s="3">
        <v>64</v>
      </c>
      <c r="J290" s="4">
        <v>2.1</v>
      </c>
      <c r="K290" s="3">
        <v>52</v>
      </c>
      <c r="L290" s="3">
        <v>78</v>
      </c>
      <c r="M290" s="3">
        <v>82</v>
      </c>
      <c r="N290" t="s">
        <v>78</v>
      </c>
      <c r="O290" t="s">
        <v>1350</v>
      </c>
      <c r="P290" t="s">
        <v>1351</v>
      </c>
      <c r="Q290" t="s">
        <v>1352</v>
      </c>
    </row>
    <row r="291" spans="1:17" ht="9.9499999999999993" customHeight="1">
      <c r="A291" t="s">
        <v>613</v>
      </c>
      <c r="B291" t="s">
        <v>614</v>
      </c>
      <c r="C291" t="s">
        <v>29</v>
      </c>
      <c r="D291" t="s">
        <v>20</v>
      </c>
      <c r="E291" t="s">
        <v>21</v>
      </c>
      <c r="F291" t="s">
        <v>45</v>
      </c>
      <c r="G291" s="2">
        <v>46056</v>
      </c>
      <c r="H291" s="2">
        <v>46193</v>
      </c>
      <c r="I291" s="3">
        <v>82</v>
      </c>
      <c r="J291" s="4">
        <v>2.04</v>
      </c>
      <c r="K291" s="3">
        <v>58</v>
      </c>
      <c r="L291" s="3">
        <v>65</v>
      </c>
      <c r="M291" s="3">
        <v>68</v>
      </c>
      <c r="N291" t="s">
        <v>23</v>
      </c>
      <c r="O291" t="s">
        <v>615</v>
      </c>
      <c r="P291" t="s">
        <v>616</v>
      </c>
      <c r="Q291" t="s">
        <v>617</v>
      </c>
    </row>
    <row r="292" spans="1:17" ht="9.9499999999999993" customHeight="1">
      <c r="A292" t="s">
        <v>1353</v>
      </c>
      <c r="B292" t="s">
        <v>1354</v>
      </c>
      <c r="C292" t="s">
        <v>19</v>
      </c>
      <c r="D292" t="s">
        <v>43</v>
      </c>
      <c r="E292" t="s">
        <v>44</v>
      </c>
      <c r="F292" t="s">
        <v>22</v>
      </c>
      <c r="G292" s="2">
        <v>46058</v>
      </c>
      <c r="H292" s="2">
        <v>46183</v>
      </c>
      <c r="I292" s="3">
        <v>95</v>
      </c>
      <c r="J292" s="4">
        <v>2.74</v>
      </c>
      <c r="K292" s="3">
        <v>67</v>
      </c>
      <c r="L292" s="3">
        <v>96</v>
      </c>
      <c r="M292" s="3">
        <v>79</v>
      </c>
      <c r="N292" t="s">
        <v>23</v>
      </c>
      <c r="O292" t="s">
        <v>1355</v>
      </c>
      <c r="P292" t="s">
        <v>1356</v>
      </c>
      <c r="Q292" t="s">
        <v>1357</v>
      </c>
    </row>
    <row r="293" spans="1:17" ht="9.9499999999999993" customHeight="1">
      <c r="A293" t="s">
        <v>1358</v>
      </c>
      <c r="B293" t="s">
        <v>1359</v>
      </c>
      <c r="C293" t="s">
        <v>29</v>
      </c>
      <c r="D293" t="s">
        <v>51</v>
      </c>
      <c r="E293" t="s">
        <v>52</v>
      </c>
      <c r="F293" t="s">
        <v>45</v>
      </c>
      <c r="G293" s="2">
        <v>45949</v>
      </c>
      <c r="H293" s="2">
        <v>46021</v>
      </c>
      <c r="I293" s="3">
        <v>98</v>
      </c>
      <c r="J293" s="4">
        <v>1.81</v>
      </c>
      <c r="K293" s="3">
        <v>86</v>
      </c>
      <c r="L293" s="3">
        <v>66</v>
      </c>
      <c r="M293" s="3">
        <v>58</v>
      </c>
      <c r="N293" t="s">
        <v>23</v>
      </c>
      <c r="O293" t="s">
        <v>1360</v>
      </c>
      <c r="P293" t="s">
        <v>1361</v>
      </c>
      <c r="Q293" t="s">
        <v>1362</v>
      </c>
    </row>
    <row r="294" spans="1:17" ht="9.9499999999999993" customHeight="1">
      <c r="A294" t="s">
        <v>1363</v>
      </c>
      <c r="B294" t="s">
        <v>1364</v>
      </c>
      <c r="C294" t="s">
        <v>29</v>
      </c>
      <c r="D294" t="s">
        <v>59</v>
      </c>
      <c r="E294" t="s">
        <v>60</v>
      </c>
      <c r="F294" t="s">
        <v>45</v>
      </c>
      <c r="G294" s="2">
        <v>46051</v>
      </c>
      <c r="H294" s="2">
        <v>46160</v>
      </c>
      <c r="I294" s="3">
        <v>65</v>
      </c>
      <c r="J294" s="4">
        <v>1.94</v>
      </c>
      <c r="K294" s="3">
        <v>42</v>
      </c>
      <c r="L294" s="3">
        <v>73</v>
      </c>
      <c r="M294" s="3">
        <v>67</v>
      </c>
      <c r="N294" t="s">
        <v>23</v>
      </c>
      <c r="O294" t="s">
        <v>1365</v>
      </c>
      <c r="P294" t="s">
        <v>1366</v>
      </c>
      <c r="Q294" t="s">
        <v>1367</v>
      </c>
    </row>
    <row r="295" spans="1:17" ht="9.9499999999999993" customHeight="1">
      <c r="A295" t="s">
        <v>1368</v>
      </c>
      <c r="B295" t="s">
        <v>1369</v>
      </c>
      <c r="C295" t="s">
        <v>19</v>
      </c>
      <c r="D295" t="s">
        <v>59</v>
      </c>
      <c r="E295" t="s">
        <v>60</v>
      </c>
      <c r="F295" t="s">
        <v>111</v>
      </c>
      <c r="G295" s="2">
        <v>45935</v>
      </c>
      <c r="H295" s="2">
        <v>46048</v>
      </c>
      <c r="I295" s="3">
        <v>86</v>
      </c>
      <c r="J295" s="4">
        <v>2.59</v>
      </c>
      <c r="K295" s="3">
        <v>52</v>
      </c>
      <c r="L295" s="3">
        <v>56</v>
      </c>
      <c r="M295" s="3">
        <v>81</v>
      </c>
      <c r="N295" t="s">
        <v>23</v>
      </c>
      <c r="O295" t="s">
        <v>1370</v>
      </c>
      <c r="P295" t="s">
        <v>1371</v>
      </c>
      <c r="Q295" t="s">
        <v>1372</v>
      </c>
    </row>
    <row r="296" spans="1:17" ht="9.9499999999999993" customHeight="1">
      <c r="A296" t="s">
        <v>1373</v>
      </c>
      <c r="B296" t="s">
        <v>232</v>
      </c>
      <c r="C296" t="s">
        <v>29</v>
      </c>
      <c r="D296" t="s">
        <v>30</v>
      </c>
      <c r="E296" t="s">
        <v>31</v>
      </c>
      <c r="F296" t="s">
        <v>45</v>
      </c>
      <c r="G296" s="2">
        <v>45944</v>
      </c>
      <c r="H296" s="2">
        <v>46029</v>
      </c>
      <c r="I296" s="3">
        <v>78</v>
      </c>
      <c r="J296" s="4">
        <v>3.36</v>
      </c>
      <c r="K296" s="3">
        <v>90</v>
      </c>
      <c r="L296" s="3">
        <v>39</v>
      </c>
      <c r="M296" s="3">
        <v>78</v>
      </c>
      <c r="N296" t="s">
        <v>78</v>
      </c>
      <c r="O296" t="s">
        <v>1374</v>
      </c>
      <c r="P296" t="s">
        <v>1375</v>
      </c>
      <c r="Q296" t="s">
        <v>1376</v>
      </c>
    </row>
    <row r="297" spans="1:17" ht="9.9499999999999993" customHeight="1">
      <c r="A297" t="s">
        <v>1377</v>
      </c>
      <c r="B297" t="s">
        <v>981</v>
      </c>
      <c r="C297" t="s">
        <v>29</v>
      </c>
      <c r="D297" t="s">
        <v>30</v>
      </c>
      <c r="E297" t="s">
        <v>31</v>
      </c>
      <c r="F297" t="s">
        <v>193</v>
      </c>
      <c r="G297" s="2">
        <v>46070</v>
      </c>
      <c r="H297" s="2">
        <v>46153</v>
      </c>
      <c r="I297" s="3">
        <v>96</v>
      </c>
      <c r="J297" s="4">
        <v>3.64</v>
      </c>
      <c r="K297" s="3">
        <v>43</v>
      </c>
      <c r="L297" s="3">
        <v>49</v>
      </c>
      <c r="M297" s="3">
        <v>83</v>
      </c>
      <c r="N297" t="s">
        <v>23</v>
      </c>
      <c r="O297" t="s">
        <v>1378</v>
      </c>
      <c r="P297" t="s">
        <v>1379</v>
      </c>
      <c r="Q297" t="s">
        <v>1380</v>
      </c>
    </row>
    <row r="298" spans="1:17" ht="9.9499999999999993" customHeight="1">
      <c r="A298" t="s">
        <v>1381</v>
      </c>
      <c r="B298" t="s">
        <v>698</v>
      </c>
      <c r="C298" t="s">
        <v>19</v>
      </c>
      <c r="D298" t="s">
        <v>71</v>
      </c>
      <c r="E298" t="s">
        <v>72</v>
      </c>
      <c r="F298" t="s">
        <v>22</v>
      </c>
      <c r="G298" s="2">
        <v>45953</v>
      </c>
      <c r="H298" s="2">
        <v>46024</v>
      </c>
      <c r="I298" s="3">
        <v>74</v>
      </c>
      <c r="J298" s="4">
        <v>2.73</v>
      </c>
      <c r="K298" s="3">
        <v>46</v>
      </c>
      <c r="L298" s="3">
        <v>69</v>
      </c>
      <c r="M298" s="3">
        <v>47</v>
      </c>
      <c r="N298" t="s">
        <v>23</v>
      </c>
      <c r="O298" t="s">
        <v>1382</v>
      </c>
      <c r="P298" t="s">
        <v>1383</v>
      </c>
      <c r="Q298" t="s">
        <v>1384</v>
      </c>
    </row>
    <row r="299" spans="1:17" ht="9.9499999999999993" customHeight="1">
      <c r="A299" t="s">
        <v>1385</v>
      </c>
      <c r="B299" t="s">
        <v>1386</v>
      </c>
      <c r="C299" t="s">
        <v>29</v>
      </c>
      <c r="D299" t="s">
        <v>51</v>
      </c>
      <c r="E299" t="s">
        <v>52</v>
      </c>
      <c r="F299" t="s">
        <v>193</v>
      </c>
      <c r="G299" s="2">
        <v>45928</v>
      </c>
      <c r="H299" s="2">
        <v>46061</v>
      </c>
      <c r="I299" s="3">
        <v>67</v>
      </c>
      <c r="J299" s="4">
        <v>3.14</v>
      </c>
      <c r="K299" s="3">
        <v>89</v>
      </c>
      <c r="L299" s="3">
        <v>68</v>
      </c>
      <c r="M299" s="3">
        <v>96</v>
      </c>
      <c r="N299" t="s">
        <v>78</v>
      </c>
      <c r="O299" t="s">
        <v>1387</v>
      </c>
      <c r="P299" t="s">
        <v>1388</v>
      </c>
      <c r="Q299" t="s">
        <v>1389</v>
      </c>
    </row>
    <row r="300" spans="1:17" ht="9.9499999999999993" customHeight="1">
      <c r="A300" t="s">
        <v>1390</v>
      </c>
      <c r="B300" t="s">
        <v>1391</v>
      </c>
      <c r="C300" t="s">
        <v>29</v>
      </c>
      <c r="D300" t="s">
        <v>43</v>
      </c>
      <c r="E300" t="s">
        <v>44</v>
      </c>
      <c r="F300" t="s">
        <v>45</v>
      </c>
      <c r="G300" s="2">
        <v>46028</v>
      </c>
      <c r="H300" s="2">
        <v>46124</v>
      </c>
      <c r="I300" s="3">
        <v>99</v>
      </c>
      <c r="J300" s="4">
        <v>3.85</v>
      </c>
      <c r="K300" s="3">
        <v>61</v>
      </c>
      <c r="L300" s="3">
        <v>65</v>
      </c>
      <c r="M300" s="3">
        <v>30</v>
      </c>
      <c r="N300" t="s">
        <v>23</v>
      </c>
      <c r="O300" t="s">
        <v>1392</v>
      </c>
      <c r="P300" t="s">
        <v>1393</v>
      </c>
      <c r="Q300" t="s">
        <v>1394</v>
      </c>
    </row>
    <row r="301" spans="1:17" ht="9.9499999999999993" customHeight="1">
      <c r="A301" t="s">
        <v>1395</v>
      </c>
      <c r="B301" t="s">
        <v>262</v>
      </c>
      <c r="C301" t="s">
        <v>19</v>
      </c>
      <c r="D301" t="s">
        <v>20</v>
      </c>
      <c r="E301" t="s">
        <v>21</v>
      </c>
      <c r="F301" t="s">
        <v>193</v>
      </c>
      <c r="G301" s="2">
        <v>46031</v>
      </c>
      <c r="H301" s="2">
        <v>46110</v>
      </c>
      <c r="I301" s="3">
        <v>61</v>
      </c>
      <c r="J301" s="4">
        <v>3.79</v>
      </c>
      <c r="K301" s="3">
        <v>81</v>
      </c>
      <c r="L301" s="3">
        <v>64</v>
      </c>
      <c r="M301" s="3">
        <v>88</v>
      </c>
      <c r="N301" t="s">
        <v>78</v>
      </c>
      <c r="O301" t="s">
        <v>1396</v>
      </c>
      <c r="P301" t="s">
        <v>1397</v>
      </c>
      <c r="Q301" t="s">
        <v>1398</v>
      </c>
    </row>
  </sheetData>
  <conditionalFormatting sqref="A2:A301">
    <cfRule type="expression" dxfId="12" priority="1">
      <formula>COUNTIF($A$2:$A$301,A2)&gt;1</formula>
    </cfRule>
  </conditionalFormatting>
  <conditionalFormatting sqref="I2:I301">
    <cfRule type="cellIs" dxfId="11" priority="2" operator="greaterThan">
      <formula>100</formula>
    </cfRule>
  </conditionalFormatting>
  <conditionalFormatting sqref="J2:J301">
    <cfRule type="cellIs" dxfId="10" priority="3" operator="greaterThan">
      <formula>4</formula>
    </cfRule>
  </conditionalFormatting>
  <dataValidations count="3">
    <dataValidation type="list" sqref="N2:N301 C2:D301">
      <formula1>#REF!</formula1>
    </dataValidation>
    <dataValidation type="decimal" sqref="J2:J301">
      <formula1>0</formula1>
      <formula2>4</formula2>
    </dataValidation>
    <dataValidation type="decimal" sqref="I2:I301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9"/>
  <sheetViews>
    <sheetView tabSelected="1" zoomScaleNormal="100" workbookViewId="0">
      <pane ySplit="1" topLeftCell="A271" activePane="bottomLeft" state="frozen"/>
      <selection pane="bottomLeft" activeCell="K281" sqref="K281"/>
    </sheetView>
  </sheetViews>
  <sheetFormatPr defaultRowHeight="14.25"/>
  <cols>
    <col min="1" max="1" width="14" bestFit="1" customWidth="1"/>
    <col min="2" max="2" width="17.625" bestFit="1" customWidth="1"/>
    <col min="3" max="3" width="8" customWidth="1"/>
    <col min="4" max="4" width="17.25" customWidth="1"/>
    <col min="5" max="5" width="20.75" bestFit="1" customWidth="1"/>
    <col min="6" max="6" width="11.75" bestFit="1" customWidth="1"/>
    <col min="7" max="7" width="17.125" style="5" bestFit="1" customWidth="1"/>
    <col min="8" max="8" width="10.75" style="5" bestFit="1" customWidth="1"/>
    <col min="9" max="9" width="10.875" bestFit="1" customWidth="1"/>
    <col min="10" max="10" width="4.75" bestFit="1" customWidth="1"/>
    <col min="11" max="11" width="17.625" bestFit="1" customWidth="1"/>
    <col min="12" max="12" width="14.5" bestFit="1" customWidth="1"/>
    <col min="13" max="13" width="11.375" bestFit="1" customWidth="1"/>
    <col min="14" max="14" width="9.375" bestFit="1" customWidth="1"/>
    <col min="15" max="15" width="48.25" bestFit="1" customWidth="1"/>
    <col min="16" max="16" width="15.5" style="4" bestFit="1" customWidth="1"/>
    <col min="17" max="17" width="51.375" bestFit="1" customWidth="1"/>
    <col min="18" max="18" width="12.25" style="8" bestFit="1" customWidth="1"/>
    <col min="19" max="19" width="12.5" bestFit="1" customWidth="1"/>
    <col min="22" max="22" width="10.125" bestFit="1" customWidth="1"/>
  </cols>
  <sheetData>
    <row r="1" spans="1:23" s="12" customFormat="1" ht="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1" t="s">
        <v>15</v>
      </c>
      <c r="Q1" s="9" t="s">
        <v>16</v>
      </c>
      <c r="R1" s="13" t="s">
        <v>1399</v>
      </c>
      <c r="S1" s="12" t="s">
        <v>1400</v>
      </c>
      <c r="T1" s="12" t="s">
        <v>1427</v>
      </c>
      <c r="U1" s="12" t="s">
        <v>1428</v>
      </c>
    </row>
    <row r="2" spans="1:2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5">
        <v>45936</v>
      </c>
      <c r="H2" s="5">
        <v>46019</v>
      </c>
      <c r="I2" s="3">
        <v>98</v>
      </c>
      <c r="J2" s="4">
        <v>3.43</v>
      </c>
      <c r="K2" s="3">
        <v>74</v>
      </c>
      <c r="L2" s="3">
        <v>46</v>
      </c>
      <c r="M2" s="3">
        <v>84</v>
      </c>
      <c r="N2" t="s">
        <v>23</v>
      </c>
      <c r="O2" t="s">
        <v>24</v>
      </c>
      <c r="P2" s="4" t="s">
        <v>25</v>
      </c>
      <c r="Q2" t="s">
        <v>26</v>
      </c>
      <c r="R2" s="8">
        <f t="shared" ref="R2:R65" si="0">K2+L2+M2</f>
        <v>204</v>
      </c>
      <c r="S2" t="str">
        <f>IF(R2&gt;V23=$W$7,"Pass","Fail")</f>
        <v>Fail</v>
      </c>
      <c r="T2" t="str">
        <f t="shared" ref="T2:T65" si="1">IF(R2&gt;=200,"A",IF(R2&gt;=150,"B",IF(R2&gt;=100,"C",IF(R2&gt;=50,"D"))))</f>
        <v>A</v>
      </c>
      <c r="U2">
        <f t="shared" ref="U2:U65" si="2">COUNTIF(C1:C295,E2)</f>
        <v>0</v>
      </c>
    </row>
    <row r="3" spans="1:2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s="5">
        <v>46067</v>
      </c>
      <c r="H3" s="5">
        <v>46206</v>
      </c>
      <c r="I3" s="3">
        <v>81</v>
      </c>
      <c r="J3" s="4">
        <v>2.2799999999999998</v>
      </c>
      <c r="K3" s="3">
        <v>77</v>
      </c>
      <c r="L3" s="3">
        <v>70</v>
      </c>
      <c r="M3" s="3">
        <v>30</v>
      </c>
      <c r="N3" t="s">
        <v>32</v>
      </c>
      <c r="O3" t="s">
        <v>33</v>
      </c>
      <c r="P3" s="4" t="s">
        <v>34</v>
      </c>
      <c r="Q3" t="s">
        <v>35</v>
      </c>
      <c r="R3" s="8">
        <f t="shared" si="0"/>
        <v>177</v>
      </c>
      <c r="S3" t="str">
        <f t="shared" ref="S3:S65" si="3">IF(R3&gt;=$W$7,"Pass","Fail")</f>
        <v>Pass</v>
      </c>
      <c r="T3" t="str">
        <f t="shared" si="1"/>
        <v>B</v>
      </c>
      <c r="U3">
        <f t="shared" si="2"/>
        <v>0</v>
      </c>
    </row>
    <row r="4" spans="1:23">
      <c r="A4" t="s">
        <v>36</v>
      </c>
      <c r="B4" t="s">
        <v>37</v>
      </c>
      <c r="C4" t="s">
        <v>19</v>
      </c>
      <c r="D4" t="s">
        <v>20</v>
      </c>
      <c r="E4" t="s">
        <v>21</v>
      </c>
      <c r="F4" t="s">
        <v>22</v>
      </c>
      <c r="G4" s="5">
        <v>45987</v>
      </c>
      <c r="H4" s="5">
        <v>46070</v>
      </c>
      <c r="I4" s="3">
        <v>60</v>
      </c>
      <c r="J4" s="4">
        <v>2.64</v>
      </c>
      <c r="K4" s="3">
        <v>62</v>
      </c>
      <c r="L4" s="3">
        <v>79</v>
      </c>
      <c r="M4" s="3">
        <v>63</v>
      </c>
      <c r="N4" t="s">
        <v>32</v>
      </c>
      <c r="O4" t="s">
        <v>38</v>
      </c>
      <c r="P4" s="4" t="s">
        <v>39</v>
      </c>
      <c r="Q4" t="s">
        <v>40</v>
      </c>
      <c r="R4" s="8">
        <f t="shared" si="0"/>
        <v>204</v>
      </c>
      <c r="S4" t="str">
        <f t="shared" si="3"/>
        <v>Pass</v>
      </c>
      <c r="T4" t="str">
        <f t="shared" si="1"/>
        <v>A</v>
      </c>
      <c r="U4">
        <f t="shared" si="2"/>
        <v>0</v>
      </c>
    </row>
    <row r="5" spans="1:23">
      <c r="A5" t="s">
        <v>41</v>
      </c>
      <c r="B5" t="s">
        <v>42</v>
      </c>
      <c r="C5" t="s">
        <v>19</v>
      </c>
      <c r="D5" t="s">
        <v>43</v>
      </c>
      <c r="E5" t="s">
        <v>44</v>
      </c>
      <c r="F5" t="s">
        <v>45</v>
      </c>
      <c r="G5" s="5">
        <v>45976</v>
      </c>
      <c r="H5" s="5">
        <v>46092</v>
      </c>
      <c r="I5" s="3">
        <v>91</v>
      </c>
      <c r="J5" s="4">
        <v>2.2200000000000002</v>
      </c>
      <c r="K5" s="3">
        <v>44</v>
      </c>
      <c r="L5" s="3">
        <v>40</v>
      </c>
      <c r="M5" s="3">
        <v>59</v>
      </c>
      <c r="N5" t="s">
        <v>32</v>
      </c>
      <c r="O5" t="s">
        <v>46</v>
      </c>
      <c r="P5" s="4" t="s">
        <v>47</v>
      </c>
      <c r="Q5" t="s">
        <v>48</v>
      </c>
      <c r="R5" s="8">
        <f t="shared" si="0"/>
        <v>143</v>
      </c>
      <c r="S5" t="str">
        <f t="shared" si="3"/>
        <v>Fail</v>
      </c>
      <c r="T5" t="str">
        <f t="shared" si="1"/>
        <v>C</v>
      </c>
      <c r="U5">
        <f t="shared" si="2"/>
        <v>0</v>
      </c>
    </row>
    <row r="6" spans="1:23" ht="15" thickBot="1">
      <c r="A6" t="s">
        <v>49</v>
      </c>
      <c r="B6" t="s">
        <v>50</v>
      </c>
      <c r="C6" t="s">
        <v>19</v>
      </c>
      <c r="D6" t="s">
        <v>51</v>
      </c>
      <c r="E6" t="s">
        <v>52</v>
      </c>
      <c r="F6" t="s">
        <v>53</v>
      </c>
      <c r="G6" s="5">
        <v>46063</v>
      </c>
      <c r="H6" s="5">
        <v>46179</v>
      </c>
      <c r="I6" s="3">
        <v>65</v>
      </c>
      <c r="J6" s="4">
        <v>2.61</v>
      </c>
      <c r="K6" s="3">
        <v>53</v>
      </c>
      <c r="L6" s="3">
        <v>69</v>
      </c>
      <c r="M6" s="3">
        <v>39</v>
      </c>
      <c r="N6" t="s">
        <v>23</v>
      </c>
      <c r="O6" t="s">
        <v>54</v>
      </c>
      <c r="P6" s="4" t="s">
        <v>55</v>
      </c>
      <c r="Q6" t="s">
        <v>56</v>
      </c>
      <c r="R6" s="8">
        <f t="shared" si="0"/>
        <v>161</v>
      </c>
      <c r="S6" t="str">
        <f t="shared" si="3"/>
        <v>Pass</v>
      </c>
      <c r="T6" t="str">
        <f t="shared" si="1"/>
        <v>B</v>
      </c>
      <c r="U6">
        <f t="shared" si="2"/>
        <v>0</v>
      </c>
    </row>
    <row r="7" spans="1:23" ht="16.5" thickTop="1" thickBot="1">
      <c r="A7" t="s">
        <v>57</v>
      </c>
      <c r="B7" t="s">
        <v>58</v>
      </c>
      <c r="C7" t="s">
        <v>29</v>
      </c>
      <c r="D7" t="s">
        <v>59</v>
      </c>
      <c r="E7" t="s">
        <v>60</v>
      </c>
      <c r="F7" t="s">
        <v>53</v>
      </c>
      <c r="G7" s="5">
        <v>45970</v>
      </c>
      <c r="H7" s="5">
        <v>46068</v>
      </c>
      <c r="I7" s="3">
        <v>98</v>
      </c>
      <c r="J7" s="4">
        <v>2.5099999999999998</v>
      </c>
      <c r="K7" s="3">
        <v>89</v>
      </c>
      <c r="L7" s="3">
        <v>42</v>
      </c>
      <c r="M7" s="3">
        <v>59</v>
      </c>
      <c r="N7" t="s">
        <v>32</v>
      </c>
      <c r="O7" t="s">
        <v>61</v>
      </c>
      <c r="P7" s="4" t="s">
        <v>62</v>
      </c>
      <c r="Q7" t="s">
        <v>63</v>
      </c>
      <c r="R7" s="8">
        <f t="shared" si="0"/>
        <v>190</v>
      </c>
      <c r="S7" t="str">
        <f t="shared" si="3"/>
        <v>Pass</v>
      </c>
      <c r="T7" t="str">
        <f t="shared" si="1"/>
        <v>B</v>
      </c>
      <c r="U7">
        <f t="shared" si="2"/>
        <v>0</v>
      </c>
      <c r="V7" s="14" t="s">
        <v>1400</v>
      </c>
      <c r="W7">
        <v>150</v>
      </c>
    </row>
    <row r="8" spans="1:23" ht="15" thickTop="1">
      <c r="A8" t="s">
        <v>57</v>
      </c>
      <c r="B8" t="s">
        <v>58</v>
      </c>
      <c r="C8" t="s">
        <v>29</v>
      </c>
      <c r="D8" t="s">
        <v>59</v>
      </c>
      <c r="E8" t="s">
        <v>60</v>
      </c>
      <c r="F8" t="s">
        <v>53</v>
      </c>
      <c r="G8" s="5">
        <v>45970</v>
      </c>
      <c r="H8" s="5">
        <v>46068</v>
      </c>
      <c r="I8" s="3">
        <v>98</v>
      </c>
      <c r="J8" s="4">
        <v>2.5099999999999998</v>
      </c>
      <c r="K8" s="3">
        <v>89</v>
      </c>
      <c r="L8" s="3">
        <v>42</v>
      </c>
      <c r="M8" s="3">
        <v>59</v>
      </c>
      <c r="N8" t="s">
        <v>32</v>
      </c>
      <c r="O8" t="s">
        <v>61</v>
      </c>
      <c r="P8" s="4" t="s">
        <v>62</v>
      </c>
      <c r="Q8" t="s">
        <v>63</v>
      </c>
      <c r="R8" s="8">
        <f t="shared" si="0"/>
        <v>190</v>
      </c>
      <c r="S8" t="str">
        <f t="shared" si="3"/>
        <v>Pass</v>
      </c>
      <c r="T8" t="str">
        <f t="shared" si="1"/>
        <v>B</v>
      </c>
      <c r="U8">
        <f t="shared" si="2"/>
        <v>0</v>
      </c>
    </row>
    <row r="9" spans="1:23">
      <c r="A9" t="s">
        <v>64</v>
      </c>
      <c r="B9" t="s">
        <v>65</v>
      </c>
      <c r="C9" t="s">
        <v>29</v>
      </c>
      <c r="D9" t="s">
        <v>20</v>
      </c>
      <c r="E9" t="s">
        <v>21</v>
      </c>
      <c r="F9" t="s">
        <v>45</v>
      </c>
      <c r="G9" s="5">
        <v>45981</v>
      </c>
      <c r="H9" s="5">
        <v>46078</v>
      </c>
      <c r="I9" s="3">
        <v>96</v>
      </c>
      <c r="J9" s="4">
        <v>2.9</v>
      </c>
      <c r="K9" s="3">
        <v>96</v>
      </c>
      <c r="L9" s="3">
        <v>93</v>
      </c>
      <c r="M9" s="3">
        <v>48</v>
      </c>
      <c r="N9" t="s">
        <v>23</v>
      </c>
      <c r="O9" t="s">
        <v>66</v>
      </c>
      <c r="P9" s="4" t="s">
        <v>67</v>
      </c>
      <c r="Q9" t="s">
        <v>68</v>
      </c>
      <c r="R9" s="8">
        <f t="shared" si="0"/>
        <v>237</v>
      </c>
      <c r="S9" t="str">
        <f t="shared" si="3"/>
        <v>Pass</v>
      </c>
      <c r="T9" t="str">
        <f t="shared" si="1"/>
        <v>A</v>
      </c>
      <c r="U9">
        <f t="shared" si="2"/>
        <v>0</v>
      </c>
    </row>
    <row r="10" spans="1:23">
      <c r="A10" t="s">
        <v>69</v>
      </c>
      <c r="B10" t="s">
        <v>70</v>
      </c>
      <c r="C10" t="s">
        <v>19</v>
      </c>
      <c r="D10" t="s">
        <v>71</v>
      </c>
      <c r="E10" t="s">
        <v>72</v>
      </c>
      <c r="F10" t="s">
        <v>45</v>
      </c>
      <c r="G10" s="5">
        <v>46010</v>
      </c>
      <c r="H10" s="5">
        <v>46131</v>
      </c>
      <c r="I10" s="3">
        <v>78</v>
      </c>
      <c r="J10" s="4">
        <v>2.2799999999999998</v>
      </c>
      <c r="K10" s="3">
        <v>48</v>
      </c>
      <c r="L10" s="3">
        <v>100</v>
      </c>
      <c r="M10" s="3">
        <v>93</v>
      </c>
      <c r="N10" t="s">
        <v>23</v>
      </c>
      <c r="O10" t="s">
        <v>73</v>
      </c>
      <c r="P10" s="4" t="s">
        <v>74</v>
      </c>
      <c r="Q10" t="s">
        <v>75</v>
      </c>
      <c r="R10" s="8">
        <f t="shared" si="0"/>
        <v>241</v>
      </c>
      <c r="S10" t="str">
        <f t="shared" si="3"/>
        <v>Pass</v>
      </c>
      <c r="T10" t="str">
        <f t="shared" si="1"/>
        <v>A</v>
      </c>
      <c r="U10">
        <f t="shared" si="2"/>
        <v>0</v>
      </c>
    </row>
    <row r="11" spans="1:23">
      <c r="A11" t="s">
        <v>76</v>
      </c>
      <c r="B11" t="s">
        <v>77</v>
      </c>
      <c r="C11" t="s">
        <v>29</v>
      </c>
      <c r="D11" t="s">
        <v>71</v>
      </c>
      <c r="E11" t="s">
        <v>72</v>
      </c>
      <c r="F11" t="s">
        <v>53</v>
      </c>
      <c r="G11" s="5">
        <v>46053</v>
      </c>
      <c r="H11" s="5">
        <v>46131</v>
      </c>
      <c r="I11" s="3">
        <v>79</v>
      </c>
      <c r="J11" s="4">
        <v>2.64</v>
      </c>
      <c r="K11" s="3">
        <v>69</v>
      </c>
      <c r="L11" s="3">
        <v>67</v>
      </c>
      <c r="M11" s="3">
        <v>100</v>
      </c>
      <c r="N11" t="s">
        <v>78</v>
      </c>
      <c r="O11" t="s">
        <v>79</v>
      </c>
      <c r="P11" s="4" t="s">
        <v>80</v>
      </c>
      <c r="Q11" t="s">
        <v>81</v>
      </c>
      <c r="R11" s="8">
        <f t="shared" si="0"/>
        <v>236</v>
      </c>
      <c r="S11" t="str">
        <f t="shared" si="3"/>
        <v>Pass</v>
      </c>
      <c r="T11" t="str">
        <f t="shared" si="1"/>
        <v>A</v>
      </c>
      <c r="U11">
        <f t="shared" si="2"/>
        <v>0</v>
      </c>
    </row>
    <row r="12" spans="1:23">
      <c r="A12" t="s">
        <v>82</v>
      </c>
      <c r="B12" t="s">
        <v>83</v>
      </c>
      <c r="C12" t="s">
        <v>19</v>
      </c>
      <c r="D12" t="s">
        <v>71</v>
      </c>
      <c r="E12" t="s">
        <v>72</v>
      </c>
      <c r="F12" t="s">
        <v>84</v>
      </c>
      <c r="G12" s="5">
        <v>45929</v>
      </c>
      <c r="H12" s="5">
        <v>46036</v>
      </c>
      <c r="I12" s="3">
        <v>82</v>
      </c>
      <c r="J12" s="4">
        <v>2.15</v>
      </c>
      <c r="K12" s="3">
        <v>40</v>
      </c>
      <c r="L12" s="3">
        <v>68</v>
      </c>
      <c r="M12" s="3">
        <v>94</v>
      </c>
      <c r="N12" t="s">
        <v>32</v>
      </c>
      <c r="O12" t="s">
        <v>85</v>
      </c>
      <c r="P12" s="4" t="s">
        <v>86</v>
      </c>
      <c r="Q12" t="s">
        <v>87</v>
      </c>
      <c r="R12" s="8">
        <f t="shared" si="0"/>
        <v>202</v>
      </c>
      <c r="S12" t="str">
        <f t="shared" si="3"/>
        <v>Pass</v>
      </c>
      <c r="T12" t="str">
        <f t="shared" si="1"/>
        <v>A</v>
      </c>
      <c r="U12">
        <f t="shared" si="2"/>
        <v>0</v>
      </c>
    </row>
    <row r="13" spans="1:23">
      <c r="A13" t="s">
        <v>88</v>
      </c>
      <c r="B13" t="s">
        <v>89</v>
      </c>
      <c r="C13" t="s">
        <v>29</v>
      </c>
      <c r="D13" t="s">
        <v>20</v>
      </c>
      <c r="E13" t="s">
        <v>21</v>
      </c>
      <c r="F13" t="s">
        <v>84</v>
      </c>
      <c r="G13" s="5">
        <v>45942</v>
      </c>
      <c r="H13" s="5">
        <v>46081</v>
      </c>
      <c r="I13" s="3">
        <v>88</v>
      </c>
      <c r="J13" s="4">
        <v>3.82</v>
      </c>
      <c r="K13" s="3">
        <v>78</v>
      </c>
      <c r="L13" s="3">
        <v>76</v>
      </c>
      <c r="M13" s="3">
        <v>92</v>
      </c>
      <c r="N13" t="s">
        <v>23</v>
      </c>
      <c r="O13" t="s">
        <v>90</v>
      </c>
      <c r="P13" s="4" t="s">
        <v>91</v>
      </c>
      <c r="Q13" t="s">
        <v>92</v>
      </c>
      <c r="R13" s="8">
        <f t="shared" si="0"/>
        <v>246</v>
      </c>
      <c r="S13" t="str">
        <f t="shared" si="3"/>
        <v>Pass</v>
      </c>
      <c r="T13" t="str">
        <f t="shared" si="1"/>
        <v>A</v>
      </c>
      <c r="U13">
        <f t="shared" si="2"/>
        <v>0</v>
      </c>
    </row>
    <row r="14" spans="1:23">
      <c r="A14" t="s">
        <v>93</v>
      </c>
      <c r="B14" t="s">
        <v>94</v>
      </c>
      <c r="C14" t="s">
        <v>29</v>
      </c>
      <c r="D14" t="s">
        <v>20</v>
      </c>
      <c r="E14" t="s">
        <v>21</v>
      </c>
      <c r="G14" s="5">
        <v>45921</v>
      </c>
      <c r="H14" s="5">
        <v>46001</v>
      </c>
      <c r="I14" s="3">
        <v>86</v>
      </c>
      <c r="J14" s="4">
        <v>3.6</v>
      </c>
      <c r="K14" s="3">
        <v>88</v>
      </c>
      <c r="L14" s="3">
        <v>51</v>
      </c>
      <c r="M14" s="3">
        <v>46</v>
      </c>
      <c r="N14" t="s">
        <v>23</v>
      </c>
      <c r="O14" t="s">
        <v>95</v>
      </c>
      <c r="P14" s="4" t="s">
        <v>96</v>
      </c>
      <c r="Q14" t="s">
        <v>97</v>
      </c>
      <c r="R14" s="8">
        <f t="shared" si="0"/>
        <v>185</v>
      </c>
      <c r="S14" t="str">
        <f t="shared" si="3"/>
        <v>Pass</v>
      </c>
      <c r="T14" t="str">
        <f t="shared" si="1"/>
        <v>B</v>
      </c>
      <c r="U14">
        <f t="shared" si="2"/>
        <v>0</v>
      </c>
    </row>
    <row r="15" spans="1:23">
      <c r="A15" t="s">
        <v>98</v>
      </c>
      <c r="B15" t="s">
        <v>99</v>
      </c>
      <c r="C15" t="s">
        <v>19</v>
      </c>
      <c r="D15" t="s">
        <v>20</v>
      </c>
      <c r="E15" t="s">
        <v>21</v>
      </c>
      <c r="F15" t="s">
        <v>45</v>
      </c>
      <c r="G15" s="5">
        <v>46077</v>
      </c>
      <c r="H15" s="5">
        <v>46172</v>
      </c>
      <c r="I15" s="3">
        <v>100</v>
      </c>
      <c r="J15" s="4">
        <v>2.4900000000000002</v>
      </c>
      <c r="K15" s="3">
        <v>82</v>
      </c>
      <c r="L15" s="3">
        <v>82</v>
      </c>
      <c r="M15" s="3">
        <v>86</v>
      </c>
      <c r="N15" t="s">
        <v>78</v>
      </c>
      <c r="O15" t="s">
        <v>100</v>
      </c>
      <c r="P15" s="4" t="s">
        <v>101</v>
      </c>
      <c r="Q15" t="s">
        <v>102</v>
      </c>
      <c r="R15" s="8">
        <f t="shared" si="0"/>
        <v>250</v>
      </c>
      <c r="S15" t="str">
        <f t="shared" si="3"/>
        <v>Pass</v>
      </c>
      <c r="T15" t="str">
        <f t="shared" si="1"/>
        <v>A</v>
      </c>
      <c r="U15">
        <f t="shared" si="2"/>
        <v>0</v>
      </c>
    </row>
    <row r="16" spans="1:23">
      <c r="A16" t="s">
        <v>103</v>
      </c>
      <c r="B16" t="s">
        <v>104</v>
      </c>
      <c r="C16" t="s">
        <v>29</v>
      </c>
      <c r="D16" t="s">
        <v>43</v>
      </c>
      <c r="E16" t="s">
        <v>44</v>
      </c>
      <c r="F16" t="s">
        <v>84</v>
      </c>
      <c r="G16" s="5">
        <v>45906</v>
      </c>
      <c r="H16" s="5">
        <v>46046</v>
      </c>
      <c r="I16" s="3">
        <v>69</v>
      </c>
      <c r="J16" s="4">
        <v>3.09</v>
      </c>
      <c r="K16" s="3">
        <v>40</v>
      </c>
      <c r="L16" s="3">
        <v>44</v>
      </c>
      <c r="M16" s="3">
        <v>37</v>
      </c>
      <c r="N16" t="s">
        <v>23</v>
      </c>
      <c r="O16" t="s">
        <v>105</v>
      </c>
      <c r="P16" s="4" t="s">
        <v>106</v>
      </c>
      <c r="Q16" t="s">
        <v>107</v>
      </c>
      <c r="R16" s="8">
        <f t="shared" si="0"/>
        <v>121</v>
      </c>
      <c r="S16" t="str">
        <f t="shared" si="3"/>
        <v>Fail</v>
      </c>
      <c r="T16" t="str">
        <f t="shared" si="1"/>
        <v>C</v>
      </c>
      <c r="U16">
        <f t="shared" si="2"/>
        <v>0</v>
      </c>
    </row>
    <row r="17" spans="1:21">
      <c r="A17" t="s">
        <v>108</v>
      </c>
      <c r="B17" t="s">
        <v>109</v>
      </c>
      <c r="C17" t="s">
        <v>110</v>
      </c>
      <c r="D17" t="s">
        <v>51</v>
      </c>
      <c r="E17" t="s">
        <v>52</v>
      </c>
      <c r="F17" t="s">
        <v>111</v>
      </c>
      <c r="G17" s="5">
        <v>46025</v>
      </c>
      <c r="H17" s="5">
        <v>46122</v>
      </c>
      <c r="I17" s="3">
        <v>89</v>
      </c>
      <c r="J17" s="4">
        <v>2.09</v>
      </c>
      <c r="K17" s="3">
        <v>99</v>
      </c>
      <c r="L17" s="3">
        <v>95</v>
      </c>
      <c r="M17" s="3">
        <v>61</v>
      </c>
      <c r="N17" t="s">
        <v>32</v>
      </c>
      <c r="O17" t="s">
        <v>112</v>
      </c>
      <c r="P17" s="4" t="s">
        <v>113</v>
      </c>
      <c r="Q17" t="s">
        <v>114</v>
      </c>
      <c r="R17" s="8">
        <f t="shared" si="0"/>
        <v>255</v>
      </c>
      <c r="S17" t="str">
        <f t="shared" si="3"/>
        <v>Pass</v>
      </c>
      <c r="T17" t="str">
        <f t="shared" si="1"/>
        <v>A</v>
      </c>
      <c r="U17">
        <f t="shared" si="2"/>
        <v>0</v>
      </c>
    </row>
    <row r="18" spans="1:21">
      <c r="A18" t="s">
        <v>115</v>
      </c>
      <c r="B18" t="s">
        <v>116</v>
      </c>
      <c r="C18" t="s">
        <v>29</v>
      </c>
      <c r="D18" t="s">
        <v>71</v>
      </c>
      <c r="E18" t="s">
        <v>72</v>
      </c>
      <c r="F18" t="s">
        <v>53</v>
      </c>
      <c r="G18" s="5">
        <v>45991</v>
      </c>
      <c r="H18" s="5">
        <v>46115</v>
      </c>
      <c r="I18" s="3">
        <v>81</v>
      </c>
      <c r="J18" s="4">
        <v>2.83</v>
      </c>
      <c r="K18" s="3">
        <v>86</v>
      </c>
      <c r="L18" s="3">
        <v>41</v>
      </c>
      <c r="M18" s="3">
        <v>42</v>
      </c>
      <c r="N18" t="s">
        <v>23</v>
      </c>
      <c r="O18" t="s">
        <v>117</v>
      </c>
      <c r="P18" s="4" t="s">
        <v>118</v>
      </c>
      <c r="Q18" t="s">
        <v>119</v>
      </c>
      <c r="R18" s="8">
        <f t="shared" si="0"/>
        <v>169</v>
      </c>
      <c r="S18" t="str">
        <f t="shared" si="3"/>
        <v>Pass</v>
      </c>
      <c r="T18" t="str">
        <f t="shared" si="1"/>
        <v>B</v>
      </c>
      <c r="U18">
        <f t="shared" si="2"/>
        <v>0</v>
      </c>
    </row>
    <row r="19" spans="1:21">
      <c r="A19" t="s">
        <v>120</v>
      </c>
      <c r="B19" t="s">
        <v>104</v>
      </c>
      <c r="C19" t="s">
        <v>29</v>
      </c>
      <c r="D19" t="s">
        <v>20</v>
      </c>
      <c r="E19" t="s">
        <v>21</v>
      </c>
      <c r="F19" t="s">
        <v>45</v>
      </c>
      <c r="G19" s="5">
        <v>46015</v>
      </c>
      <c r="H19" s="5">
        <v>46102</v>
      </c>
      <c r="I19" s="3">
        <v>82</v>
      </c>
      <c r="J19" s="4">
        <v>2.2000000000000002</v>
      </c>
      <c r="K19" s="3">
        <v>69</v>
      </c>
      <c r="L19" s="3">
        <v>66</v>
      </c>
      <c r="M19" s="3">
        <v>39</v>
      </c>
      <c r="N19" t="s">
        <v>23</v>
      </c>
      <c r="O19" t="s">
        <v>121</v>
      </c>
      <c r="P19" s="4" t="s">
        <v>122</v>
      </c>
      <c r="Q19" t="s">
        <v>123</v>
      </c>
      <c r="R19" s="8">
        <f t="shared" si="0"/>
        <v>174</v>
      </c>
      <c r="S19" t="str">
        <f t="shared" si="3"/>
        <v>Pass</v>
      </c>
      <c r="T19" t="str">
        <f t="shared" si="1"/>
        <v>B</v>
      </c>
      <c r="U19">
        <f t="shared" si="2"/>
        <v>0</v>
      </c>
    </row>
    <row r="20" spans="1:21">
      <c r="A20" t="s">
        <v>124</v>
      </c>
      <c r="B20" t="s">
        <v>125</v>
      </c>
      <c r="C20" t="s">
        <v>29</v>
      </c>
      <c r="D20" t="s">
        <v>43</v>
      </c>
      <c r="E20" t="s">
        <v>44</v>
      </c>
      <c r="F20" t="s">
        <v>126</v>
      </c>
      <c r="G20" s="5">
        <v>45943</v>
      </c>
      <c r="H20" s="5">
        <v>46065</v>
      </c>
      <c r="I20" s="3">
        <v>86</v>
      </c>
      <c r="J20" s="4">
        <v>2.86</v>
      </c>
      <c r="K20" s="3">
        <v>95</v>
      </c>
      <c r="L20" s="3">
        <v>86</v>
      </c>
      <c r="M20" s="3">
        <v>37</v>
      </c>
      <c r="N20" t="s">
        <v>23</v>
      </c>
      <c r="O20" t="s">
        <v>127</v>
      </c>
      <c r="P20" s="4" t="s">
        <v>128</v>
      </c>
      <c r="Q20" t="s">
        <v>129</v>
      </c>
      <c r="R20" s="8">
        <f t="shared" si="0"/>
        <v>218</v>
      </c>
      <c r="S20" t="str">
        <f t="shared" si="3"/>
        <v>Pass</v>
      </c>
      <c r="T20" t="str">
        <f t="shared" si="1"/>
        <v>A</v>
      </c>
      <c r="U20">
        <f t="shared" si="2"/>
        <v>0</v>
      </c>
    </row>
    <row r="21" spans="1:21">
      <c r="A21" t="s">
        <v>130</v>
      </c>
      <c r="B21" t="s">
        <v>65</v>
      </c>
      <c r="C21" t="s">
        <v>19</v>
      </c>
      <c r="D21" t="s">
        <v>51</v>
      </c>
      <c r="E21" t="s">
        <v>52</v>
      </c>
      <c r="F21" t="s">
        <v>53</v>
      </c>
      <c r="G21" s="5">
        <v>46079</v>
      </c>
      <c r="H21" s="5">
        <v>46211</v>
      </c>
      <c r="I21" s="3">
        <v>64</v>
      </c>
      <c r="J21" s="4">
        <v>2.2200000000000002</v>
      </c>
      <c r="K21" s="3">
        <v>53</v>
      </c>
      <c r="L21" s="3">
        <v>42</v>
      </c>
      <c r="M21" s="3">
        <v>99</v>
      </c>
      <c r="N21" t="s">
        <v>23</v>
      </c>
      <c r="O21" t="s">
        <v>131</v>
      </c>
      <c r="P21" s="4" t="s">
        <v>132</v>
      </c>
      <c r="Q21" t="s">
        <v>133</v>
      </c>
      <c r="R21" s="8">
        <f t="shared" si="0"/>
        <v>194</v>
      </c>
      <c r="S21" t="str">
        <f t="shared" si="3"/>
        <v>Pass</v>
      </c>
      <c r="T21" t="str">
        <f t="shared" si="1"/>
        <v>B</v>
      </c>
      <c r="U21">
        <f t="shared" si="2"/>
        <v>0</v>
      </c>
    </row>
    <row r="22" spans="1:21">
      <c r="A22" t="s">
        <v>130</v>
      </c>
      <c r="B22" t="s">
        <v>65</v>
      </c>
      <c r="C22" t="s">
        <v>19</v>
      </c>
      <c r="D22" t="s">
        <v>51</v>
      </c>
      <c r="E22" t="s">
        <v>52</v>
      </c>
      <c r="F22" t="s">
        <v>53</v>
      </c>
      <c r="G22" s="5">
        <v>46079</v>
      </c>
      <c r="H22" s="5">
        <v>46211</v>
      </c>
      <c r="I22" s="3">
        <v>64</v>
      </c>
      <c r="J22" s="4">
        <v>2.2200000000000002</v>
      </c>
      <c r="K22" s="3">
        <v>53</v>
      </c>
      <c r="L22" s="3">
        <v>42</v>
      </c>
      <c r="M22" s="3">
        <v>99</v>
      </c>
      <c r="N22" t="s">
        <v>23</v>
      </c>
      <c r="O22" t="s">
        <v>131</v>
      </c>
      <c r="P22" s="4" t="s">
        <v>132</v>
      </c>
      <c r="Q22" t="s">
        <v>133</v>
      </c>
      <c r="R22" s="8">
        <f t="shared" si="0"/>
        <v>194</v>
      </c>
      <c r="S22" t="str">
        <f t="shared" si="3"/>
        <v>Pass</v>
      </c>
      <c r="T22" t="str">
        <f t="shared" si="1"/>
        <v>B</v>
      </c>
      <c r="U22">
        <f t="shared" si="2"/>
        <v>0</v>
      </c>
    </row>
    <row r="23" spans="1:21">
      <c r="A23" t="s">
        <v>134</v>
      </c>
      <c r="B23" t="s">
        <v>135</v>
      </c>
      <c r="C23" t="s">
        <v>19</v>
      </c>
      <c r="D23" t="s">
        <v>30</v>
      </c>
      <c r="E23" t="s">
        <v>136</v>
      </c>
      <c r="F23" t="s">
        <v>45</v>
      </c>
      <c r="G23" s="5">
        <v>45941</v>
      </c>
      <c r="H23" s="5">
        <v>46018</v>
      </c>
      <c r="I23" s="3">
        <v>87</v>
      </c>
      <c r="J23" s="4">
        <v>1.98</v>
      </c>
      <c r="K23" s="3">
        <v>51</v>
      </c>
      <c r="L23" s="3">
        <v>43</v>
      </c>
      <c r="M23" s="3">
        <v>38</v>
      </c>
      <c r="N23" t="s">
        <v>23</v>
      </c>
      <c r="O23" t="s">
        <v>137</v>
      </c>
      <c r="P23" s="4" t="s">
        <v>138</v>
      </c>
      <c r="Q23" t="s">
        <v>139</v>
      </c>
      <c r="R23" s="8">
        <f t="shared" si="0"/>
        <v>132</v>
      </c>
      <c r="S23" t="str">
        <f t="shared" si="3"/>
        <v>Fail</v>
      </c>
      <c r="T23" t="str">
        <f t="shared" si="1"/>
        <v>C</v>
      </c>
      <c r="U23">
        <f t="shared" si="2"/>
        <v>0</v>
      </c>
    </row>
    <row r="24" spans="1:21">
      <c r="A24" t="s">
        <v>140</v>
      </c>
      <c r="B24" t="s">
        <v>141</v>
      </c>
      <c r="C24" t="s">
        <v>29</v>
      </c>
      <c r="D24" t="s">
        <v>30</v>
      </c>
      <c r="E24" t="s">
        <v>31</v>
      </c>
      <c r="F24" t="s">
        <v>45</v>
      </c>
      <c r="G24" s="5">
        <v>45911</v>
      </c>
      <c r="H24" s="5">
        <v>45991</v>
      </c>
      <c r="I24" s="3">
        <v>81</v>
      </c>
      <c r="J24" s="4">
        <v>3.25</v>
      </c>
      <c r="K24" s="3">
        <v>76</v>
      </c>
      <c r="L24" s="3">
        <v>75</v>
      </c>
      <c r="M24" s="3">
        <v>63</v>
      </c>
      <c r="N24" t="s">
        <v>23</v>
      </c>
      <c r="O24" t="s">
        <v>142</v>
      </c>
      <c r="P24" s="4" t="s">
        <v>143</v>
      </c>
      <c r="Q24" t="s">
        <v>144</v>
      </c>
      <c r="R24" s="8">
        <f t="shared" si="0"/>
        <v>214</v>
      </c>
      <c r="S24" t="str">
        <f t="shared" si="3"/>
        <v>Pass</v>
      </c>
      <c r="T24" t="str">
        <f t="shared" si="1"/>
        <v>A</v>
      </c>
      <c r="U24">
        <f t="shared" si="2"/>
        <v>0</v>
      </c>
    </row>
    <row r="25" spans="1:21">
      <c r="A25" t="s">
        <v>145</v>
      </c>
      <c r="B25" t="s">
        <v>146</v>
      </c>
      <c r="C25" t="s">
        <v>19</v>
      </c>
      <c r="D25" t="s">
        <v>20</v>
      </c>
      <c r="E25" t="s">
        <v>21</v>
      </c>
      <c r="F25" t="s">
        <v>111</v>
      </c>
      <c r="G25" s="5">
        <v>46066</v>
      </c>
      <c r="H25" s="5">
        <v>46174</v>
      </c>
      <c r="I25" s="3">
        <v>0</v>
      </c>
      <c r="J25" s="4">
        <v>2.5</v>
      </c>
      <c r="K25" s="3">
        <v>88</v>
      </c>
      <c r="L25" s="3">
        <v>44</v>
      </c>
      <c r="M25" s="3">
        <v>31</v>
      </c>
      <c r="N25" t="s">
        <v>23</v>
      </c>
      <c r="O25" t="s">
        <v>147</v>
      </c>
      <c r="P25" s="4" t="s">
        <v>148</v>
      </c>
      <c r="Q25" t="s">
        <v>149</v>
      </c>
      <c r="R25" s="8">
        <f t="shared" si="0"/>
        <v>163</v>
      </c>
      <c r="S25" t="str">
        <f t="shared" si="3"/>
        <v>Pass</v>
      </c>
      <c r="T25" t="str">
        <f t="shared" si="1"/>
        <v>B</v>
      </c>
      <c r="U25">
        <f t="shared" si="2"/>
        <v>0</v>
      </c>
    </row>
    <row r="26" spans="1:21">
      <c r="A26" t="s">
        <v>150</v>
      </c>
      <c r="B26" t="s">
        <v>151</v>
      </c>
      <c r="C26" t="s">
        <v>29</v>
      </c>
      <c r="D26" t="s">
        <v>30</v>
      </c>
      <c r="E26" t="s">
        <v>31</v>
      </c>
      <c r="F26" t="s">
        <v>84</v>
      </c>
      <c r="G26" s="5">
        <v>45934</v>
      </c>
      <c r="H26" s="5">
        <v>46048</v>
      </c>
      <c r="I26" s="3">
        <v>59</v>
      </c>
      <c r="J26" s="4">
        <v>3.73</v>
      </c>
      <c r="K26" s="3">
        <v>63</v>
      </c>
      <c r="L26" s="3">
        <v>71</v>
      </c>
      <c r="M26" s="3">
        <v>50</v>
      </c>
      <c r="N26" t="s">
        <v>152</v>
      </c>
      <c r="O26" t="s">
        <v>153</v>
      </c>
      <c r="P26" s="4" t="s">
        <v>154</v>
      </c>
      <c r="Q26" t="s">
        <v>155</v>
      </c>
      <c r="R26" s="8">
        <f t="shared" si="0"/>
        <v>184</v>
      </c>
      <c r="S26" t="str">
        <f t="shared" si="3"/>
        <v>Pass</v>
      </c>
      <c r="T26" t="str">
        <f t="shared" si="1"/>
        <v>B</v>
      </c>
      <c r="U26">
        <f t="shared" si="2"/>
        <v>0</v>
      </c>
    </row>
    <row r="27" spans="1:21">
      <c r="A27" t="s">
        <v>156</v>
      </c>
      <c r="B27" t="s">
        <v>157</v>
      </c>
      <c r="C27" t="s">
        <v>29</v>
      </c>
      <c r="D27" t="s">
        <v>71</v>
      </c>
      <c r="E27" t="s">
        <v>72</v>
      </c>
      <c r="F27" t="s">
        <v>45</v>
      </c>
      <c r="G27" s="5">
        <v>45977</v>
      </c>
      <c r="H27" s="5">
        <v>46060</v>
      </c>
      <c r="I27" s="3">
        <v>63</v>
      </c>
      <c r="J27" s="4">
        <v>2.38</v>
      </c>
      <c r="K27" s="3">
        <v>96</v>
      </c>
      <c r="L27" s="3">
        <v>48</v>
      </c>
      <c r="M27" s="3">
        <v>100</v>
      </c>
      <c r="N27" t="s">
        <v>23</v>
      </c>
      <c r="O27" t="s">
        <v>158</v>
      </c>
      <c r="P27" s="4" t="s">
        <v>159</v>
      </c>
      <c r="Q27" t="s">
        <v>160</v>
      </c>
      <c r="R27" s="8">
        <f t="shared" si="0"/>
        <v>244</v>
      </c>
      <c r="S27" t="str">
        <f t="shared" si="3"/>
        <v>Pass</v>
      </c>
      <c r="T27" t="str">
        <f t="shared" si="1"/>
        <v>A</v>
      </c>
      <c r="U27">
        <f t="shared" si="2"/>
        <v>0</v>
      </c>
    </row>
    <row r="28" spans="1:21">
      <c r="A28" t="s">
        <v>161</v>
      </c>
      <c r="B28" t="s">
        <v>162</v>
      </c>
      <c r="C28" t="s">
        <v>19</v>
      </c>
      <c r="D28" t="s">
        <v>20</v>
      </c>
      <c r="E28" t="s">
        <v>21</v>
      </c>
      <c r="F28" t="s">
        <v>111</v>
      </c>
      <c r="G28" s="5">
        <v>45968</v>
      </c>
      <c r="H28" s="5">
        <v>46058</v>
      </c>
      <c r="I28" s="3">
        <v>83</v>
      </c>
      <c r="J28" s="4">
        <v>3.01</v>
      </c>
      <c r="K28" s="3">
        <v>67</v>
      </c>
      <c r="L28" s="3">
        <v>36</v>
      </c>
      <c r="M28" s="3">
        <v>44</v>
      </c>
      <c r="N28" t="s">
        <v>23</v>
      </c>
      <c r="O28" t="s">
        <v>163</v>
      </c>
      <c r="P28" s="4" t="s">
        <v>164</v>
      </c>
      <c r="Q28" t="s">
        <v>165</v>
      </c>
      <c r="R28" s="8">
        <f t="shared" si="0"/>
        <v>147</v>
      </c>
      <c r="S28" t="str">
        <f t="shared" si="3"/>
        <v>Fail</v>
      </c>
      <c r="T28" t="str">
        <f t="shared" si="1"/>
        <v>C</v>
      </c>
      <c r="U28">
        <f t="shared" si="2"/>
        <v>0</v>
      </c>
    </row>
    <row r="29" spans="1:21">
      <c r="A29" t="s">
        <v>166</v>
      </c>
      <c r="B29" t="s">
        <v>167</v>
      </c>
      <c r="C29" t="s">
        <v>19</v>
      </c>
      <c r="D29" t="s">
        <v>30</v>
      </c>
      <c r="E29" t="s">
        <v>31</v>
      </c>
      <c r="F29" t="s">
        <v>45</v>
      </c>
      <c r="G29" s="5">
        <v>45938</v>
      </c>
      <c r="H29" s="5">
        <v>46063</v>
      </c>
      <c r="I29" s="3">
        <v>63</v>
      </c>
      <c r="J29" s="4">
        <v>1.89</v>
      </c>
      <c r="K29" s="3">
        <v>63</v>
      </c>
      <c r="L29" s="3">
        <v>40</v>
      </c>
      <c r="M29" s="3">
        <v>75</v>
      </c>
      <c r="N29" t="s">
        <v>23</v>
      </c>
      <c r="O29" t="s">
        <v>168</v>
      </c>
      <c r="P29" s="4" t="s">
        <v>169</v>
      </c>
      <c r="Q29" t="s">
        <v>170</v>
      </c>
      <c r="R29" s="8">
        <f t="shared" si="0"/>
        <v>178</v>
      </c>
      <c r="S29" t="str">
        <f t="shared" si="3"/>
        <v>Pass</v>
      </c>
      <c r="T29" t="str">
        <f t="shared" si="1"/>
        <v>B</v>
      </c>
      <c r="U29">
        <f t="shared" si="2"/>
        <v>0</v>
      </c>
    </row>
    <row r="30" spans="1:21">
      <c r="A30" t="s">
        <v>171</v>
      </c>
      <c r="B30" t="s">
        <v>172</v>
      </c>
      <c r="C30" t="s">
        <v>19</v>
      </c>
      <c r="D30" t="s">
        <v>30</v>
      </c>
      <c r="E30" t="s">
        <v>31</v>
      </c>
      <c r="F30" t="s">
        <v>111</v>
      </c>
      <c r="G30" s="5">
        <v>45940</v>
      </c>
      <c r="H30" s="5">
        <v>46040</v>
      </c>
      <c r="I30" s="3">
        <v>115</v>
      </c>
      <c r="J30" s="4">
        <v>3.95</v>
      </c>
      <c r="K30" s="3">
        <v>91</v>
      </c>
      <c r="L30" s="3">
        <v>57</v>
      </c>
      <c r="M30" s="3">
        <v>82</v>
      </c>
      <c r="N30" t="s">
        <v>23</v>
      </c>
      <c r="O30" t="s">
        <v>173</v>
      </c>
      <c r="P30" s="4" t="s">
        <v>174</v>
      </c>
      <c r="Q30" t="s">
        <v>175</v>
      </c>
      <c r="R30" s="8">
        <f t="shared" si="0"/>
        <v>230</v>
      </c>
      <c r="S30" t="str">
        <f t="shared" si="3"/>
        <v>Pass</v>
      </c>
      <c r="T30" t="str">
        <f t="shared" si="1"/>
        <v>A</v>
      </c>
      <c r="U30">
        <f t="shared" si="2"/>
        <v>0</v>
      </c>
    </row>
    <row r="31" spans="1:21">
      <c r="A31" t="s">
        <v>176</v>
      </c>
      <c r="B31" t="s">
        <v>177</v>
      </c>
      <c r="C31" t="s">
        <v>19</v>
      </c>
      <c r="D31" t="s">
        <v>20</v>
      </c>
      <c r="E31" t="s">
        <v>21</v>
      </c>
      <c r="F31" t="s">
        <v>111</v>
      </c>
      <c r="G31" s="5">
        <v>45928</v>
      </c>
      <c r="H31" s="5">
        <v>46046</v>
      </c>
      <c r="I31" s="3">
        <v>57</v>
      </c>
      <c r="J31" s="4">
        <v>3.69</v>
      </c>
      <c r="K31" s="3">
        <v>54</v>
      </c>
      <c r="L31" s="3">
        <v>60</v>
      </c>
      <c r="M31" s="3">
        <v>88</v>
      </c>
      <c r="N31" t="s">
        <v>23</v>
      </c>
      <c r="O31" t="s">
        <v>178</v>
      </c>
      <c r="P31" s="4" t="s">
        <v>179</v>
      </c>
      <c r="Q31" t="s">
        <v>180</v>
      </c>
      <c r="R31" s="8">
        <f t="shared" si="0"/>
        <v>202</v>
      </c>
      <c r="S31" t="str">
        <f t="shared" si="3"/>
        <v>Pass</v>
      </c>
      <c r="T31" t="str">
        <f t="shared" si="1"/>
        <v>A</v>
      </c>
      <c r="U31">
        <f t="shared" si="2"/>
        <v>0</v>
      </c>
    </row>
    <row r="32" spans="1:21">
      <c r="A32" t="s">
        <v>181</v>
      </c>
      <c r="B32" t="s">
        <v>182</v>
      </c>
      <c r="C32" t="s">
        <v>29</v>
      </c>
      <c r="D32" t="s">
        <v>59</v>
      </c>
      <c r="E32" t="s">
        <v>60</v>
      </c>
      <c r="F32" t="s">
        <v>84</v>
      </c>
      <c r="G32" s="5">
        <v>45972</v>
      </c>
      <c r="H32" s="5">
        <v>46050</v>
      </c>
      <c r="I32" s="3">
        <v>72</v>
      </c>
      <c r="J32" s="4">
        <v>2.57</v>
      </c>
      <c r="K32" s="3">
        <v>72</v>
      </c>
      <c r="L32" s="3">
        <v>86</v>
      </c>
      <c r="M32" s="3">
        <v>98</v>
      </c>
      <c r="N32" t="s">
        <v>23</v>
      </c>
      <c r="O32" t="s">
        <v>183</v>
      </c>
      <c r="P32" s="4" t="s">
        <v>184</v>
      </c>
      <c r="Q32" t="s">
        <v>185</v>
      </c>
      <c r="R32" s="8">
        <f t="shared" si="0"/>
        <v>256</v>
      </c>
      <c r="S32" t="str">
        <f t="shared" si="3"/>
        <v>Pass</v>
      </c>
      <c r="T32" t="str">
        <f t="shared" si="1"/>
        <v>A</v>
      </c>
      <c r="U32">
        <f t="shared" si="2"/>
        <v>0</v>
      </c>
    </row>
    <row r="33" spans="1:21">
      <c r="A33" t="s">
        <v>186</v>
      </c>
      <c r="B33" t="s">
        <v>187</v>
      </c>
      <c r="C33" t="s">
        <v>29</v>
      </c>
      <c r="D33" t="s">
        <v>30</v>
      </c>
      <c r="E33" t="s">
        <v>31</v>
      </c>
      <c r="F33" t="s">
        <v>84</v>
      </c>
      <c r="G33" s="5">
        <v>45910</v>
      </c>
      <c r="H33" s="5">
        <v>45993</v>
      </c>
      <c r="I33" s="3">
        <v>93</v>
      </c>
      <c r="J33" s="4">
        <v>2.76</v>
      </c>
      <c r="K33" s="3">
        <v>86</v>
      </c>
      <c r="L33" s="3">
        <v>75</v>
      </c>
      <c r="M33" s="3">
        <v>85</v>
      </c>
      <c r="N33" t="s">
        <v>23</v>
      </c>
      <c r="O33" t="s">
        <v>188</v>
      </c>
      <c r="P33" s="4" t="s">
        <v>189</v>
      </c>
      <c r="Q33" t="s">
        <v>190</v>
      </c>
      <c r="R33" s="8">
        <f t="shared" si="0"/>
        <v>246</v>
      </c>
      <c r="S33" t="str">
        <f t="shared" si="3"/>
        <v>Pass</v>
      </c>
      <c r="T33" t="str">
        <f t="shared" si="1"/>
        <v>A</v>
      </c>
      <c r="U33">
        <f t="shared" si="2"/>
        <v>0</v>
      </c>
    </row>
    <row r="34" spans="1:21">
      <c r="A34" t="s">
        <v>191</v>
      </c>
      <c r="B34" t="s">
        <v>192</v>
      </c>
      <c r="C34" t="s">
        <v>29</v>
      </c>
      <c r="D34" t="s">
        <v>51</v>
      </c>
      <c r="E34" t="s">
        <v>52</v>
      </c>
      <c r="F34" t="s">
        <v>193</v>
      </c>
      <c r="G34" s="5">
        <v>46012</v>
      </c>
      <c r="H34" s="5">
        <v>46082</v>
      </c>
      <c r="I34" s="3">
        <v>88</v>
      </c>
      <c r="J34" s="4">
        <v>3.84</v>
      </c>
      <c r="K34" s="3">
        <v>74</v>
      </c>
      <c r="L34" s="3">
        <v>60</v>
      </c>
      <c r="M34" s="3">
        <v>76</v>
      </c>
      <c r="N34" t="s">
        <v>23</v>
      </c>
      <c r="O34" t="s">
        <v>194</v>
      </c>
      <c r="P34" s="4" t="s">
        <v>195</v>
      </c>
      <c r="Q34" t="s">
        <v>196</v>
      </c>
      <c r="R34" s="8">
        <f t="shared" si="0"/>
        <v>210</v>
      </c>
      <c r="S34" t="str">
        <f t="shared" si="3"/>
        <v>Pass</v>
      </c>
      <c r="T34" t="str">
        <f t="shared" si="1"/>
        <v>A</v>
      </c>
      <c r="U34">
        <f t="shared" si="2"/>
        <v>0</v>
      </c>
    </row>
    <row r="35" spans="1:21">
      <c r="A35" t="s">
        <v>191</v>
      </c>
      <c r="B35" t="s">
        <v>192</v>
      </c>
      <c r="C35" t="s">
        <v>29</v>
      </c>
      <c r="D35" t="s">
        <v>51</v>
      </c>
      <c r="E35" t="s">
        <v>52</v>
      </c>
      <c r="F35" t="s">
        <v>193</v>
      </c>
      <c r="G35" s="5">
        <v>46012</v>
      </c>
      <c r="H35" s="5">
        <v>46082</v>
      </c>
      <c r="I35" s="3">
        <v>88</v>
      </c>
      <c r="J35" s="4"/>
      <c r="K35" s="3">
        <v>74</v>
      </c>
      <c r="L35" s="3">
        <v>60</v>
      </c>
      <c r="M35" s="3">
        <v>76</v>
      </c>
      <c r="N35" t="s">
        <v>23</v>
      </c>
      <c r="O35" t="s">
        <v>194</v>
      </c>
      <c r="P35" s="4" t="s">
        <v>195</v>
      </c>
      <c r="Q35" t="s">
        <v>196</v>
      </c>
      <c r="R35" s="8">
        <f t="shared" si="0"/>
        <v>210</v>
      </c>
      <c r="S35" t="str">
        <f t="shared" si="3"/>
        <v>Pass</v>
      </c>
      <c r="T35" t="str">
        <f t="shared" si="1"/>
        <v>A</v>
      </c>
      <c r="U35">
        <f t="shared" si="2"/>
        <v>0</v>
      </c>
    </row>
    <row r="36" spans="1:21">
      <c r="A36" t="s">
        <v>197</v>
      </c>
      <c r="B36" t="s">
        <v>198</v>
      </c>
      <c r="C36" t="s">
        <v>19</v>
      </c>
      <c r="D36" t="s">
        <v>71</v>
      </c>
      <c r="E36" t="s">
        <v>72</v>
      </c>
      <c r="F36" t="s">
        <v>193</v>
      </c>
      <c r="G36" s="5">
        <v>45977</v>
      </c>
      <c r="H36" s="5">
        <v>46111</v>
      </c>
      <c r="I36" s="3">
        <v>74</v>
      </c>
      <c r="J36" s="4">
        <v>3.27</v>
      </c>
      <c r="K36" s="3">
        <v>60</v>
      </c>
      <c r="L36" s="3">
        <v>86</v>
      </c>
      <c r="M36" s="3">
        <v>67</v>
      </c>
      <c r="N36" t="s">
        <v>23</v>
      </c>
      <c r="O36" t="s">
        <v>199</v>
      </c>
      <c r="P36" s="4" t="s">
        <v>200</v>
      </c>
      <c r="Q36" t="s">
        <v>201</v>
      </c>
      <c r="R36" s="8">
        <f t="shared" si="0"/>
        <v>213</v>
      </c>
      <c r="S36" t="str">
        <f t="shared" si="3"/>
        <v>Pass</v>
      </c>
      <c r="T36" t="str">
        <f t="shared" si="1"/>
        <v>A</v>
      </c>
      <c r="U36">
        <f t="shared" si="2"/>
        <v>0</v>
      </c>
    </row>
    <row r="37" spans="1:21">
      <c r="A37" t="s">
        <v>202</v>
      </c>
      <c r="B37" t="s">
        <v>203</v>
      </c>
      <c r="C37" t="s">
        <v>29</v>
      </c>
      <c r="D37" t="s">
        <v>30</v>
      </c>
      <c r="E37" t="s">
        <v>31</v>
      </c>
      <c r="F37" t="s">
        <v>45</v>
      </c>
      <c r="G37" s="5">
        <v>45978</v>
      </c>
      <c r="H37" s="5">
        <v>46099</v>
      </c>
      <c r="I37" s="3">
        <v>90</v>
      </c>
      <c r="J37" s="4">
        <v>3.63</v>
      </c>
      <c r="K37" s="3">
        <v>59</v>
      </c>
      <c r="L37" s="3">
        <v>71</v>
      </c>
      <c r="M37" s="3">
        <v>56</v>
      </c>
      <c r="N37" t="s">
        <v>23</v>
      </c>
      <c r="O37" t="s">
        <v>204</v>
      </c>
      <c r="P37" s="4" t="s">
        <v>205</v>
      </c>
      <c r="Q37" t="s">
        <v>206</v>
      </c>
      <c r="R37" s="8">
        <f t="shared" si="0"/>
        <v>186</v>
      </c>
      <c r="S37" t="str">
        <f t="shared" si="3"/>
        <v>Pass</v>
      </c>
      <c r="T37" t="str">
        <f t="shared" si="1"/>
        <v>B</v>
      </c>
      <c r="U37">
        <f t="shared" si="2"/>
        <v>0</v>
      </c>
    </row>
    <row r="38" spans="1:21">
      <c r="A38" t="s">
        <v>207</v>
      </c>
      <c r="B38" t="s">
        <v>208</v>
      </c>
      <c r="C38" t="s">
        <v>19</v>
      </c>
      <c r="D38" t="s">
        <v>59</v>
      </c>
      <c r="E38" t="s">
        <v>60</v>
      </c>
      <c r="F38" t="s">
        <v>53</v>
      </c>
      <c r="G38" s="5">
        <v>46073</v>
      </c>
      <c r="H38" s="5">
        <v>46170</v>
      </c>
      <c r="I38" s="3">
        <v>87</v>
      </c>
      <c r="J38" s="4">
        <v>2.84</v>
      </c>
      <c r="K38" s="3">
        <v>97</v>
      </c>
      <c r="L38" s="3">
        <v>56</v>
      </c>
      <c r="M38" s="3">
        <v>40</v>
      </c>
      <c r="N38" t="s">
        <v>23</v>
      </c>
      <c r="O38" t="s">
        <v>209</v>
      </c>
      <c r="P38" s="4" t="s">
        <v>210</v>
      </c>
      <c r="Q38" t="s">
        <v>211</v>
      </c>
      <c r="R38" s="8">
        <f t="shared" si="0"/>
        <v>193</v>
      </c>
      <c r="S38" t="str">
        <f t="shared" si="3"/>
        <v>Pass</v>
      </c>
      <c r="T38" t="str">
        <f t="shared" si="1"/>
        <v>B</v>
      </c>
      <c r="U38">
        <f t="shared" si="2"/>
        <v>0</v>
      </c>
    </row>
    <row r="39" spans="1:21">
      <c r="A39" t="s">
        <v>212</v>
      </c>
      <c r="B39" t="s">
        <v>208</v>
      </c>
      <c r="C39" t="s">
        <v>29</v>
      </c>
      <c r="D39" t="s">
        <v>20</v>
      </c>
      <c r="E39" t="s">
        <v>21</v>
      </c>
      <c r="F39" t="s">
        <v>111</v>
      </c>
      <c r="G39" s="5">
        <v>45980</v>
      </c>
      <c r="H39" s="5">
        <v>46078</v>
      </c>
      <c r="I39" s="3">
        <v>67</v>
      </c>
      <c r="J39" s="4">
        <v>2.12</v>
      </c>
      <c r="K39" s="3">
        <v>42</v>
      </c>
      <c r="L39" s="3">
        <v>66</v>
      </c>
      <c r="M39" s="3">
        <v>90</v>
      </c>
      <c r="N39" t="s">
        <v>23</v>
      </c>
      <c r="O39" t="s">
        <v>213</v>
      </c>
      <c r="P39" s="4" t="s">
        <v>214</v>
      </c>
      <c r="Q39" t="s">
        <v>215</v>
      </c>
      <c r="R39" s="8">
        <f t="shared" si="0"/>
        <v>198</v>
      </c>
      <c r="S39" t="str">
        <f t="shared" si="3"/>
        <v>Pass</v>
      </c>
      <c r="T39" t="str">
        <f t="shared" si="1"/>
        <v>B</v>
      </c>
      <c r="U39">
        <f t="shared" si="2"/>
        <v>0</v>
      </c>
    </row>
    <row r="40" spans="1:21">
      <c r="A40" t="s">
        <v>216</v>
      </c>
      <c r="B40" t="s">
        <v>217</v>
      </c>
      <c r="C40" t="s">
        <v>29</v>
      </c>
      <c r="D40" t="s">
        <v>71</v>
      </c>
      <c r="E40" t="s">
        <v>72</v>
      </c>
      <c r="F40" t="s">
        <v>111</v>
      </c>
      <c r="G40" s="5">
        <v>45999</v>
      </c>
      <c r="H40" s="5">
        <v>46132</v>
      </c>
      <c r="I40" s="3">
        <v>80</v>
      </c>
      <c r="J40" s="4">
        <v>2.34</v>
      </c>
      <c r="K40" s="3">
        <v>81</v>
      </c>
      <c r="L40" s="3">
        <v>35</v>
      </c>
      <c r="M40" s="3">
        <v>43</v>
      </c>
      <c r="N40" t="s">
        <v>32</v>
      </c>
      <c r="O40" t="s">
        <v>218</v>
      </c>
      <c r="P40" s="4" t="s">
        <v>219</v>
      </c>
      <c r="Q40" t="s">
        <v>220</v>
      </c>
      <c r="R40" s="8">
        <f t="shared" si="0"/>
        <v>159</v>
      </c>
      <c r="S40" t="str">
        <f t="shared" si="3"/>
        <v>Pass</v>
      </c>
      <c r="T40" t="str">
        <f t="shared" si="1"/>
        <v>B</v>
      </c>
      <c r="U40">
        <f t="shared" si="2"/>
        <v>0</v>
      </c>
    </row>
    <row r="41" spans="1:21">
      <c r="A41" t="s">
        <v>221</v>
      </c>
      <c r="B41" t="s">
        <v>222</v>
      </c>
      <c r="C41" t="s">
        <v>19</v>
      </c>
      <c r="D41" t="s">
        <v>43</v>
      </c>
      <c r="E41" t="s">
        <v>44</v>
      </c>
      <c r="F41" t="s">
        <v>45</v>
      </c>
      <c r="G41" s="5">
        <v>45964</v>
      </c>
      <c r="H41" s="5">
        <v>46049</v>
      </c>
      <c r="I41" s="3">
        <v>84</v>
      </c>
      <c r="J41" s="4">
        <v>4.8</v>
      </c>
      <c r="K41" s="3">
        <v>69</v>
      </c>
      <c r="L41" s="3">
        <v>75</v>
      </c>
      <c r="M41" s="3">
        <v>86</v>
      </c>
      <c r="N41" t="s">
        <v>23</v>
      </c>
      <c r="O41" t="s">
        <v>223</v>
      </c>
      <c r="P41" s="4" t="s">
        <v>224</v>
      </c>
      <c r="Q41" t="s">
        <v>225</v>
      </c>
      <c r="R41" s="8">
        <f t="shared" si="0"/>
        <v>230</v>
      </c>
      <c r="S41" t="str">
        <f t="shared" si="3"/>
        <v>Pass</v>
      </c>
      <c r="T41" t="str">
        <f t="shared" si="1"/>
        <v>A</v>
      </c>
      <c r="U41">
        <f t="shared" si="2"/>
        <v>0</v>
      </c>
    </row>
    <row r="42" spans="1:21">
      <c r="A42" t="s">
        <v>226</v>
      </c>
      <c r="B42" t="s">
        <v>227</v>
      </c>
      <c r="C42" t="s">
        <v>19</v>
      </c>
      <c r="D42" t="s">
        <v>20</v>
      </c>
      <c r="E42" t="s">
        <v>21</v>
      </c>
      <c r="F42" t="s">
        <v>111</v>
      </c>
      <c r="G42" s="5">
        <v>46022</v>
      </c>
      <c r="H42" s="5">
        <v>46149</v>
      </c>
      <c r="I42" s="3">
        <v>71</v>
      </c>
      <c r="J42" s="4">
        <v>3.45</v>
      </c>
      <c r="K42" s="3">
        <v>93</v>
      </c>
      <c r="L42" s="3">
        <v>70</v>
      </c>
      <c r="M42" s="3">
        <v>96</v>
      </c>
      <c r="N42" t="s">
        <v>23</v>
      </c>
      <c r="O42" t="s">
        <v>228</v>
      </c>
      <c r="P42" s="4" t="s">
        <v>229</v>
      </c>
      <c r="Q42" t="s">
        <v>230</v>
      </c>
      <c r="R42" s="8">
        <f t="shared" si="0"/>
        <v>259</v>
      </c>
      <c r="S42" t="str">
        <f t="shared" si="3"/>
        <v>Pass</v>
      </c>
      <c r="T42" t="str">
        <f t="shared" si="1"/>
        <v>A</v>
      </c>
      <c r="U42">
        <f t="shared" si="2"/>
        <v>0</v>
      </c>
    </row>
    <row r="43" spans="1:21">
      <c r="A43" t="s">
        <v>231</v>
      </c>
      <c r="B43" t="s">
        <v>232</v>
      </c>
      <c r="C43" t="s">
        <v>29</v>
      </c>
      <c r="D43" t="s">
        <v>59</v>
      </c>
      <c r="E43" t="s">
        <v>60</v>
      </c>
      <c r="F43" t="s">
        <v>53</v>
      </c>
      <c r="G43" s="5">
        <v>45985</v>
      </c>
      <c r="H43" s="5">
        <v>46124</v>
      </c>
      <c r="I43" s="3">
        <v>84</v>
      </c>
      <c r="J43" s="4">
        <v>2.71</v>
      </c>
      <c r="K43" s="3">
        <v>53</v>
      </c>
      <c r="L43" s="3">
        <v>88</v>
      </c>
      <c r="M43" s="3">
        <v>79</v>
      </c>
      <c r="N43" t="s">
        <v>78</v>
      </c>
      <c r="O43" t="s">
        <v>233</v>
      </c>
      <c r="P43" s="4" t="s">
        <v>234</v>
      </c>
      <c r="Q43" t="s">
        <v>235</v>
      </c>
      <c r="R43" s="8">
        <f t="shared" si="0"/>
        <v>220</v>
      </c>
      <c r="S43" t="str">
        <f t="shared" si="3"/>
        <v>Pass</v>
      </c>
      <c r="T43" t="str">
        <f t="shared" si="1"/>
        <v>A</v>
      </c>
      <c r="U43">
        <f t="shared" si="2"/>
        <v>0</v>
      </c>
    </row>
    <row r="44" spans="1:21">
      <c r="A44" t="s">
        <v>236</v>
      </c>
      <c r="B44" t="s">
        <v>237</v>
      </c>
      <c r="C44" t="s">
        <v>19</v>
      </c>
      <c r="D44" t="s">
        <v>59</v>
      </c>
      <c r="E44" t="s">
        <v>60</v>
      </c>
      <c r="F44" t="s">
        <v>193</v>
      </c>
      <c r="G44" s="5">
        <v>45991</v>
      </c>
      <c r="H44" s="5">
        <v>46099</v>
      </c>
      <c r="I44" s="3">
        <v>79</v>
      </c>
      <c r="J44" s="4">
        <v>3.68</v>
      </c>
      <c r="K44" s="3">
        <v>93</v>
      </c>
      <c r="L44" s="3">
        <v>88</v>
      </c>
      <c r="M44" s="3">
        <v>98</v>
      </c>
      <c r="N44" t="s">
        <v>23</v>
      </c>
      <c r="P44" s="4" t="s">
        <v>238</v>
      </c>
      <c r="Q44" t="s">
        <v>239</v>
      </c>
      <c r="R44" s="8">
        <f t="shared" si="0"/>
        <v>279</v>
      </c>
      <c r="S44" t="str">
        <f t="shared" si="3"/>
        <v>Pass</v>
      </c>
      <c r="T44" t="str">
        <f t="shared" si="1"/>
        <v>A</v>
      </c>
      <c r="U44">
        <f t="shared" si="2"/>
        <v>0</v>
      </c>
    </row>
    <row r="45" spans="1:21">
      <c r="A45" t="s">
        <v>240</v>
      </c>
      <c r="B45" t="s">
        <v>241</v>
      </c>
      <c r="C45" t="s">
        <v>19</v>
      </c>
      <c r="D45" t="s">
        <v>20</v>
      </c>
      <c r="E45" t="s">
        <v>21</v>
      </c>
      <c r="F45" t="s">
        <v>84</v>
      </c>
      <c r="G45" s="5">
        <v>46012</v>
      </c>
      <c r="H45" s="5">
        <v>46144</v>
      </c>
      <c r="I45" s="3">
        <v>56</v>
      </c>
      <c r="J45" s="4">
        <v>2.66</v>
      </c>
      <c r="K45" s="3">
        <v>82</v>
      </c>
      <c r="L45" s="3">
        <v>86</v>
      </c>
      <c r="M45" s="3">
        <v>51</v>
      </c>
      <c r="N45" t="s">
        <v>32</v>
      </c>
      <c r="O45" t="s">
        <v>242</v>
      </c>
      <c r="P45" s="4" t="s">
        <v>243</v>
      </c>
      <c r="Q45" t="s">
        <v>244</v>
      </c>
      <c r="R45" s="8">
        <f t="shared" si="0"/>
        <v>219</v>
      </c>
      <c r="S45" t="str">
        <f t="shared" si="3"/>
        <v>Pass</v>
      </c>
      <c r="T45" t="str">
        <f t="shared" si="1"/>
        <v>A</v>
      </c>
      <c r="U45">
        <f t="shared" si="2"/>
        <v>0</v>
      </c>
    </row>
    <row r="46" spans="1:21">
      <c r="A46" t="s">
        <v>245</v>
      </c>
      <c r="B46" t="s">
        <v>246</v>
      </c>
      <c r="C46" t="s">
        <v>29</v>
      </c>
      <c r="D46" t="s">
        <v>59</v>
      </c>
      <c r="E46" t="s">
        <v>60</v>
      </c>
      <c r="F46" t="s">
        <v>45</v>
      </c>
      <c r="G46" s="5">
        <v>46045</v>
      </c>
      <c r="H46" s="5">
        <v>46118</v>
      </c>
      <c r="I46" s="3">
        <v>60</v>
      </c>
      <c r="J46" s="4">
        <v>3.21</v>
      </c>
      <c r="K46" s="3">
        <v>48</v>
      </c>
      <c r="L46" s="3">
        <v>94</v>
      </c>
      <c r="M46" s="3">
        <v>53</v>
      </c>
      <c r="N46" t="s">
        <v>23</v>
      </c>
      <c r="O46" t="s">
        <v>247</v>
      </c>
      <c r="P46" s="4" t="s">
        <v>248</v>
      </c>
      <c r="Q46" t="s">
        <v>249</v>
      </c>
      <c r="R46" s="8">
        <f t="shared" si="0"/>
        <v>195</v>
      </c>
      <c r="S46" t="str">
        <f t="shared" si="3"/>
        <v>Pass</v>
      </c>
      <c r="T46" t="str">
        <f t="shared" si="1"/>
        <v>B</v>
      </c>
      <c r="U46">
        <f t="shared" si="2"/>
        <v>0</v>
      </c>
    </row>
    <row r="47" spans="1:21">
      <c r="A47" t="s">
        <v>250</v>
      </c>
      <c r="B47" t="s">
        <v>251</v>
      </c>
      <c r="C47" t="s">
        <v>19</v>
      </c>
      <c r="D47" t="s">
        <v>51</v>
      </c>
      <c r="E47" t="s">
        <v>52</v>
      </c>
      <c r="F47" t="s">
        <v>84</v>
      </c>
      <c r="G47" s="5">
        <v>45998</v>
      </c>
      <c r="H47" s="5">
        <v>46103</v>
      </c>
      <c r="I47" s="3">
        <v>81</v>
      </c>
      <c r="J47" s="4">
        <v>2.35</v>
      </c>
      <c r="K47" s="3">
        <v>45</v>
      </c>
      <c r="L47" s="3">
        <v>95</v>
      </c>
      <c r="M47" s="3">
        <v>32</v>
      </c>
      <c r="N47" t="s">
        <v>23</v>
      </c>
      <c r="O47" t="s">
        <v>253</v>
      </c>
      <c r="P47" s="4" t="s">
        <v>254</v>
      </c>
      <c r="Q47" t="s">
        <v>255</v>
      </c>
      <c r="R47" s="8">
        <f t="shared" si="0"/>
        <v>172</v>
      </c>
      <c r="S47" t="str">
        <f t="shared" si="3"/>
        <v>Pass</v>
      </c>
      <c r="T47" t="str">
        <f t="shared" si="1"/>
        <v>B</v>
      </c>
      <c r="U47">
        <f t="shared" si="2"/>
        <v>0</v>
      </c>
    </row>
    <row r="48" spans="1:21">
      <c r="A48" t="s">
        <v>250</v>
      </c>
      <c r="B48" t="s">
        <v>251</v>
      </c>
      <c r="C48" t="s">
        <v>19</v>
      </c>
      <c r="D48" t="s">
        <v>51</v>
      </c>
      <c r="E48" t="s">
        <v>52</v>
      </c>
      <c r="F48" t="s">
        <v>84</v>
      </c>
      <c r="G48" s="5">
        <v>45998</v>
      </c>
      <c r="H48" s="5">
        <v>46103</v>
      </c>
      <c r="I48" s="3">
        <v>81</v>
      </c>
      <c r="J48" s="4">
        <v>2.35</v>
      </c>
      <c r="K48" s="3">
        <v>45</v>
      </c>
      <c r="L48" s="3">
        <v>95</v>
      </c>
      <c r="M48" s="3">
        <v>32</v>
      </c>
      <c r="N48" t="s">
        <v>23</v>
      </c>
      <c r="O48" t="s">
        <v>253</v>
      </c>
      <c r="P48" s="4" t="s">
        <v>254</v>
      </c>
      <c r="Q48" t="s">
        <v>255</v>
      </c>
      <c r="R48" s="8">
        <f t="shared" si="0"/>
        <v>172</v>
      </c>
      <c r="S48" t="str">
        <f t="shared" si="3"/>
        <v>Pass</v>
      </c>
      <c r="T48" t="str">
        <f t="shared" si="1"/>
        <v>B</v>
      </c>
      <c r="U48">
        <f t="shared" si="2"/>
        <v>0</v>
      </c>
    </row>
    <row r="49" spans="1:21">
      <c r="A49" t="s">
        <v>250</v>
      </c>
      <c r="B49" t="s">
        <v>251</v>
      </c>
      <c r="C49" t="s">
        <v>252</v>
      </c>
      <c r="D49" t="s">
        <v>51</v>
      </c>
      <c r="E49" t="s">
        <v>52</v>
      </c>
      <c r="F49" t="s">
        <v>84</v>
      </c>
      <c r="G49" s="5">
        <v>45998</v>
      </c>
      <c r="H49" s="5">
        <v>46103</v>
      </c>
      <c r="I49" s="3">
        <v>81</v>
      </c>
      <c r="J49" s="4">
        <v>2.35</v>
      </c>
      <c r="K49" s="3">
        <v>45</v>
      </c>
      <c r="L49" s="3">
        <v>95</v>
      </c>
      <c r="M49" s="3">
        <v>32</v>
      </c>
      <c r="N49" t="s">
        <v>23</v>
      </c>
      <c r="O49" t="s">
        <v>253</v>
      </c>
      <c r="P49" s="4" t="s">
        <v>254</v>
      </c>
      <c r="Q49" t="s">
        <v>255</v>
      </c>
      <c r="R49" s="8">
        <f t="shared" si="0"/>
        <v>172</v>
      </c>
      <c r="S49" t="str">
        <f t="shared" si="3"/>
        <v>Pass</v>
      </c>
      <c r="T49" t="str">
        <f t="shared" si="1"/>
        <v>B</v>
      </c>
      <c r="U49">
        <f t="shared" si="2"/>
        <v>0</v>
      </c>
    </row>
    <row r="50" spans="1:21">
      <c r="A50" t="s">
        <v>256</v>
      </c>
      <c r="B50" t="s">
        <v>257</v>
      </c>
      <c r="C50" t="s">
        <v>29</v>
      </c>
      <c r="D50" t="s">
        <v>71</v>
      </c>
      <c r="E50" t="s">
        <v>72</v>
      </c>
      <c r="F50" t="s">
        <v>193</v>
      </c>
      <c r="G50" s="5">
        <v>45908</v>
      </c>
      <c r="H50" s="5">
        <v>46009</v>
      </c>
      <c r="I50" s="3">
        <v>67</v>
      </c>
      <c r="J50" s="4">
        <v>3.65</v>
      </c>
      <c r="K50" s="3">
        <v>79</v>
      </c>
      <c r="L50" s="3">
        <v>54</v>
      </c>
      <c r="M50" s="3">
        <v>60</v>
      </c>
      <c r="N50" t="s">
        <v>23</v>
      </c>
      <c r="O50" t="s">
        <v>258</v>
      </c>
      <c r="P50" s="4" t="s">
        <v>259</v>
      </c>
      <c r="Q50" t="s">
        <v>260</v>
      </c>
      <c r="R50" s="8">
        <f t="shared" si="0"/>
        <v>193</v>
      </c>
      <c r="S50" t="str">
        <f t="shared" si="3"/>
        <v>Pass</v>
      </c>
      <c r="T50" t="str">
        <f t="shared" si="1"/>
        <v>B</v>
      </c>
      <c r="U50">
        <f t="shared" si="2"/>
        <v>0</v>
      </c>
    </row>
    <row r="51" spans="1:21">
      <c r="A51" t="s">
        <v>261</v>
      </c>
      <c r="B51" t="s">
        <v>262</v>
      </c>
      <c r="C51" t="s">
        <v>29</v>
      </c>
      <c r="D51" t="s">
        <v>59</v>
      </c>
      <c r="E51" t="s">
        <v>60</v>
      </c>
      <c r="F51" t="s">
        <v>111</v>
      </c>
      <c r="G51" s="5">
        <v>45966</v>
      </c>
      <c r="H51" s="5">
        <v>46083</v>
      </c>
      <c r="I51" s="3">
        <v>65</v>
      </c>
      <c r="J51" s="4">
        <v>3.13</v>
      </c>
      <c r="K51" s="3">
        <v>87</v>
      </c>
      <c r="L51" s="3">
        <v>49</v>
      </c>
      <c r="M51" s="3">
        <v>50</v>
      </c>
      <c r="N51" t="s">
        <v>78</v>
      </c>
      <c r="O51" t="s">
        <v>263</v>
      </c>
      <c r="P51" s="4" t="s">
        <v>264</v>
      </c>
      <c r="Q51" t="s">
        <v>265</v>
      </c>
      <c r="R51" s="8">
        <f t="shared" si="0"/>
        <v>186</v>
      </c>
      <c r="S51" t="str">
        <f t="shared" si="3"/>
        <v>Pass</v>
      </c>
      <c r="T51" t="str">
        <f t="shared" si="1"/>
        <v>B</v>
      </c>
      <c r="U51">
        <f t="shared" si="2"/>
        <v>0</v>
      </c>
    </row>
    <row r="52" spans="1:21">
      <c r="A52" t="s">
        <v>266</v>
      </c>
      <c r="B52" t="s">
        <v>267</v>
      </c>
      <c r="C52" t="s">
        <v>19</v>
      </c>
      <c r="D52" t="s">
        <v>30</v>
      </c>
      <c r="E52" t="s">
        <v>31</v>
      </c>
      <c r="F52" t="s">
        <v>268</v>
      </c>
      <c r="G52" s="5">
        <v>45997</v>
      </c>
      <c r="H52" s="5">
        <v>46117</v>
      </c>
      <c r="I52" s="3">
        <v>100</v>
      </c>
      <c r="J52" s="4">
        <v>2.2400000000000002</v>
      </c>
      <c r="K52" s="3">
        <v>77</v>
      </c>
      <c r="L52" s="3">
        <v>66</v>
      </c>
      <c r="M52" s="3">
        <v>43</v>
      </c>
      <c r="N52" t="s">
        <v>23</v>
      </c>
      <c r="O52" t="s">
        <v>269</v>
      </c>
      <c r="P52" s="4" t="s">
        <v>270</v>
      </c>
      <c r="Q52" t="s">
        <v>271</v>
      </c>
      <c r="R52" s="8">
        <f t="shared" si="0"/>
        <v>186</v>
      </c>
      <c r="S52" t="str">
        <f t="shared" si="3"/>
        <v>Pass</v>
      </c>
      <c r="T52" t="str">
        <f t="shared" si="1"/>
        <v>B</v>
      </c>
      <c r="U52">
        <f t="shared" si="2"/>
        <v>0</v>
      </c>
    </row>
    <row r="53" spans="1:21">
      <c r="A53" t="s">
        <v>272</v>
      </c>
      <c r="B53" t="s">
        <v>273</v>
      </c>
      <c r="C53" t="s">
        <v>29</v>
      </c>
      <c r="D53" t="s">
        <v>51</v>
      </c>
      <c r="E53" t="s">
        <v>52</v>
      </c>
      <c r="F53" t="s">
        <v>45</v>
      </c>
      <c r="G53" s="5">
        <v>46010</v>
      </c>
      <c r="H53" s="5">
        <v>46127</v>
      </c>
      <c r="I53" s="3">
        <v>59</v>
      </c>
      <c r="J53" s="4">
        <v>2.91</v>
      </c>
      <c r="K53" s="3">
        <v>61</v>
      </c>
      <c r="L53" s="3">
        <v>36</v>
      </c>
      <c r="M53" s="3">
        <v>83</v>
      </c>
      <c r="N53" t="s">
        <v>32</v>
      </c>
      <c r="O53" t="s">
        <v>274</v>
      </c>
      <c r="P53" s="4" t="s">
        <v>275</v>
      </c>
      <c r="Q53" t="s">
        <v>276</v>
      </c>
      <c r="R53" s="8">
        <f t="shared" si="0"/>
        <v>180</v>
      </c>
      <c r="S53" t="str">
        <f t="shared" si="3"/>
        <v>Pass</v>
      </c>
      <c r="T53" t="str">
        <f t="shared" si="1"/>
        <v>B</v>
      </c>
      <c r="U53">
        <f t="shared" si="2"/>
        <v>0</v>
      </c>
    </row>
    <row r="54" spans="1:21">
      <c r="A54" t="s">
        <v>277</v>
      </c>
      <c r="B54" t="s">
        <v>278</v>
      </c>
      <c r="C54" t="s">
        <v>29</v>
      </c>
      <c r="D54" t="s">
        <v>43</v>
      </c>
      <c r="E54" t="s">
        <v>44</v>
      </c>
      <c r="F54" t="s">
        <v>84</v>
      </c>
      <c r="G54" s="5">
        <v>46016</v>
      </c>
      <c r="H54" s="5">
        <v>46117</v>
      </c>
      <c r="I54" s="3">
        <v>84</v>
      </c>
      <c r="J54" s="4">
        <v>3.05</v>
      </c>
      <c r="K54" s="3">
        <v>82</v>
      </c>
      <c r="L54" s="3">
        <v>83</v>
      </c>
      <c r="M54" s="3">
        <v>73</v>
      </c>
      <c r="N54" t="s">
        <v>23</v>
      </c>
      <c r="O54" t="s">
        <v>279</v>
      </c>
      <c r="P54" s="4" t="s">
        <v>280</v>
      </c>
      <c r="Q54" t="s">
        <v>281</v>
      </c>
      <c r="R54" s="8">
        <f t="shared" si="0"/>
        <v>238</v>
      </c>
      <c r="S54" t="str">
        <f t="shared" si="3"/>
        <v>Pass</v>
      </c>
      <c r="T54" t="str">
        <f t="shared" si="1"/>
        <v>A</v>
      </c>
      <c r="U54">
        <f t="shared" si="2"/>
        <v>0</v>
      </c>
    </row>
    <row r="55" spans="1:21">
      <c r="A55" t="s">
        <v>282</v>
      </c>
      <c r="B55" t="s">
        <v>283</v>
      </c>
      <c r="C55" t="s">
        <v>29</v>
      </c>
      <c r="D55" t="s">
        <v>51</v>
      </c>
      <c r="E55" t="s">
        <v>52</v>
      </c>
      <c r="F55" t="s">
        <v>84</v>
      </c>
      <c r="G55" s="5">
        <v>45988</v>
      </c>
      <c r="H55" s="5">
        <v>46093</v>
      </c>
      <c r="I55" s="3">
        <v>93</v>
      </c>
      <c r="J55" s="4">
        <v>3.34</v>
      </c>
      <c r="K55" s="3">
        <v>57</v>
      </c>
      <c r="L55" s="3">
        <v>36</v>
      </c>
      <c r="M55" s="3">
        <v>96</v>
      </c>
      <c r="N55" t="s">
        <v>78</v>
      </c>
      <c r="O55" t="s">
        <v>284</v>
      </c>
      <c r="P55" s="4" t="s">
        <v>285</v>
      </c>
      <c r="Q55" t="s">
        <v>286</v>
      </c>
      <c r="R55" s="8">
        <f t="shared" si="0"/>
        <v>189</v>
      </c>
      <c r="S55" t="str">
        <f t="shared" si="3"/>
        <v>Pass</v>
      </c>
      <c r="T55" t="str">
        <f t="shared" si="1"/>
        <v>B</v>
      </c>
      <c r="U55">
        <f t="shared" si="2"/>
        <v>0</v>
      </c>
    </row>
    <row r="56" spans="1:21">
      <c r="A56" t="s">
        <v>287</v>
      </c>
      <c r="B56" t="s">
        <v>288</v>
      </c>
      <c r="C56" t="s">
        <v>19</v>
      </c>
      <c r="D56" t="s">
        <v>30</v>
      </c>
      <c r="E56" t="s">
        <v>31</v>
      </c>
      <c r="F56" t="s">
        <v>22</v>
      </c>
      <c r="G56" s="5">
        <v>46077</v>
      </c>
      <c r="H56" s="5">
        <v>46207</v>
      </c>
      <c r="I56" s="3">
        <v>96</v>
      </c>
      <c r="J56" s="4">
        <v>3.37</v>
      </c>
      <c r="K56" s="3">
        <v>68</v>
      </c>
      <c r="L56" s="3">
        <v>37</v>
      </c>
      <c r="M56" s="3">
        <v>41</v>
      </c>
      <c r="N56" t="s">
        <v>23</v>
      </c>
      <c r="O56" t="s">
        <v>289</v>
      </c>
      <c r="P56" s="4" t="s">
        <v>290</v>
      </c>
      <c r="Q56" t="s">
        <v>291</v>
      </c>
      <c r="R56" s="8">
        <f t="shared" si="0"/>
        <v>146</v>
      </c>
      <c r="S56" t="str">
        <f t="shared" si="3"/>
        <v>Fail</v>
      </c>
      <c r="T56" t="str">
        <f t="shared" si="1"/>
        <v>C</v>
      </c>
      <c r="U56">
        <f t="shared" si="2"/>
        <v>0</v>
      </c>
    </row>
    <row r="57" spans="1:21">
      <c r="A57" t="s">
        <v>292</v>
      </c>
      <c r="B57" t="s">
        <v>293</v>
      </c>
      <c r="C57" t="s">
        <v>19</v>
      </c>
      <c r="D57" t="s">
        <v>59</v>
      </c>
      <c r="E57" t="s">
        <v>60</v>
      </c>
      <c r="F57" t="s">
        <v>45</v>
      </c>
      <c r="G57" s="5">
        <v>46036</v>
      </c>
      <c r="H57" s="5">
        <v>46150</v>
      </c>
      <c r="I57" s="3">
        <v>82</v>
      </c>
      <c r="J57" s="4">
        <v>3.99</v>
      </c>
      <c r="K57" s="3">
        <v>75</v>
      </c>
      <c r="L57" s="3">
        <v>77</v>
      </c>
      <c r="M57" s="3">
        <v>75</v>
      </c>
      <c r="N57" t="s">
        <v>23</v>
      </c>
      <c r="O57" t="s">
        <v>294</v>
      </c>
      <c r="P57" s="4" t="s">
        <v>295</v>
      </c>
      <c r="Q57" t="s">
        <v>296</v>
      </c>
      <c r="R57" s="8">
        <f t="shared" si="0"/>
        <v>227</v>
      </c>
      <c r="S57" t="str">
        <f t="shared" si="3"/>
        <v>Pass</v>
      </c>
      <c r="T57" t="str">
        <f t="shared" si="1"/>
        <v>A</v>
      </c>
      <c r="U57">
        <f t="shared" si="2"/>
        <v>0</v>
      </c>
    </row>
    <row r="58" spans="1:21">
      <c r="A58" t="s">
        <v>297</v>
      </c>
      <c r="B58" t="s">
        <v>298</v>
      </c>
      <c r="C58" t="s">
        <v>29</v>
      </c>
      <c r="D58" t="s">
        <v>43</v>
      </c>
      <c r="E58" t="s">
        <v>44</v>
      </c>
      <c r="F58" t="s">
        <v>111</v>
      </c>
      <c r="G58" s="5">
        <v>45950</v>
      </c>
      <c r="H58" s="5">
        <v>46060</v>
      </c>
      <c r="I58" s="3">
        <v>62</v>
      </c>
      <c r="J58" s="4">
        <v>3.43</v>
      </c>
      <c r="K58" s="3">
        <v>100</v>
      </c>
      <c r="L58" s="3">
        <v>58</v>
      </c>
      <c r="M58" s="3">
        <v>54</v>
      </c>
      <c r="N58" t="s">
        <v>23</v>
      </c>
      <c r="O58" t="s">
        <v>299</v>
      </c>
      <c r="P58" s="4" t="s">
        <v>300</v>
      </c>
      <c r="Q58" t="s">
        <v>301</v>
      </c>
      <c r="R58" s="8">
        <f t="shared" si="0"/>
        <v>212</v>
      </c>
      <c r="S58" t="str">
        <f t="shared" si="3"/>
        <v>Pass</v>
      </c>
      <c r="T58" t="str">
        <f t="shared" si="1"/>
        <v>A</v>
      </c>
      <c r="U58">
        <f t="shared" si="2"/>
        <v>0</v>
      </c>
    </row>
    <row r="59" spans="1:21">
      <c r="A59" t="s">
        <v>302</v>
      </c>
      <c r="B59" t="s">
        <v>303</v>
      </c>
      <c r="C59" t="s">
        <v>19</v>
      </c>
      <c r="D59" t="s">
        <v>43</v>
      </c>
      <c r="E59" t="s">
        <v>44</v>
      </c>
      <c r="F59" t="s">
        <v>22</v>
      </c>
      <c r="G59" s="5">
        <v>45976</v>
      </c>
      <c r="H59" s="5">
        <v>46075</v>
      </c>
      <c r="I59" s="3">
        <v>78</v>
      </c>
      <c r="J59" s="4">
        <v>2.19</v>
      </c>
      <c r="K59" s="3">
        <v>40</v>
      </c>
      <c r="L59" s="3">
        <v>51</v>
      </c>
      <c r="M59" s="3">
        <v>65</v>
      </c>
      <c r="N59" t="s">
        <v>23</v>
      </c>
      <c r="O59" t="s">
        <v>304</v>
      </c>
      <c r="P59" s="4" t="s">
        <v>305</v>
      </c>
      <c r="Q59" t="s">
        <v>306</v>
      </c>
      <c r="R59" s="8">
        <f t="shared" si="0"/>
        <v>156</v>
      </c>
      <c r="S59" t="str">
        <f t="shared" si="3"/>
        <v>Pass</v>
      </c>
      <c r="T59" t="str">
        <f t="shared" si="1"/>
        <v>B</v>
      </c>
      <c r="U59">
        <f t="shared" si="2"/>
        <v>0</v>
      </c>
    </row>
    <row r="60" spans="1:21">
      <c r="A60" t="s">
        <v>307</v>
      </c>
      <c r="B60" t="s">
        <v>308</v>
      </c>
      <c r="C60" t="s">
        <v>29</v>
      </c>
      <c r="D60" t="s">
        <v>71</v>
      </c>
      <c r="E60" t="s">
        <v>72</v>
      </c>
      <c r="F60" t="s">
        <v>53</v>
      </c>
      <c r="G60" s="5">
        <v>45927</v>
      </c>
      <c r="H60" s="5">
        <v>45998</v>
      </c>
      <c r="I60" s="3">
        <v>91</v>
      </c>
      <c r="J60" s="4">
        <v>2.4300000000000002</v>
      </c>
      <c r="K60" s="3">
        <v>70</v>
      </c>
      <c r="L60" s="3">
        <v>91</v>
      </c>
      <c r="M60" s="3">
        <v>73</v>
      </c>
      <c r="N60" t="s">
        <v>23</v>
      </c>
      <c r="O60" t="s">
        <v>309</v>
      </c>
      <c r="P60" s="4" t="s">
        <v>310</v>
      </c>
      <c r="Q60" t="s">
        <v>311</v>
      </c>
      <c r="R60" s="8">
        <f t="shared" si="0"/>
        <v>234</v>
      </c>
      <c r="S60" t="str">
        <f t="shared" si="3"/>
        <v>Pass</v>
      </c>
      <c r="T60" t="str">
        <f t="shared" si="1"/>
        <v>A</v>
      </c>
      <c r="U60">
        <f t="shared" si="2"/>
        <v>0</v>
      </c>
    </row>
    <row r="61" spans="1:21">
      <c r="A61" t="s">
        <v>312</v>
      </c>
      <c r="B61" t="s">
        <v>313</v>
      </c>
      <c r="C61" t="s">
        <v>29</v>
      </c>
      <c r="D61" t="s">
        <v>43</v>
      </c>
      <c r="E61" t="s">
        <v>44</v>
      </c>
      <c r="F61" t="s">
        <v>53</v>
      </c>
      <c r="G61" s="5">
        <v>46026</v>
      </c>
      <c r="H61" s="5">
        <v>46105</v>
      </c>
      <c r="I61" s="3">
        <v>91</v>
      </c>
      <c r="J61" s="4">
        <v>3.18</v>
      </c>
      <c r="K61" s="3">
        <v>43</v>
      </c>
      <c r="L61" s="3">
        <v>54</v>
      </c>
      <c r="M61" s="3">
        <v>49</v>
      </c>
      <c r="N61" t="s">
        <v>32</v>
      </c>
      <c r="O61" t="s">
        <v>314</v>
      </c>
      <c r="P61" s="4" t="s">
        <v>315</v>
      </c>
      <c r="Q61" t="s">
        <v>316</v>
      </c>
      <c r="R61" s="8">
        <f t="shared" si="0"/>
        <v>146</v>
      </c>
      <c r="S61" t="str">
        <f t="shared" si="3"/>
        <v>Fail</v>
      </c>
      <c r="T61" t="str">
        <f t="shared" si="1"/>
        <v>C</v>
      </c>
      <c r="U61">
        <f t="shared" si="2"/>
        <v>0</v>
      </c>
    </row>
    <row r="62" spans="1:21">
      <c r="A62" t="s">
        <v>312</v>
      </c>
      <c r="B62" t="s">
        <v>313</v>
      </c>
      <c r="C62" t="s">
        <v>29</v>
      </c>
      <c r="D62" t="s">
        <v>43</v>
      </c>
      <c r="E62" t="s">
        <v>44</v>
      </c>
      <c r="F62" t="s">
        <v>53</v>
      </c>
      <c r="G62" s="5">
        <v>46026</v>
      </c>
      <c r="H62" s="5">
        <v>46105</v>
      </c>
      <c r="I62" s="3">
        <v>91</v>
      </c>
      <c r="J62" s="4">
        <v>3.18</v>
      </c>
      <c r="K62" s="3">
        <v>43</v>
      </c>
      <c r="L62" s="3">
        <v>54</v>
      </c>
      <c r="M62" s="3">
        <v>49</v>
      </c>
      <c r="N62" t="s">
        <v>32</v>
      </c>
      <c r="O62" t="s">
        <v>314</v>
      </c>
      <c r="P62" s="4" t="s">
        <v>315</v>
      </c>
      <c r="Q62" t="s">
        <v>316</v>
      </c>
      <c r="R62" s="8">
        <f t="shared" si="0"/>
        <v>146</v>
      </c>
      <c r="S62" t="str">
        <f t="shared" si="3"/>
        <v>Fail</v>
      </c>
      <c r="T62" t="str">
        <f t="shared" si="1"/>
        <v>C</v>
      </c>
      <c r="U62">
        <f t="shared" si="2"/>
        <v>0</v>
      </c>
    </row>
    <row r="63" spans="1:21">
      <c r="A63" t="s">
        <v>317</v>
      </c>
      <c r="B63" t="s">
        <v>318</v>
      </c>
      <c r="C63" t="s">
        <v>29</v>
      </c>
      <c r="D63" t="s">
        <v>30</v>
      </c>
      <c r="E63" t="s">
        <v>31</v>
      </c>
      <c r="F63" t="s">
        <v>53</v>
      </c>
      <c r="G63" s="5">
        <v>46056</v>
      </c>
      <c r="H63" s="5">
        <v>46154</v>
      </c>
      <c r="I63" s="3">
        <v>88</v>
      </c>
      <c r="J63" s="4">
        <v>2.64</v>
      </c>
      <c r="K63" s="3">
        <v>98</v>
      </c>
      <c r="L63" s="3">
        <v>91</v>
      </c>
      <c r="M63" s="3">
        <v>68</v>
      </c>
      <c r="N63" t="s">
        <v>78</v>
      </c>
      <c r="O63" t="s">
        <v>319</v>
      </c>
      <c r="P63" s="4" t="s">
        <v>320</v>
      </c>
      <c r="Q63" t="s">
        <v>321</v>
      </c>
      <c r="R63" s="8">
        <f t="shared" si="0"/>
        <v>257</v>
      </c>
      <c r="S63" t="str">
        <f t="shared" si="3"/>
        <v>Pass</v>
      </c>
      <c r="T63" t="str">
        <f t="shared" si="1"/>
        <v>A</v>
      </c>
      <c r="U63">
        <f t="shared" si="2"/>
        <v>0</v>
      </c>
    </row>
    <row r="64" spans="1:21">
      <c r="A64" t="s">
        <v>322</v>
      </c>
      <c r="B64" t="s">
        <v>323</v>
      </c>
      <c r="C64" t="s">
        <v>29</v>
      </c>
      <c r="D64" t="s">
        <v>30</v>
      </c>
      <c r="E64" t="s">
        <v>324</v>
      </c>
      <c r="F64" t="s">
        <v>111</v>
      </c>
      <c r="G64" s="5">
        <v>45926</v>
      </c>
      <c r="H64" s="5">
        <v>46022</v>
      </c>
      <c r="I64" s="3">
        <v>95</v>
      </c>
      <c r="J64" s="4">
        <v>2.2599999999999998</v>
      </c>
      <c r="K64" s="3">
        <v>82</v>
      </c>
      <c r="L64" s="3">
        <v>45</v>
      </c>
      <c r="M64" s="3">
        <v>50</v>
      </c>
      <c r="N64" t="s">
        <v>23</v>
      </c>
      <c r="O64" t="s">
        <v>325</v>
      </c>
      <c r="P64" s="4" t="s">
        <v>326</v>
      </c>
      <c r="Q64" t="s">
        <v>327</v>
      </c>
      <c r="R64" s="8">
        <f t="shared" si="0"/>
        <v>177</v>
      </c>
      <c r="S64" t="str">
        <f t="shared" si="3"/>
        <v>Pass</v>
      </c>
      <c r="T64" t="str">
        <f t="shared" si="1"/>
        <v>B</v>
      </c>
      <c r="U64">
        <f t="shared" si="2"/>
        <v>0</v>
      </c>
    </row>
    <row r="65" spans="1:21">
      <c r="A65" t="s">
        <v>328</v>
      </c>
      <c r="B65" t="s">
        <v>329</v>
      </c>
      <c r="C65" t="s">
        <v>29</v>
      </c>
      <c r="D65" t="s">
        <v>59</v>
      </c>
      <c r="E65" t="s">
        <v>60</v>
      </c>
      <c r="F65" t="s">
        <v>53</v>
      </c>
      <c r="G65" s="5">
        <v>46077</v>
      </c>
      <c r="H65" s="5">
        <v>46207</v>
      </c>
      <c r="I65" s="3">
        <v>73</v>
      </c>
      <c r="J65" s="4">
        <v>1.87</v>
      </c>
      <c r="K65" s="3">
        <v>58</v>
      </c>
      <c r="L65" s="3">
        <v>71</v>
      </c>
      <c r="M65" s="3">
        <v>88</v>
      </c>
      <c r="N65" t="s">
        <v>23</v>
      </c>
      <c r="O65" t="s">
        <v>330</v>
      </c>
      <c r="P65" s="4" t="s">
        <v>331</v>
      </c>
      <c r="Q65" t="s">
        <v>332</v>
      </c>
      <c r="R65" s="8">
        <f t="shared" si="0"/>
        <v>217</v>
      </c>
      <c r="S65" t="str">
        <f t="shared" si="3"/>
        <v>Pass</v>
      </c>
      <c r="T65" t="str">
        <f t="shared" si="1"/>
        <v>A</v>
      </c>
      <c r="U65">
        <f t="shared" si="2"/>
        <v>0</v>
      </c>
    </row>
    <row r="66" spans="1:21">
      <c r="A66" t="s">
        <v>333</v>
      </c>
      <c r="B66" t="s">
        <v>303</v>
      </c>
      <c r="C66" t="s">
        <v>29</v>
      </c>
      <c r="D66" t="s">
        <v>59</v>
      </c>
      <c r="E66" t="s">
        <v>60</v>
      </c>
      <c r="G66" s="5">
        <v>46040</v>
      </c>
      <c r="H66" s="5">
        <v>46138</v>
      </c>
      <c r="I66" s="3">
        <v>96</v>
      </c>
      <c r="J66" s="4">
        <v>2.13</v>
      </c>
      <c r="K66" s="3">
        <v>57</v>
      </c>
      <c r="L66" s="3">
        <v>53</v>
      </c>
      <c r="M66" s="3">
        <v>39</v>
      </c>
      <c r="N66" t="s">
        <v>23</v>
      </c>
      <c r="O66" t="s">
        <v>334</v>
      </c>
      <c r="P66" s="4" t="s">
        <v>335</v>
      </c>
      <c r="Q66" t="s">
        <v>336</v>
      </c>
      <c r="R66" s="8">
        <f t="shared" ref="R66:R129" si="4">K66+L66+M66</f>
        <v>149</v>
      </c>
      <c r="S66" t="str">
        <f t="shared" ref="S66:S129" si="5">IF(R66&gt;=$W$7,"Pass","Fail")</f>
        <v>Fail</v>
      </c>
      <c r="T66" t="str">
        <f t="shared" ref="T66:T129" si="6">IF(R66&gt;=200,"A",IF(R66&gt;=150,"B",IF(R66&gt;=100,"C",IF(R66&gt;=50,"D"))))</f>
        <v>C</v>
      </c>
      <c r="U66">
        <f t="shared" ref="U66:U129" si="7">COUNTIF(C65:C359,E66)</f>
        <v>0</v>
      </c>
    </row>
    <row r="67" spans="1:21">
      <c r="A67" t="s">
        <v>337</v>
      </c>
      <c r="B67" t="s">
        <v>338</v>
      </c>
      <c r="C67" t="s">
        <v>19</v>
      </c>
      <c r="D67" t="s">
        <v>59</v>
      </c>
      <c r="E67" t="s">
        <v>60</v>
      </c>
      <c r="F67" t="s">
        <v>193</v>
      </c>
      <c r="G67" s="5">
        <v>46020</v>
      </c>
      <c r="H67" s="5">
        <v>46128</v>
      </c>
      <c r="I67" s="3">
        <v>99</v>
      </c>
      <c r="J67" s="4">
        <v>2.69</v>
      </c>
      <c r="K67" s="3">
        <v>57</v>
      </c>
      <c r="L67" s="3">
        <v>99</v>
      </c>
      <c r="M67" s="3">
        <v>99</v>
      </c>
      <c r="N67" t="s">
        <v>23</v>
      </c>
      <c r="O67" t="s">
        <v>339</v>
      </c>
      <c r="P67" s="4" t="s">
        <v>340</v>
      </c>
      <c r="Q67" t="s">
        <v>341</v>
      </c>
      <c r="R67" s="8">
        <f t="shared" si="4"/>
        <v>255</v>
      </c>
      <c r="S67" t="str">
        <f t="shared" si="5"/>
        <v>Pass</v>
      </c>
      <c r="T67" t="str">
        <f t="shared" si="6"/>
        <v>A</v>
      </c>
      <c r="U67">
        <f t="shared" si="7"/>
        <v>0</v>
      </c>
    </row>
    <row r="68" spans="1:21">
      <c r="A68" t="s">
        <v>342</v>
      </c>
      <c r="B68" t="s">
        <v>343</v>
      </c>
      <c r="C68" t="s">
        <v>19</v>
      </c>
      <c r="D68" t="s">
        <v>71</v>
      </c>
      <c r="E68" t="s">
        <v>72</v>
      </c>
      <c r="F68" t="s">
        <v>84</v>
      </c>
      <c r="G68" s="5">
        <v>46055</v>
      </c>
      <c r="H68" s="5">
        <v>46157</v>
      </c>
      <c r="I68" s="3">
        <v>56</v>
      </c>
      <c r="J68" s="4">
        <v>2</v>
      </c>
      <c r="K68" s="3">
        <v>83</v>
      </c>
      <c r="L68" s="3">
        <v>37</v>
      </c>
      <c r="M68" s="3">
        <v>64</v>
      </c>
      <c r="N68" t="s">
        <v>23</v>
      </c>
      <c r="O68" t="s">
        <v>344</v>
      </c>
      <c r="P68" s="4" t="s">
        <v>345</v>
      </c>
      <c r="Q68" t="s">
        <v>346</v>
      </c>
      <c r="R68" s="8">
        <f t="shared" si="4"/>
        <v>184</v>
      </c>
      <c r="S68" t="str">
        <f t="shared" si="5"/>
        <v>Pass</v>
      </c>
      <c r="T68" t="str">
        <f t="shared" si="6"/>
        <v>B</v>
      </c>
      <c r="U68">
        <f t="shared" si="7"/>
        <v>0</v>
      </c>
    </row>
    <row r="69" spans="1:21">
      <c r="A69" t="s">
        <v>347</v>
      </c>
      <c r="B69" t="s">
        <v>348</v>
      </c>
      <c r="C69" t="s">
        <v>19</v>
      </c>
      <c r="D69" t="s">
        <v>51</v>
      </c>
      <c r="E69" t="s">
        <v>52</v>
      </c>
      <c r="F69" t="s">
        <v>22</v>
      </c>
      <c r="G69" s="5">
        <v>46050</v>
      </c>
      <c r="H69" s="5">
        <v>46175</v>
      </c>
      <c r="I69" s="3">
        <v>95</v>
      </c>
      <c r="J69" s="4">
        <v>3.59</v>
      </c>
      <c r="K69" s="3">
        <v>45</v>
      </c>
      <c r="L69" s="3">
        <v>95</v>
      </c>
      <c r="M69" s="3">
        <v>74</v>
      </c>
      <c r="N69" t="s">
        <v>23</v>
      </c>
      <c r="O69" t="s">
        <v>349</v>
      </c>
      <c r="P69" s="4" t="s">
        <v>350</v>
      </c>
      <c r="Q69" t="s">
        <v>351</v>
      </c>
      <c r="R69" s="8">
        <f t="shared" si="4"/>
        <v>214</v>
      </c>
      <c r="S69" t="str">
        <f t="shared" si="5"/>
        <v>Pass</v>
      </c>
      <c r="T69" t="str">
        <f t="shared" si="6"/>
        <v>A</v>
      </c>
      <c r="U69">
        <f t="shared" si="7"/>
        <v>0</v>
      </c>
    </row>
    <row r="70" spans="1:21">
      <c r="A70" t="s">
        <v>352</v>
      </c>
      <c r="B70" t="s">
        <v>353</v>
      </c>
      <c r="C70" t="s">
        <v>19</v>
      </c>
      <c r="D70" t="s">
        <v>59</v>
      </c>
      <c r="E70" t="s">
        <v>60</v>
      </c>
      <c r="F70" t="s">
        <v>111</v>
      </c>
      <c r="G70" s="5">
        <v>46027</v>
      </c>
      <c r="H70" s="5">
        <v>46133</v>
      </c>
      <c r="I70" s="3">
        <v>97</v>
      </c>
      <c r="J70" s="4">
        <v>3.88</v>
      </c>
      <c r="K70" s="3">
        <v>92</v>
      </c>
      <c r="L70" s="3">
        <v>39</v>
      </c>
      <c r="M70" s="3">
        <v>88</v>
      </c>
      <c r="N70" t="s">
        <v>23</v>
      </c>
      <c r="O70" t="s">
        <v>354</v>
      </c>
      <c r="P70" s="4" t="s">
        <v>355</v>
      </c>
      <c r="Q70" t="s">
        <v>356</v>
      </c>
      <c r="R70" s="8">
        <f t="shared" si="4"/>
        <v>219</v>
      </c>
      <c r="S70" t="str">
        <f t="shared" si="5"/>
        <v>Pass</v>
      </c>
      <c r="T70" t="str">
        <f t="shared" si="6"/>
        <v>A</v>
      </c>
      <c r="U70">
        <f t="shared" si="7"/>
        <v>0</v>
      </c>
    </row>
    <row r="71" spans="1:21">
      <c r="A71" t="s">
        <v>357</v>
      </c>
      <c r="B71" t="s">
        <v>358</v>
      </c>
      <c r="C71" t="s">
        <v>19</v>
      </c>
      <c r="E71" t="s">
        <v>31</v>
      </c>
      <c r="F71" t="s">
        <v>193</v>
      </c>
      <c r="G71" s="5">
        <v>46069</v>
      </c>
      <c r="H71" s="5">
        <v>46208</v>
      </c>
      <c r="I71" s="3">
        <v>84</v>
      </c>
      <c r="J71" s="4">
        <v>2.71</v>
      </c>
      <c r="K71" s="3">
        <v>52</v>
      </c>
      <c r="L71" s="3">
        <v>81</v>
      </c>
      <c r="M71" s="3">
        <v>93</v>
      </c>
      <c r="N71" t="s">
        <v>23</v>
      </c>
      <c r="O71" t="s">
        <v>359</v>
      </c>
      <c r="P71" s="4" t="s">
        <v>360</v>
      </c>
      <c r="Q71" t="s">
        <v>361</v>
      </c>
      <c r="R71" s="8">
        <f t="shared" si="4"/>
        <v>226</v>
      </c>
      <c r="S71" t="str">
        <f t="shared" si="5"/>
        <v>Pass</v>
      </c>
      <c r="T71" t="str">
        <f t="shared" si="6"/>
        <v>A</v>
      </c>
      <c r="U71">
        <f t="shared" si="7"/>
        <v>0</v>
      </c>
    </row>
    <row r="72" spans="1:21">
      <c r="A72" t="s">
        <v>362</v>
      </c>
      <c r="B72" t="s">
        <v>363</v>
      </c>
      <c r="C72" t="s">
        <v>29</v>
      </c>
      <c r="D72" t="s">
        <v>51</v>
      </c>
      <c r="E72" t="s">
        <v>52</v>
      </c>
      <c r="F72" t="s">
        <v>53</v>
      </c>
      <c r="G72" s="5">
        <v>46079</v>
      </c>
      <c r="H72" s="5">
        <v>46211</v>
      </c>
      <c r="I72" s="3">
        <v>62</v>
      </c>
      <c r="J72" s="4">
        <v>1.86</v>
      </c>
      <c r="K72" s="3">
        <v>80</v>
      </c>
      <c r="L72" s="3">
        <v>65</v>
      </c>
      <c r="M72" s="3">
        <v>50</v>
      </c>
      <c r="N72" t="s">
        <v>23</v>
      </c>
      <c r="O72" t="s">
        <v>364</v>
      </c>
      <c r="P72" s="4" t="s">
        <v>365</v>
      </c>
      <c r="Q72" t="s">
        <v>366</v>
      </c>
      <c r="R72" s="8">
        <f t="shared" si="4"/>
        <v>195</v>
      </c>
      <c r="S72" t="str">
        <f t="shared" si="5"/>
        <v>Pass</v>
      </c>
      <c r="T72" t="str">
        <f t="shared" si="6"/>
        <v>B</v>
      </c>
      <c r="U72">
        <f t="shared" si="7"/>
        <v>0</v>
      </c>
    </row>
    <row r="73" spans="1:21">
      <c r="A73" t="s">
        <v>367</v>
      </c>
      <c r="B73" t="s">
        <v>368</v>
      </c>
      <c r="C73" t="s">
        <v>29</v>
      </c>
      <c r="D73" t="s">
        <v>20</v>
      </c>
      <c r="E73" t="s">
        <v>21</v>
      </c>
      <c r="F73" t="s">
        <v>193</v>
      </c>
      <c r="G73" s="5">
        <v>46019</v>
      </c>
      <c r="H73" s="5">
        <v>46104</v>
      </c>
      <c r="I73" s="3">
        <v>96</v>
      </c>
      <c r="J73" s="4">
        <v>3.63</v>
      </c>
      <c r="K73" s="3">
        <v>71</v>
      </c>
      <c r="L73" s="3">
        <v>72</v>
      </c>
      <c r="M73" s="3">
        <v>95</v>
      </c>
      <c r="N73" t="s">
        <v>23</v>
      </c>
      <c r="O73" t="s">
        <v>369</v>
      </c>
      <c r="P73" s="4" t="s">
        <v>370</v>
      </c>
      <c r="Q73" t="s">
        <v>371</v>
      </c>
      <c r="R73" s="8">
        <f t="shared" si="4"/>
        <v>238</v>
      </c>
      <c r="S73" t="str">
        <f t="shared" si="5"/>
        <v>Pass</v>
      </c>
      <c r="T73" t="str">
        <f t="shared" si="6"/>
        <v>A</v>
      </c>
      <c r="U73">
        <f t="shared" si="7"/>
        <v>0</v>
      </c>
    </row>
    <row r="74" spans="1:21">
      <c r="A74" t="s">
        <v>372</v>
      </c>
      <c r="B74" t="s">
        <v>373</v>
      </c>
      <c r="C74" t="s">
        <v>29</v>
      </c>
      <c r="D74" t="s">
        <v>59</v>
      </c>
      <c r="E74" t="s">
        <v>60</v>
      </c>
      <c r="F74" t="s">
        <v>45</v>
      </c>
      <c r="G74" s="5">
        <v>45938</v>
      </c>
      <c r="H74" s="5">
        <v>46057</v>
      </c>
      <c r="I74" s="3">
        <v>67</v>
      </c>
      <c r="J74" s="4">
        <v>3.83</v>
      </c>
      <c r="K74" s="3">
        <v>72</v>
      </c>
      <c r="L74" s="3">
        <v>52</v>
      </c>
      <c r="M74" s="3">
        <v>38</v>
      </c>
      <c r="N74" t="s">
        <v>23</v>
      </c>
      <c r="O74" t="s">
        <v>374</v>
      </c>
      <c r="P74" s="4" t="s">
        <v>375</v>
      </c>
      <c r="Q74" t="s">
        <v>376</v>
      </c>
      <c r="R74" s="8">
        <f t="shared" si="4"/>
        <v>162</v>
      </c>
      <c r="S74" t="str">
        <f t="shared" si="5"/>
        <v>Pass</v>
      </c>
      <c r="T74" t="str">
        <f t="shared" si="6"/>
        <v>B</v>
      </c>
      <c r="U74">
        <f t="shared" si="7"/>
        <v>0</v>
      </c>
    </row>
    <row r="75" spans="1:21">
      <c r="A75" t="s">
        <v>377</v>
      </c>
      <c r="B75" t="s">
        <v>378</v>
      </c>
      <c r="C75" t="s">
        <v>19</v>
      </c>
      <c r="D75" t="s">
        <v>43</v>
      </c>
      <c r="E75" t="s">
        <v>44</v>
      </c>
      <c r="F75" t="s">
        <v>84</v>
      </c>
      <c r="G75" s="5">
        <v>45977</v>
      </c>
      <c r="H75" s="5">
        <v>46109</v>
      </c>
      <c r="I75" s="3">
        <v>64</v>
      </c>
      <c r="J75" s="4">
        <v>2.78</v>
      </c>
      <c r="K75" s="3">
        <v>70</v>
      </c>
      <c r="L75" s="3">
        <v>79</v>
      </c>
      <c r="M75" s="3">
        <v>72</v>
      </c>
      <c r="N75" t="s">
        <v>23</v>
      </c>
      <c r="O75" t="s">
        <v>379</v>
      </c>
      <c r="P75" s="4" t="s">
        <v>380</v>
      </c>
      <c r="Q75" t="s">
        <v>381</v>
      </c>
      <c r="R75" s="8">
        <f t="shared" si="4"/>
        <v>221</v>
      </c>
      <c r="S75" t="str">
        <f t="shared" si="5"/>
        <v>Pass</v>
      </c>
      <c r="T75" t="str">
        <f t="shared" si="6"/>
        <v>A</v>
      </c>
      <c r="U75">
        <f t="shared" si="7"/>
        <v>0</v>
      </c>
    </row>
    <row r="76" spans="1:21">
      <c r="A76" t="s">
        <v>377</v>
      </c>
      <c r="B76" t="s">
        <v>378</v>
      </c>
      <c r="C76" t="s">
        <v>19</v>
      </c>
      <c r="D76" t="s">
        <v>43</v>
      </c>
      <c r="E76" t="s">
        <v>44</v>
      </c>
      <c r="F76" t="s">
        <v>84</v>
      </c>
      <c r="G76" s="5">
        <v>45977</v>
      </c>
      <c r="H76" s="5">
        <v>46109</v>
      </c>
      <c r="I76" s="3">
        <v>64</v>
      </c>
      <c r="J76" s="4">
        <v>2.78</v>
      </c>
      <c r="K76" s="3">
        <v>70</v>
      </c>
      <c r="L76" s="3">
        <v>79</v>
      </c>
      <c r="M76" s="3">
        <v>72</v>
      </c>
      <c r="N76" t="s">
        <v>23</v>
      </c>
      <c r="O76" t="s">
        <v>379</v>
      </c>
      <c r="P76" s="4" t="s">
        <v>380</v>
      </c>
      <c r="Q76" t="s">
        <v>381</v>
      </c>
      <c r="R76" s="8">
        <f t="shared" si="4"/>
        <v>221</v>
      </c>
      <c r="S76" t="str">
        <f t="shared" si="5"/>
        <v>Pass</v>
      </c>
      <c r="T76" t="str">
        <f t="shared" si="6"/>
        <v>A</v>
      </c>
      <c r="U76">
        <f t="shared" si="7"/>
        <v>0</v>
      </c>
    </row>
    <row r="77" spans="1:21">
      <c r="A77" t="s">
        <v>382</v>
      </c>
      <c r="B77" t="s">
        <v>383</v>
      </c>
      <c r="C77" t="s">
        <v>19</v>
      </c>
      <c r="D77" t="s">
        <v>20</v>
      </c>
      <c r="E77" t="s">
        <v>21</v>
      </c>
      <c r="F77" t="s">
        <v>111</v>
      </c>
      <c r="G77" s="5">
        <v>45962</v>
      </c>
      <c r="H77" s="5">
        <v>46081</v>
      </c>
      <c r="I77" s="3">
        <v>0</v>
      </c>
      <c r="J77" s="4">
        <v>3.68</v>
      </c>
      <c r="K77" s="3">
        <v>66</v>
      </c>
      <c r="L77" s="3">
        <v>40</v>
      </c>
      <c r="M77" s="3">
        <v>70</v>
      </c>
      <c r="N77" t="s">
        <v>23</v>
      </c>
      <c r="O77" t="s">
        <v>384</v>
      </c>
      <c r="P77" s="4" t="s">
        <v>385</v>
      </c>
      <c r="Q77" t="s">
        <v>386</v>
      </c>
      <c r="R77" s="8">
        <f t="shared" si="4"/>
        <v>176</v>
      </c>
      <c r="S77" t="str">
        <f t="shared" si="5"/>
        <v>Pass</v>
      </c>
      <c r="T77" t="str">
        <f t="shared" si="6"/>
        <v>B</v>
      </c>
      <c r="U77">
        <f t="shared" si="7"/>
        <v>0</v>
      </c>
    </row>
    <row r="78" spans="1:21">
      <c r="A78" t="s">
        <v>387</v>
      </c>
      <c r="B78" t="s">
        <v>388</v>
      </c>
      <c r="C78" t="s">
        <v>19</v>
      </c>
      <c r="D78" t="s">
        <v>43</v>
      </c>
      <c r="E78" t="s">
        <v>44</v>
      </c>
      <c r="F78" t="s">
        <v>22</v>
      </c>
      <c r="G78" s="5">
        <v>46029</v>
      </c>
      <c r="H78" s="5">
        <v>46141</v>
      </c>
      <c r="I78" s="3">
        <v>61</v>
      </c>
      <c r="J78" s="4">
        <v>3.72</v>
      </c>
      <c r="K78" s="3">
        <v>68</v>
      </c>
      <c r="L78" s="3">
        <v>47</v>
      </c>
      <c r="M78" s="3">
        <v>97</v>
      </c>
      <c r="N78" t="s">
        <v>78</v>
      </c>
      <c r="O78" t="s">
        <v>389</v>
      </c>
      <c r="P78" s="4" t="s">
        <v>390</v>
      </c>
      <c r="Q78" t="s">
        <v>391</v>
      </c>
      <c r="R78" s="8">
        <f t="shared" si="4"/>
        <v>212</v>
      </c>
      <c r="S78" t="str">
        <f t="shared" si="5"/>
        <v>Pass</v>
      </c>
      <c r="T78" t="str">
        <f t="shared" si="6"/>
        <v>A</v>
      </c>
      <c r="U78">
        <f t="shared" si="7"/>
        <v>0</v>
      </c>
    </row>
    <row r="79" spans="1:21">
      <c r="A79" t="s">
        <v>392</v>
      </c>
      <c r="B79" t="s">
        <v>393</v>
      </c>
      <c r="C79" t="s">
        <v>29</v>
      </c>
      <c r="D79" t="s">
        <v>43</v>
      </c>
      <c r="E79" t="s">
        <v>44</v>
      </c>
      <c r="F79" t="s">
        <v>53</v>
      </c>
      <c r="G79" s="5">
        <v>45968</v>
      </c>
      <c r="H79" s="5">
        <v>46081</v>
      </c>
      <c r="I79" s="3">
        <v>94</v>
      </c>
      <c r="J79" s="4">
        <v>3.32</v>
      </c>
      <c r="K79" s="3">
        <v>81</v>
      </c>
      <c r="L79" s="3">
        <v>45</v>
      </c>
      <c r="M79" s="3">
        <v>72</v>
      </c>
      <c r="N79" t="s">
        <v>78</v>
      </c>
      <c r="O79" t="s">
        <v>394</v>
      </c>
      <c r="P79" s="4" t="s">
        <v>395</v>
      </c>
      <c r="Q79" t="s">
        <v>396</v>
      </c>
      <c r="R79" s="8">
        <f t="shared" si="4"/>
        <v>198</v>
      </c>
      <c r="S79" t="str">
        <f t="shared" si="5"/>
        <v>Pass</v>
      </c>
      <c r="T79" t="str">
        <f t="shared" si="6"/>
        <v>B</v>
      </c>
      <c r="U79">
        <f t="shared" si="7"/>
        <v>0</v>
      </c>
    </row>
    <row r="80" spans="1:21">
      <c r="A80" t="s">
        <v>397</v>
      </c>
      <c r="B80" t="s">
        <v>398</v>
      </c>
      <c r="C80" t="s">
        <v>399</v>
      </c>
      <c r="D80" t="s">
        <v>30</v>
      </c>
      <c r="E80" t="s">
        <v>31</v>
      </c>
      <c r="F80" t="s">
        <v>193</v>
      </c>
      <c r="G80" s="5">
        <v>46059</v>
      </c>
      <c r="H80" s="5">
        <v>46137</v>
      </c>
      <c r="I80" s="3">
        <v>70</v>
      </c>
      <c r="J80" s="4">
        <v>3.19</v>
      </c>
      <c r="K80" s="3">
        <v>98</v>
      </c>
      <c r="L80" s="3">
        <v>71</v>
      </c>
      <c r="M80" s="3">
        <v>59</v>
      </c>
      <c r="N80" t="s">
        <v>23</v>
      </c>
      <c r="O80" t="s">
        <v>400</v>
      </c>
      <c r="P80" s="4" t="s">
        <v>401</v>
      </c>
      <c r="Q80" t="s">
        <v>402</v>
      </c>
      <c r="R80" s="8">
        <f t="shared" si="4"/>
        <v>228</v>
      </c>
      <c r="S80" t="str">
        <f t="shared" si="5"/>
        <v>Pass</v>
      </c>
      <c r="T80" t="str">
        <f t="shared" si="6"/>
        <v>A</v>
      </c>
      <c r="U80">
        <f t="shared" si="7"/>
        <v>0</v>
      </c>
    </row>
    <row r="81" spans="1:21">
      <c r="A81" t="s">
        <v>403</v>
      </c>
      <c r="B81" t="s">
        <v>404</v>
      </c>
      <c r="C81" t="s">
        <v>19</v>
      </c>
      <c r="D81" t="s">
        <v>20</v>
      </c>
      <c r="E81" t="s">
        <v>21</v>
      </c>
      <c r="F81" t="s">
        <v>111</v>
      </c>
      <c r="G81" s="5">
        <v>45977</v>
      </c>
      <c r="H81" s="5">
        <v>46050</v>
      </c>
      <c r="I81" s="3">
        <v>57</v>
      </c>
      <c r="J81" s="4">
        <v>2.5099999999999998</v>
      </c>
      <c r="K81" s="3">
        <v>43</v>
      </c>
      <c r="L81" s="3">
        <v>72</v>
      </c>
      <c r="M81" s="3">
        <v>75</v>
      </c>
      <c r="N81" t="s">
        <v>23</v>
      </c>
      <c r="O81" t="s">
        <v>405</v>
      </c>
      <c r="P81" s="4" t="s">
        <v>406</v>
      </c>
      <c r="Q81" t="s">
        <v>407</v>
      </c>
      <c r="R81" s="8">
        <f t="shared" si="4"/>
        <v>190</v>
      </c>
      <c r="S81" t="str">
        <f t="shared" si="5"/>
        <v>Pass</v>
      </c>
      <c r="T81" t="str">
        <f t="shared" si="6"/>
        <v>B</v>
      </c>
      <c r="U81">
        <f t="shared" si="7"/>
        <v>0</v>
      </c>
    </row>
    <row r="82" spans="1:21">
      <c r="A82" t="s">
        <v>408</v>
      </c>
      <c r="B82" t="s">
        <v>409</v>
      </c>
      <c r="C82" t="s">
        <v>19</v>
      </c>
      <c r="D82" t="s">
        <v>30</v>
      </c>
      <c r="E82" t="s">
        <v>31</v>
      </c>
      <c r="F82" t="s">
        <v>111</v>
      </c>
      <c r="G82" s="5">
        <v>45947</v>
      </c>
      <c r="H82" s="5">
        <v>46038</v>
      </c>
      <c r="I82" s="3">
        <v>66</v>
      </c>
      <c r="J82" s="4">
        <v>1.97</v>
      </c>
      <c r="K82" s="3">
        <v>95</v>
      </c>
      <c r="L82" s="3">
        <v>83</v>
      </c>
      <c r="M82" s="3">
        <v>60</v>
      </c>
      <c r="N82" t="s">
        <v>23</v>
      </c>
      <c r="O82" t="s">
        <v>410</v>
      </c>
      <c r="P82" s="4" t="s">
        <v>411</v>
      </c>
      <c r="Q82" t="s">
        <v>412</v>
      </c>
      <c r="R82" s="8">
        <f t="shared" si="4"/>
        <v>238</v>
      </c>
      <c r="S82" t="str">
        <f t="shared" si="5"/>
        <v>Pass</v>
      </c>
      <c r="T82" t="str">
        <f t="shared" si="6"/>
        <v>A</v>
      </c>
      <c r="U82">
        <f t="shared" si="7"/>
        <v>0</v>
      </c>
    </row>
    <row r="83" spans="1:21">
      <c r="A83" t="s">
        <v>413</v>
      </c>
      <c r="B83" t="s">
        <v>414</v>
      </c>
      <c r="C83" t="s">
        <v>19</v>
      </c>
      <c r="D83" t="s">
        <v>71</v>
      </c>
      <c r="E83" t="s">
        <v>72</v>
      </c>
      <c r="F83" t="s">
        <v>415</v>
      </c>
      <c r="G83" s="5">
        <v>46018</v>
      </c>
      <c r="H83" s="5">
        <v>46120</v>
      </c>
      <c r="I83" s="3">
        <v>97</v>
      </c>
      <c r="J83" s="4">
        <v>1.82</v>
      </c>
      <c r="K83" s="3">
        <v>91</v>
      </c>
      <c r="L83" s="3">
        <v>94</v>
      </c>
      <c r="M83" s="3">
        <v>66</v>
      </c>
      <c r="N83" t="s">
        <v>23</v>
      </c>
      <c r="O83" t="s">
        <v>416</v>
      </c>
      <c r="P83" s="4" t="s">
        <v>417</v>
      </c>
      <c r="Q83" t="s">
        <v>418</v>
      </c>
      <c r="R83" s="8">
        <f t="shared" si="4"/>
        <v>251</v>
      </c>
      <c r="S83" t="str">
        <f t="shared" si="5"/>
        <v>Pass</v>
      </c>
      <c r="T83" t="str">
        <f t="shared" si="6"/>
        <v>A</v>
      </c>
      <c r="U83">
        <f t="shared" si="7"/>
        <v>0</v>
      </c>
    </row>
    <row r="84" spans="1:21">
      <c r="A84" t="s">
        <v>419</v>
      </c>
      <c r="B84" t="s">
        <v>420</v>
      </c>
      <c r="C84" t="s">
        <v>19</v>
      </c>
      <c r="D84" t="s">
        <v>30</v>
      </c>
      <c r="E84" t="s">
        <v>31</v>
      </c>
      <c r="F84" t="s">
        <v>84</v>
      </c>
      <c r="G84" s="5">
        <v>46064</v>
      </c>
      <c r="H84" s="5">
        <v>46188</v>
      </c>
      <c r="I84" s="3">
        <v>99</v>
      </c>
      <c r="J84" s="4">
        <v>2.35</v>
      </c>
      <c r="K84" s="3">
        <v>94</v>
      </c>
      <c r="L84" s="3">
        <v>73</v>
      </c>
      <c r="M84" s="3">
        <v>55</v>
      </c>
      <c r="N84" t="s">
        <v>78</v>
      </c>
      <c r="O84" t="s">
        <v>421</v>
      </c>
      <c r="P84" s="4" t="s">
        <v>422</v>
      </c>
      <c r="Q84" t="s">
        <v>423</v>
      </c>
      <c r="R84" s="8">
        <f t="shared" si="4"/>
        <v>222</v>
      </c>
      <c r="S84" t="str">
        <f t="shared" si="5"/>
        <v>Pass</v>
      </c>
      <c r="T84" t="str">
        <f t="shared" si="6"/>
        <v>A</v>
      </c>
      <c r="U84">
        <f t="shared" si="7"/>
        <v>0</v>
      </c>
    </row>
    <row r="85" spans="1:21">
      <c r="A85" t="s">
        <v>424</v>
      </c>
      <c r="B85" t="s">
        <v>425</v>
      </c>
      <c r="C85" t="s">
        <v>19</v>
      </c>
      <c r="D85" t="s">
        <v>20</v>
      </c>
      <c r="E85" t="s">
        <v>21</v>
      </c>
      <c r="F85" t="s">
        <v>45</v>
      </c>
      <c r="G85" s="5">
        <v>45991</v>
      </c>
      <c r="H85" s="5">
        <v>46089</v>
      </c>
      <c r="I85" s="3">
        <v>95</v>
      </c>
      <c r="J85" s="4">
        <v>2.2200000000000002</v>
      </c>
      <c r="K85" s="3">
        <v>56</v>
      </c>
      <c r="L85" s="3">
        <v>52</v>
      </c>
      <c r="M85" s="3">
        <v>42</v>
      </c>
      <c r="N85" t="s">
        <v>78</v>
      </c>
      <c r="O85" t="s">
        <v>426</v>
      </c>
      <c r="P85" s="4" t="s">
        <v>427</v>
      </c>
      <c r="Q85" t="s">
        <v>428</v>
      </c>
      <c r="R85" s="8">
        <f t="shared" si="4"/>
        <v>150</v>
      </c>
      <c r="S85" t="str">
        <f t="shared" si="5"/>
        <v>Pass</v>
      </c>
      <c r="T85" t="str">
        <f t="shared" si="6"/>
        <v>B</v>
      </c>
      <c r="U85">
        <f t="shared" si="7"/>
        <v>0</v>
      </c>
    </row>
    <row r="86" spans="1:21">
      <c r="A86" t="s">
        <v>429</v>
      </c>
      <c r="B86" t="s">
        <v>430</v>
      </c>
      <c r="C86" t="s">
        <v>19</v>
      </c>
      <c r="D86" t="s">
        <v>43</v>
      </c>
      <c r="E86" t="s">
        <v>44</v>
      </c>
      <c r="F86" t="s">
        <v>45</v>
      </c>
      <c r="G86" s="5">
        <v>45994</v>
      </c>
      <c r="H86" s="5">
        <v>46080</v>
      </c>
      <c r="I86" s="3">
        <v>60</v>
      </c>
      <c r="J86" s="4"/>
      <c r="K86" s="3">
        <v>60</v>
      </c>
      <c r="L86" s="3">
        <v>88</v>
      </c>
      <c r="M86" s="3">
        <v>52</v>
      </c>
      <c r="N86" t="s">
        <v>23</v>
      </c>
      <c r="O86" t="s">
        <v>431</v>
      </c>
      <c r="P86" s="4" t="s">
        <v>432</v>
      </c>
      <c r="Q86" t="s">
        <v>433</v>
      </c>
      <c r="R86" s="8">
        <f t="shared" si="4"/>
        <v>200</v>
      </c>
      <c r="S86" t="str">
        <f t="shared" si="5"/>
        <v>Pass</v>
      </c>
      <c r="T86" t="str">
        <f t="shared" si="6"/>
        <v>A</v>
      </c>
      <c r="U86">
        <f t="shared" si="7"/>
        <v>0</v>
      </c>
    </row>
    <row r="87" spans="1:21">
      <c r="A87" t="s">
        <v>434</v>
      </c>
      <c r="B87" t="s">
        <v>435</v>
      </c>
      <c r="C87" t="s">
        <v>19</v>
      </c>
      <c r="D87" t="s">
        <v>20</v>
      </c>
      <c r="E87" t="s">
        <v>21</v>
      </c>
      <c r="F87" t="s">
        <v>84</v>
      </c>
      <c r="G87" s="5">
        <v>46024</v>
      </c>
      <c r="H87" s="5">
        <v>46131</v>
      </c>
      <c r="I87" s="3">
        <v>76</v>
      </c>
      <c r="J87" s="4">
        <v>3.57</v>
      </c>
      <c r="K87" s="3">
        <v>69</v>
      </c>
      <c r="L87" s="3">
        <v>44</v>
      </c>
      <c r="M87" s="3">
        <v>48</v>
      </c>
      <c r="N87" t="s">
        <v>436</v>
      </c>
      <c r="O87" t="s">
        <v>437</v>
      </c>
      <c r="P87" s="4" t="s">
        <v>438</v>
      </c>
      <c r="Q87" t="s">
        <v>439</v>
      </c>
      <c r="R87" s="8">
        <f t="shared" si="4"/>
        <v>161</v>
      </c>
      <c r="S87" t="str">
        <f t="shared" si="5"/>
        <v>Pass</v>
      </c>
      <c r="T87" t="str">
        <f t="shared" si="6"/>
        <v>B</v>
      </c>
      <c r="U87">
        <f t="shared" si="7"/>
        <v>0</v>
      </c>
    </row>
    <row r="88" spans="1:21">
      <c r="A88" t="s">
        <v>440</v>
      </c>
      <c r="B88" t="s">
        <v>441</v>
      </c>
      <c r="C88" t="s">
        <v>19</v>
      </c>
      <c r="D88" t="s">
        <v>43</v>
      </c>
      <c r="E88" t="s">
        <v>44</v>
      </c>
      <c r="F88" t="s">
        <v>53</v>
      </c>
      <c r="G88" s="5">
        <v>45904</v>
      </c>
      <c r="H88" s="5">
        <v>46007</v>
      </c>
      <c r="I88" s="3">
        <v>89</v>
      </c>
      <c r="J88" s="4">
        <v>2.0699999999999998</v>
      </c>
      <c r="K88" s="3">
        <v>63</v>
      </c>
      <c r="L88" s="3">
        <v>68</v>
      </c>
      <c r="M88" s="3">
        <v>78</v>
      </c>
      <c r="N88" t="s">
        <v>32</v>
      </c>
      <c r="O88" t="s">
        <v>442</v>
      </c>
      <c r="P88" s="4" t="s">
        <v>443</v>
      </c>
      <c r="Q88" t="s">
        <v>444</v>
      </c>
      <c r="R88" s="8">
        <f t="shared" si="4"/>
        <v>209</v>
      </c>
      <c r="S88" t="str">
        <f t="shared" si="5"/>
        <v>Pass</v>
      </c>
      <c r="T88" t="str">
        <f t="shared" si="6"/>
        <v>A</v>
      </c>
      <c r="U88">
        <f t="shared" si="7"/>
        <v>0</v>
      </c>
    </row>
    <row r="89" spans="1:21">
      <c r="A89" t="s">
        <v>440</v>
      </c>
      <c r="B89" t="s">
        <v>441</v>
      </c>
      <c r="C89" t="s">
        <v>19</v>
      </c>
      <c r="D89" t="s">
        <v>43</v>
      </c>
      <c r="E89" t="s">
        <v>44</v>
      </c>
      <c r="F89" t="s">
        <v>53</v>
      </c>
      <c r="G89" s="5">
        <v>45904</v>
      </c>
      <c r="H89" s="5">
        <v>46007</v>
      </c>
      <c r="I89" s="3">
        <v>89</v>
      </c>
      <c r="J89" s="4">
        <v>2.0699999999999998</v>
      </c>
      <c r="K89" s="3">
        <v>63</v>
      </c>
      <c r="L89" s="3">
        <v>68</v>
      </c>
      <c r="M89" s="3">
        <v>78</v>
      </c>
      <c r="N89" t="s">
        <v>32</v>
      </c>
      <c r="O89" t="s">
        <v>442</v>
      </c>
      <c r="P89" s="4" t="s">
        <v>443</v>
      </c>
      <c r="Q89" t="s">
        <v>444</v>
      </c>
      <c r="R89" s="8">
        <f t="shared" si="4"/>
        <v>209</v>
      </c>
      <c r="S89" t="str">
        <f t="shared" si="5"/>
        <v>Pass</v>
      </c>
      <c r="T89" t="str">
        <f t="shared" si="6"/>
        <v>A</v>
      </c>
      <c r="U89">
        <f t="shared" si="7"/>
        <v>0</v>
      </c>
    </row>
    <row r="90" spans="1:21">
      <c r="A90" t="s">
        <v>445</v>
      </c>
      <c r="B90" t="s">
        <v>104</v>
      </c>
      <c r="C90" t="s">
        <v>19</v>
      </c>
      <c r="D90" t="s">
        <v>43</v>
      </c>
      <c r="E90" t="s">
        <v>44</v>
      </c>
      <c r="F90" t="s">
        <v>45</v>
      </c>
      <c r="G90" s="5">
        <v>46044</v>
      </c>
      <c r="H90" s="5">
        <v>46155</v>
      </c>
      <c r="I90" s="3">
        <v>94</v>
      </c>
      <c r="J90" s="4">
        <v>2.29</v>
      </c>
      <c r="K90" s="3">
        <v>44</v>
      </c>
      <c r="L90" s="3">
        <v>94</v>
      </c>
      <c r="M90" s="3">
        <v>68</v>
      </c>
      <c r="N90" t="s">
        <v>23</v>
      </c>
      <c r="O90" t="s">
        <v>446</v>
      </c>
      <c r="P90" s="4" t="s">
        <v>447</v>
      </c>
      <c r="Q90" t="s">
        <v>448</v>
      </c>
      <c r="R90" s="8">
        <f t="shared" si="4"/>
        <v>206</v>
      </c>
      <c r="S90" t="str">
        <f t="shared" si="5"/>
        <v>Pass</v>
      </c>
      <c r="T90" t="str">
        <f t="shared" si="6"/>
        <v>A</v>
      </c>
      <c r="U90">
        <f t="shared" si="7"/>
        <v>0</v>
      </c>
    </row>
    <row r="91" spans="1:21">
      <c r="A91" t="s">
        <v>449</v>
      </c>
      <c r="B91" t="s">
        <v>450</v>
      </c>
      <c r="C91" t="s">
        <v>29</v>
      </c>
      <c r="D91" t="s">
        <v>51</v>
      </c>
      <c r="E91" t="s">
        <v>52</v>
      </c>
      <c r="F91" t="s">
        <v>53</v>
      </c>
      <c r="G91" s="5">
        <v>45930</v>
      </c>
      <c r="H91" s="5">
        <v>46012</v>
      </c>
      <c r="I91" s="3">
        <v>70</v>
      </c>
      <c r="J91" s="4">
        <v>3.75</v>
      </c>
      <c r="K91" s="3">
        <v>48</v>
      </c>
      <c r="L91" s="3">
        <v>84</v>
      </c>
      <c r="M91" s="3">
        <v>88</v>
      </c>
      <c r="N91" t="s">
        <v>23</v>
      </c>
      <c r="O91" t="s">
        <v>451</v>
      </c>
      <c r="P91" s="4" t="s">
        <v>452</v>
      </c>
      <c r="Q91" t="s">
        <v>453</v>
      </c>
      <c r="R91" s="8">
        <f t="shared" si="4"/>
        <v>220</v>
      </c>
      <c r="S91" t="str">
        <f t="shared" si="5"/>
        <v>Pass</v>
      </c>
      <c r="T91" t="str">
        <f t="shared" si="6"/>
        <v>A</v>
      </c>
      <c r="U91">
        <f t="shared" si="7"/>
        <v>0</v>
      </c>
    </row>
    <row r="92" spans="1:21">
      <c r="A92" t="s">
        <v>454</v>
      </c>
      <c r="B92" t="s">
        <v>455</v>
      </c>
      <c r="C92" t="s">
        <v>29</v>
      </c>
      <c r="D92" t="s">
        <v>59</v>
      </c>
      <c r="E92" t="s">
        <v>60</v>
      </c>
      <c r="F92" t="s">
        <v>111</v>
      </c>
      <c r="G92" s="5">
        <v>45926</v>
      </c>
      <c r="H92" s="5">
        <v>46058</v>
      </c>
      <c r="I92" s="3">
        <v>94</v>
      </c>
      <c r="J92" s="4">
        <v>2.7</v>
      </c>
      <c r="K92" s="3">
        <v>100</v>
      </c>
      <c r="L92" s="3">
        <v>70</v>
      </c>
      <c r="M92" s="3">
        <v>34</v>
      </c>
      <c r="N92" t="s">
        <v>23</v>
      </c>
      <c r="O92" t="s">
        <v>456</v>
      </c>
      <c r="P92" s="4" t="s">
        <v>457</v>
      </c>
      <c r="Q92" t="s">
        <v>458</v>
      </c>
      <c r="R92" s="8">
        <f t="shared" si="4"/>
        <v>204</v>
      </c>
      <c r="S92" t="str">
        <f t="shared" si="5"/>
        <v>Pass</v>
      </c>
      <c r="T92" t="str">
        <f t="shared" si="6"/>
        <v>A</v>
      </c>
      <c r="U92">
        <f t="shared" si="7"/>
        <v>0</v>
      </c>
    </row>
    <row r="93" spans="1:21">
      <c r="A93" t="s">
        <v>459</v>
      </c>
      <c r="B93" t="s">
        <v>460</v>
      </c>
      <c r="C93" t="s">
        <v>29</v>
      </c>
      <c r="D93" t="s">
        <v>51</v>
      </c>
      <c r="E93" t="s">
        <v>52</v>
      </c>
      <c r="F93" t="s">
        <v>193</v>
      </c>
      <c r="G93" s="5">
        <v>46076</v>
      </c>
      <c r="H93" s="5">
        <v>46193</v>
      </c>
      <c r="I93" s="3">
        <v>89</v>
      </c>
      <c r="J93" s="4">
        <v>3.78</v>
      </c>
      <c r="K93" s="3">
        <v>81</v>
      </c>
      <c r="L93" s="3">
        <v>80</v>
      </c>
      <c r="M93" s="3">
        <v>37</v>
      </c>
      <c r="N93" t="s">
        <v>23</v>
      </c>
      <c r="O93" t="s">
        <v>461</v>
      </c>
      <c r="P93" s="4" t="s">
        <v>462</v>
      </c>
      <c r="Q93" t="s">
        <v>463</v>
      </c>
      <c r="R93" s="8">
        <f t="shared" si="4"/>
        <v>198</v>
      </c>
      <c r="S93" t="str">
        <f t="shared" si="5"/>
        <v>Pass</v>
      </c>
      <c r="T93" t="str">
        <f t="shared" si="6"/>
        <v>B</v>
      </c>
      <c r="U93">
        <f t="shared" si="7"/>
        <v>0</v>
      </c>
    </row>
    <row r="94" spans="1:21">
      <c r="A94" t="s">
        <v>464</v>
      </c>
      <c r="B94" t="s">
        <v>465</v>
      </c>
      <c r="C94" t="s">
        <v>29</v>
      </c>
      <c r="D94" t="s">
        <v>71</v>
      </c>
      <c r="E94" t="s">
        <v>72</v>
      </c>
      <c r="F94" t="s">
        <v>22</v>
      </c>
      <c r="G94" s="5">
        <v>46065</v>
      </c>
      <c r="H94" s="5">
        <v>46137</v>
      </c>
      <c r="I94" s="3">
        <v>58</v>
      </c>
      <c r="J94" s="4">
        <v>3.53</v>
      </c>
      <c r="K94" s="3">
        <v>55</v>
      </c>
      <c r="L94" s="3">
        <v>51</v>
      </c>
      <c r="M94" s="3">
        <v>56</v>
      </c>
      <c r="N94" t="s">
        <v>23</v>
      </c>
      <c r="O94" t="s">
        <v>466</v>
      </c>
      <c r="P94" s="4" t="s">
        <v>467</v>
      </c>
      <c r="Q94" t="s">
        <v>468</v>
      </c>
      <c r="R94" s="8">
        <f t="shared" si="4"/>
        <v>162</v>
      </c>
      <c r="S94" t="str">
        <f t="shared" si="5"/>
        <v>Pass</v>
      </c>
      <c r="T94" t="str">
        <f t="shared" si="6"/>
        <v>B</v>
      </c>
      <c r="U94">
        <f t="shared" si="7"/>
        <v>0</v>
      </c>
    </row>
    <row r="95" spans="1:21">
      <c r="A95" t="s">
        <v>469</v>
      </c>
      <c r="B95" t="s">
        <v>18</v>
      </c>
      <c r="C95" t="s">
        <v>29</v>
      </c>
      <c r="D95" t="s">
        <v>43</v>
      </c>
      <c r="E95" t="s">
        <v>44</v>
      </c>
      <c r="F95" t="s">
        <v>84</v>
      </c>
      <c r="G95" s="5">
        <v>45961</v>
      </c>
      <c r="H95" s="5">
        <v>46072</v>
      </c>
      <c r="I95" s="3">
        <v>56</v>
      </c>
      <c r="J95" s="4">
        <v>2.1800000000000002</v>
      </c>
      <c r="K95" s="3">
        <v>43</v>
      </c>
      <c r="L95" s="3">
        <v>51</v>
      </c>
      <c r="M95" s="3">
        <v>83</v>
      </c>
      <c r="N95" t="s">
        <v>23</v>
      </c>
      <c r="O95" t="s">
        <v>470</v>
      </c>
      <c r="P95" s="4" t="s">
        <v>471</v>
      </c>
      <c r="Q95" t="s">
        <v>472</v>
      </c>
      <c r="R95" s="8">
        <f t="shared" si="4"/>
        <v>177</v>
      </c>
      <c r="S95" t="str">
        <f t="shared" si="5"/>
        <v>Pass</v>
      </c>
      <c r="T95" t="str">
        <f t="shared" si="6"/>
        <v>B</v>
      </c>
      <c r="U95">
        <f t="shared" si="7"/>
        <v>0</v>
      </c>
    </row>
    <row r="96" spans="1:21">
      <c r="A96" t="s">
        <v>473</v>
      </c>
      <c r="B96" t="s">
        <v>474</v>
      </c>
      <c r="C96" t="s">
        <v>19</v>
      </c>
      <c r="D96" t="s">
        <v>30</v>
      </c>
      <c r="E96" t="s">
        <v>31</v>
      </c>
      <c r="F96" t="s">
        <v>45</v>
      </c>
      <c r="G96" s="5">
        <v>45928</v>
      </c>
      <c r="H96" s="5">
        <v>46055</v>
      </c>
      <c r="I96" s="3">
        <v>87</v>
      </c>
      <c r="J96" s="4">
        <v>2.29</v>
      </c>
      <c r="K96" s="3">
        <v>79</v>
      </c>
      <c r="L96" s="3">
        <v>40</v>
      </c>
      <c r="M96" s="3">
        <v>96</v>
      </c>
      <c r="N96" t="s">
        <v>23</v>
      </c>
      <c r="P96" s="4" t="s">
        <v>475</v>
      </c>
      <c r="Q96" t="s">
        <v>476</v>
      </c>
      <c r="R96" s="8">
        <f t="shared" si="4"/>
        <v>215</v>
      </c>
      <c r="S96" t="str">
        <f t="shared" si="5"/>
        <v>Pass</v>
      </c>
      <c r="T96" t="str">
        <f t="shared" si="6"/>
        <v>A</v>
      </c>
      <c r="U96">
        <f t="shared" si="7"/>
        <v>0</v>
      </c>
    </row>
    <row r="97" spans="1:21">
      <c r="A97" t="s">
        <v>477</v>
      </c>
      <c r="B97" t="s">
        <v>478</v>
      </c>
      <c r="C97" t="s">
        <v>19</v>
      </c>
      <c r="D97" t="s">
        <v>59</v>
      </c>
      <c r="E97" t="s">
        <v>60</v>
      </c>
      <c r="F97" t="s">
        <v>53</v>
      </c>
      <c r="G97" s="5">
        <v>46076</v>
      </c>
      <c r="H97" s="5">
        <v>46159</v>
      </c>
      <c r="I97" s="3">
        <v>86</v>
      </c>
      <c r="J97" s="4">
        <v>3.37</v>
      </c>
      <c r="K97" s="3">
        <v>68</v>
      </c>
      <c r="L97" s="3">
        <v>44</v>
      </c>
      <c r="M97" s="3">
        <v>40</v>
      </c>
      <c r="N97" t="s">
        <v>23</v>
      </c>
      <c r="O97" t="s">
        <v>479</v>
      </c>
      <c r="P97" s="4" t="s">
        <v>480</v>
      </c>
      <c r="Q97" t="s">
        <v>481</v>
      </c>
      <c r="R97" s="8">
        <f t="shared" si="4"/>
        <v>152</v>
      </c>
      <c r="S97" t="str">
        <f t="shared" si="5"/>
        <v>Pass</v>
      </c>
      <c r="T97" t="str">
        <f t="shared" si="6"/>
        <v>B</v>
      </c>
      <c r="U97">
        <f t="shared" si="7"/>
        <v>0</v>
      </c>
    </row>
    <row r="98" spans="1:21">
      <c r="A98" t="s">
        <v>482</v>
      </c>
      <c r="B98" t="s">
        <v>483</v>
      </c>
      <c r="C98" t="s">
        <v>19</v>
      </c>
      <c r="D98" t="s">
        <v>30</v>
      </c>
      <c r="E98" t="s">
        <v>31</v>
      </c>
      <c r="F98" t="s">
        <v>111</v>
      </c>
      <c r="G98" s="5">
        <v>46050</v>
      </c>
      <c r="H98" s="5">
        <v>46190</v>
      </c>
      <c r="I98" s="3">
        <v>100</v>
      </c>
      <c r="J98" s="4">
        <v>2.52</v>
      </c>
      <c r="K98" s="3">
        <v>78</v>
      </c>
      <c r="L98" s="3">
        <v>72</v>
      </c>
      <c r="M98" s="3">
        <v>88</v>
      </c>
      <c r="N98" t="s">
        <v>23</v>
      </c>
      <c r="O98" t="s">
        <v>484</v>
      </c>
      <c r="P98" s="4" t="s">
        <v>485</v>
      </c>
      <c r="Q98" t="s">
        <v>486</v>
      </c>
      <c r="R98" s="8">
        <f t="shared" si="4"/>
        <v>238</v>
      </c>
      <c r="S98" t="str">
        <f t="shared" si="5"/>
        <v>Pass</v>
      </c>
      <c r="T98" t="str">
        <f t="shared" si="6"/>
        <v>A</v>
      </c>
      <c r="U98">
        <f t="shared" si="7"/>
        <v>0</v>
      </c>
    </row>
    <row r="99" spans="1:21">
      <c r="A99" t="s">
        <v>487</v>
      </c>
      <c r="B99" t="s">
        <v>404</v>
      </c>
      <c r="C99" t="s">
        <v>29</v>
      </c>
      <c r="D99" t="s">
        <v>59</v>
      </c>
      <c r="E99" t="s">
        <v>60</v>
      </c>
      <c r="F99" t="s">
        <v>53</v>
      </c>
      <c r="G99" s="5">
        <v>45959</v>
      </c>
      <c r="H99" s="5">
        <v>46081</v>
      </c>
      <c r="I99" s="3">
        <v>76</v>
      </c>
      <c r="J99" s="4">
        <v>3.62</v>
      </c>
      <c r="K99" s="3">
        <v>65</v>
      </c>
      <c r="L99" s="3">
        <v>88</v>
      </c>
      <c r="M99" s="3">
        <v>42</v>
      </c>
      <c r="N99" t="s">
        <v>23</v>
      </c>
      <c r="O99" t="s">
        <v>488</v>
      </c>
      <c r="P99" s="4" t="s">
        <v>489</v>
      </c>
      <c r="Q99" t="s">
        <v>490</v>
      </c>
      <c r="R99" s="8">
        <f t="shared" si="4"/>
        <v>195</v>
      </c>
      <c r="S99" t="str">
        <f t="shared" si="5"/>
        <v>Pass</v>
      </c>
      <c r="T99" t="str">
        <f t="shared" si="6"/>
        <v>B</v>
      </c>
      <c r="U99">
        <f t="shared" si="7"/>
        <v>0</v>
      </c>
    </row>
    <row r="100" spans="1:21">
      <c r="A100" t="s">
        <v>491</v>
      </c>
      <c r="B100" t="s">
        <v>492</v>
      </c>
      <c r="C100" t="s">
        <v>29</v>
      </c>
      <c r="D100" t="s">
        <v>71</v>
      </c>
      <c r="E100" t="s">
        <v>72</v>
      </c>
      <c r="F100" t="s">
        <v>53</v>
      </c>
      <c r="G100" s="5">
        <v>45918</v>
      </c>
      <c r="H100" s="5">
        <v>45999</v>
      </c>
      <c r="I100" s="3">
        <v>60</v>
      </c>
      <c r="J100" s="4">
        <v>2.0099999999999998</v>
      </c>
      <c r="K100" s="3">
        <v>46</v>
      </c>
      <c r="L100" s="3">
        <v>82</v>
      </c>
      <c r="M100" s="3">
        <v>46</v>
      </c>
      <c r="N100" t="s">
        <v>23</v>
      </c>
      <c r="O100" t="s">
        <v>493</v>
      </c>
      <c r="P100" s="4" t="s">
        <v>494</v>
      </c>
      <c r="Q100" t="s">
        <v>495</v>
      </c>
      <c r="R100" s="8">
        <f t="shared" si="4"/>
        <v>174</v>
      </c>
      <c r="S100" t="str">
        <f t="shared" si="5"/>
        <v>Pass</v>
      </c>
      <c r="T100" t="str">
        <f t="shared" si="6"/>
        <v>B</v>
      </c>
      <c r="U100">
        <f t="shared" si="7"/>
        <v>0</v>
      </c>
    </row>
    <row r="101" spans="1:21">
      <c r="A101" t="s">
        <v>496</v>
      </c>
      <c r="B101" t="s">
        <v>70</v>
      </c>
      <c r="C101" t="s">
        <v>19</v>
      </c>
      <c r="D101" t="s">
        <v>71</v>
      </c>
      <c r="E101" t="s">
        <v>72</v>
      </c>
      <c r="F101" t="s">
        <v>193</v>
      </c>
      <c r="G101" s="5">
        <v>46006</v>
      </c>
      <c r="H101" s="5">
        <v>46121</v>
      </c>
      <c r="I101" s="3">
        <v>97</v>
      </c>
      <c r="J101" s="4">
        <v>3.87</v>
      </c>
      <c r="K101" s="3">
        <v>67</v>
      </c>
      <c r="L101" s="3">
        <v>41</v>
      </c>
      <c r="M101" s="3">
        <v>66</v>
      </c>
      <c r="N101" t="s">
        <v>23</v>
      </c>
      <c r="O101" t="s">
        <v>497</v>
      </c>
      <c r="P101" s="4" t="s">
        <v>498</v>
      </c>
      <c r="Q101" t="s">
        <v>499</v>
      </c>
      <c r="R101" s="8">
        <f t="shared" si="4"/>
        <v>174</v>
      </c>
      <c r="S101" t="str">
        <f t="shared" si="5"/>
        <v>Pass</v>
      </c>
      <c r="T101" t="str">
        <f t="shared" si="6"/>
        <v>B</v>
      </c>
      <c r="U101">
        <f t="shared" si="7"/>
        <v>0</v>
      </c>
    </row>
    <row r="102" spans="1:21">
      <c r="A102" t="s">
        <v>496</v>
      </c>
      <c r="B102" t="s">
        <v>70</v>
      </c>
      <c r="C102" t="s">
        <v>19</v>
      </c>
      <c r="D102" t="s">
        <v>71</v>
      </c>
      <c r="E102" t="s">
        <v>72</v>
      </c>
      <c r="F102" t="s">
        <v>193</v>
      </c>
      <c r="G102" s="5">
        <v>46006</v>
      </c>
      <c r="H102" s="5">
        <v>46121</v>
      </c>
      <c r="I102" s="3">
        <v>97</v>
      </c>
      <c r="J102" s="4">
        <v>3.87</v>
      </c>
      <c r="K102" s="3">
        <v>67</v>
      </c>
      <c r="L102" s="3">
        <v>41</v>
      </c>
      <c r="M102" s="3">
        <v>66</v>
      </c>
      <c r="N102" t="s">
        <v>23</v>
      </c>
      <c r="O102" t="s">
        <v>497</v>
      </c>
      <c r="P102" s="4" t="s">
        <v>498</v>
      </c>
      <c r="Q102" t="s">
        <v>499</v>
      </c>
      <c r="R102" s="8">
        <f t="shared" si="4"/>
        <v>174</v>
      </c>
      <c r="S102" t="str">
        <f t="shared" si="5"/>
        <v>Pass</v>
      </c>
      <c r="T102" t="str">
        <f t="shared" si="6"/>
        <v>B</v>
      </c>
      <c r="U102">
        <f t="shared" si="7"/>
        <v>0</v>
      </c>
    </row>
    <row r="103" spans="1:21">
      <c r="A103" t="s">
        <v>500</v>
      </c>
      <c r="B103" t="s">
        <v>262</v>
      </c>
      <c r="C103" t="s">
        <v>29</v>
      </c>
      <c r="D103" t="s">
        <v>20</v>
      </c>
      <c r="E103" t="s">
        <v>21</v>
      </c>
      <c r="F103" t="s">
        <v>111</v>
      </c>
      <c r="G103" s="5">
        <v>46024</v>
      </c>
      <c r="H103" s="5">
        <v>46122</v>
      </c>
      <c r="I103" s="3">
        <v>61</v>
      </c>
      <c r="J103" s="4">
        <v>2.57</v>
      </c>
      <c r="K103" s="3">
        <v>75</v>
      </c>
      <c r="L103" s="3">
        <v>82</v>
      </c>
      <c r="M103" s="3">
        <v>44</v>
      </c>
      <c r="N103" t="s">
        <v>32</v>
      </c>
      <c r="O103" t="s">
        <v>501</v>
      </c>
      <c r="P103" s="4" t="s">
        <v>502</v>
      </c>
      <c r="Q103" t="s">
        <v>503</v>
      </c>
      <c r="R103" s="8">
        <f t="shared" si="4"/>
        <v>201</v>
      </c>
      <c r="S103" t="str">
        <f t="shared" si="5"/>
        <v>Pass</v>
      </c>
      <c r="T103" t="str">
        <f t="shared" si="6"/>
        <v>A</v>
      </c>
      <c r="U103">
        <f t="shared" si="7"/>
        <v>0</v>
      </c>
    </row>
    <row r="104" spans="1:21">
      <c r="A104" t="s">
        <v>504</v>
      </c>
      <c r="B104" t="s">
        <v>505</v>
      </c>
      <c r="C104" t="s">
        <v>29</v>
      </c>
      <c r="D104" t="s">
        <v>30</v>
      </c>
      <c r="E104" t="s">
        <v>31</v>
      </c>
      <c r="F104" t="s">
        <v>111</v>
      </c>
      <c r="G104" s="5">
        <v>46078</v>
      </c>
      <c r="H104" s="5">
        <v>46182</v>
      </c>
      <c r="I104" s="3">
        <v>56</v>
      </c>
      <c r="J104" s="4">
        <v>2.2000000000000002</v>
      </c>
      <c r="K104" s="3">
        <v>84</v>
      </c>
      <c r="L104" s="3">
        <v>74</v>
      </c>
      <c r="M104" s="3">
        <v>73</v>
      </c>
      <c r="N104" t="s">
        <v>23</v>
      </c>
      <c r="O104" t="s">
        <v>506</v>
      </c>
      <c r="P104" s="4" t="s">
        <v>507</v>
      </c>
      <c r="Q104" t="s">
        <v>508</v>
      </c>
      <c r="R104" s="8">
        <f t="shared" si="4"/>
        <v>231</v>
      </c>
      <c r="S104" t="str">
        <f t="shared" si="5"/>
        <v>Pass</v>
      </c>
      <c r="T104" t="str">
        <f t="shared" si="6"/>
        <v>A</v>
      </c>
      <c r="U104">
        <f t="shared" si="7"/>
        <v>0</v>
      </c>
    </row>
    <row r="105" spans="1:21">
      <c r="A105" t="s">
        <v>509</v>
      </c>
      <c r="B105" t="s">
        <v>510</v>
      </c>
      <c r="C105" t="s">
        <v>19</v>
      </c>
      <c r="D105" t="s">
        <v>43</v>
      </c>
      <c r="E105" t="s">
        <v>52</v>
      </c>
      <c r="F105" t="s">
        <v>22</v>
      </c>
      <c r="G105" s="5">
        <v>46063</v>
      </c>
      <c r="H105" s="5">
        <v>46136</v>
      </c>
      <c r="I105" s="3">
        <v>60</v>
      </c>
      <c r="J105" s="4">
        <v>3.44</v>
      </c>
      <c r="K105" s="3">
        <v>53</v>
      </c>
      <c r="L105" s="3">
        <v>83</v>
      </c>
      <c r="M105" s="3">
        <v>83</v>
      </c>
      <c r="N105" t="s">
        <v>23</v>
      </c>
      <c r="O105" t="s">
        <v>511</v>
      </c>
      <c r="P105" s="4" t="s">
        <v>512</v>
      </c>
      <c r="Q105" t="s">
        <v>513</v>
      </c>
      <c r="R105" s="8">
        <f t="shared" si="4"/>
        <v>219</v>
      </c>
      <c r="S105" t="str">
        <f t="shared" si="5"/>
        <v>Pass</v>
      </c>
      <c r="T105" t="str">
        <f t="shared" si="6"/>
        <v>A</v>
      </c>
      <c r="U105">
        <f t="shared" si="7"/>
        <v>0</v>
      </c>
    </row>
    <row r="106" spans="1:21">
      <c r="A106" t="s">
        <v>514</v>
      </c>
      <c r="B106" t="s">
        <v>515</v>
      </c>
      <c r="C106" t="s">
        <v>19</v>
      </c>
      <c r="D106" t="s">
        <v>30</v>
      </c>
      <c r="E106" t="s">
        <v>31</v>
      </c>
      <c r="F106" t="s">
        <v>45</v>
      </c>
      <c r="G106" s="5">
        <v>45922</v>
      </c>
      <c r="H106" s="5">
        <v>45998</v>
      </c>
      <c r="I106" s="3">
        <v>64</v>
      </c>
      <c r="J106" s="4">
        <v>2.15</v>
      </c>
      <c r="K106" s="3">
        <v>79</v>
      </c>
      <c r="L106" s="3">
        <v>41</v>
      </c>
      <c r="M106" s="3">
        <v>40</v>
      </c>
      <c r="N106" t="s">
        <v>23</v>
      </c>
      <c r="O106" t="s">
        <v>516</v>
      </c>
      <c r="P106" s="4" t="s">
        <v>517</v>
      </c>
      <c r="Q106" t="s">
        <v>518</v>
      </c>
      <c r="R106" s="8">
        <f t="shared" si="4"/>
        <v>160</v>
      </c>
      <c r="S106" t="str">
        <f t="shared" si="5"/>
        <v>Pass</v>
      </c>
      <c r="T106" t="str">
        <f t="shared" si="6"/>
        <v>B</v>
      </c>
      <c r="U106">
        <f t="shared" si="7"/>
        <v>0</v>
      </c>
    </row>
    <row r="107" spans="1:21">
      <c r="A107" t="s">
        <v>519</v>
      </c>
      <c r="B107" t="s">
        <v>520</v>
      </c>
      <c r="C107" t="s">
        <v>19</v>
      </c>
      <c r="D107" t="s">
        <v>59</v>
      </c>
      <c r="E107" t="s">
        <v>60</v>
      </c>
      <c r="F107" t="s">
        <v>84</v>
      </c>
      <c r="G107" s="5">
        <v>45956</v>
      </c>
      <c r="H107" s="5">
        <v>46091</v>
      </c>
      <c r="I107" s="3">
        <v>62</v>
      </c>
      <c r="J107" s="4">
        <v>2.56</v>
      </c>
      <c r="K107" s="3">
        <v>47</v>
      </c>
      <c r="L107" s="3">
        <v>71</v>
      </c>
      <c r="M107" s="3">
        <v>92</v>
      </c>
      <c r="N107" t="s">
        <v>23</v>
      </c>
      <c r="O107" t="s">
        <v>521</v>
      </c>
      <c r="P107" s="4" t="s">
        <v>522</v>
      </c>
      <c r="Q107" t="s">
        <v>523</v>
      </c>
      <c r="R107" s="8">
        <f t="shared" si="4"/>
        <v>210</v>
      </c>
      <c r="S107" t="str">
        <f t="shared" si="5"/>
        <v>Pass</v>
      </c>
      <c r="T107" t="str">
        <f t="shared" si="6"/>
        <v>A</v>
      </c>
      <c r="U107">
        <f t="shared" si="7"/>
        <v>0</v>
      </c>
    </row>
    <row r="108" spans="1:21">
      <c r="A108" t="s">
        <v>524</v>
      </c>
      <c r="B108" t="s">
        <v>525</v>
      </c>
      <c r="C108" t="s">
        <v>19</v>
      </c>
      <c r="D108" t="s">
        <v>30</v>
      </c>
      <c r="E108" t="s">
        <v>31</v>
      </c>
      <c r="F108" t="s">
        <v>193</v>
      </c>
      <c r="G108" s="5">
        <v>45902</v>
      </c>
      <c r="H108" s="5">
        <v>45998</v>
      </c>
      <c r="I108" s="3">
        <v>74</v>
      </c>
      <c r="J108" s="4">
        <v>3.88</v>
      </c>
      <c r="K108" s="3">
        <v>89</v>
      </c>
      <c r="L108" s="3">
        <v>52</v>
      </c>
      <c r="M108" s="3">
        <v>62</v>
      </c>
      <c r="N108" t="s">
        <v>23</v>
      </c>
      <c r="O108" t="s">
        <v>526</v>
      </c>
      <c r="P108" s="4" t="s">
        <v>527</v>
      </c>
      <c r="Q108" t="s">
        <v>528</v>
      </c>
      <c r="R108" s="8">
        <f t="shared" si="4"/>
        <v>203</v>
      </c>
      <c r="S108" t="str">
        <f t="shared" si="5"/>
        <v>Pass</v>
      </c>
      <c r="T108" t="str">
        <f t="shared" si="6"/>
        <v>A</v>
      </c>
      <c r="U108">
        <f t="shared" si="7"/>
        <v>0</v>
      </c>
    </row>
    <row r="109" spans="1:21">
      <c r="A109" t="s">
        <v>529</v>
      </c>
      <c r="B109" t="s">
        <v>530</v>
      </c>
      <c r="C109" t="s">
        <v>19</v>
      </c>
      <c r="D109" t="s">
        <v>20</v>
      </c>
      <c r="E109" t="s">
        <v>21</v>
      </c>
      <c r="F109" t="s">
        <v>22</v>
      </c>
      <c r="G109" s="5">
        <v>45998</v>
      </c>
      <c r="H109" s="5">
        <v>46136</v>
      </c>
      <c r="I109" s="3">
        <v>100</v>
      </c>
      <c r="J109" s="4">
        <v>2.31</v>
      </c>
      <c r="K109" s="3">
        <v>75</v>
      </c>
      <c r="L109" s="3">
        <v>80</v>
      </c>
      <c r="M109" s="3">
        <v>39</v>
      </c>
      <c r="N109" t="s">
        <v>23</v>
      </c>
      <c r="O109" t="s">
        <v>531</v>
      </c>
      <c r="P109" s="4" t="s">
        <v>532</v>
      </c>
      <c r="Q109" t="s">
        <v>533</v>
      </c>
      <c r="R109" s="8">
        <f t="shared" si="4"/>
        <v>194</v>
      </c>
      <c r="S109" t="str">
        <f t="shared" si="5"/>
        <v>Pass</v>
      </c>
      <c r="T109" t="str">
        <f t="shared" si="6"/>
        <v>B</v>
      </c>
      <c r="U109">
        <f t="shared" si="7"/>
        <v>0</v>
      </c>
    </row>
    <row r="110" spans="1:21">
      <c r="A110" t="s">
        <v>534</v>
      </c>
      <c r="B110" t="s">
        <v>535</v>
      </c>
      <c r="C110" t="s">
        <v>536</v>
      </c>
      <c r="D110" t="s">
        <v>43</v>
      </c>
      <c r="E110" t="s">
        <v>44</v>
      </c>
      <c r="F110" t="s">
        <v>84</v>
      </c>
      <c r="G110" s="5">
        <v>46048</v>
      </c>
      <c r="H110" s="5">
        <v>46172</v>
      </c>
      <c r="I110" s="3">
        <v>91</v>
      </c>
      <c r="J110" s="4">
        <v>2.69</v>
      </c>
      <c r="K110" s="3">
        <v>80</v>
      </c>
      <c r="L110" s="3">
        <v>88</v>
      </c>
      <c r="M110" s="3">
        <v>67</v>
      </c>
      <c r="N110" t="s">
        <v>23</v>
      </c>
      <c r="O110" t="s">
        <v>537</v>
      </c>
      <c r="P110" s="4" t="s">
        <v>538</v>
      </c>
      <c r="Q110" t="s">
        <v>539</v>
      </c>
      <c r="R110" s="8">
        <f t="shared" si="4"/>
        <v>235</v>
      </c>
      <c r="S110" t="str">
        <f t="shared" si="5"/>
        <v>Pass</v>
      </c>
      <c r="T110" t="str">
        <f t="shared" si="6"/>
        <v>A</v>
      </c>
      <c r="U110">
        <f t="shared" si="7"/>
        <v>0</v>
      </c>
    </row>
    <row r="111" spans="1:21">
      <c r="A111" t="s">
        <v>540</v>
      </c>
      <c r="B111" t="s">
        <v>541</v>
      </c>
      <c r="C111" t="s">
        <v>19</v>
      </c>
      <c r="D111" t="s">
        <v>71</v>
      </c>
      <c r="E111" t="s">
        <v>72</v>
      </c>
      <c r="F111" t="s">
        <v>84</v>
      </c>
      <c r="G111" s="5">
        <v>45923</v>
      </c>
      <c r="H111" s="5">
        <v>46048</v>
      </c>
      <c r="I111" s="3">
        <v>61</v>
      </c>
      <c r="J111" s="4">
        <v>2.34</v>
      </c>
      <c r="K111" s="3">
        <v>77</v>
      </c>
      <c r="L111" s="3">
        <v>86</v>
      </c>
      <c r="M111" s="3">
        <v>97</v>
      </c>
      <c r="N111" t="s">
        <v>23</v>
      </c>
      <c r="O111" t="s">
        <v>542</v>
      </c>
      <c r="P111" s="4" t="s">
        <v>543</v>
      </c>
      <c r="Q111" t="s">
        <v>544</v>
      </c>
      <c r="R111" s="8">
        <f t="shared" si="4"/>
        <v>260</v>
      </c>
      <c r="S111" t="str">
        <f t="shared" si="5"/>
        <v>Pass</v>
      </c>
      <c r="T111" t="str">
        <f t="shared" si="6"/>
        <v>A</v>
      </c>
      <c r="U111">
        <f t="shared" si="7"/>
        <v>0</v>
      </c>
    </row>
    <row r="112" spans="1:21">
      <c r="A112" t="s">
        <v>545</v>
      </c>
      <c r="B112" t="s">
        <v>546</v>
      </c>
      <c r="C112" t="s">
        <v>19</v>
      </c>
      <c r="D112" t="s">
        <v>20</v>
      </c>
      <c r="E112" t="s">
        <v>21</v>
      </c>
      <c r="F112" t="s">
        <v>193</v>
      </c>
      <c r="G112" s="5">
        <v>46031</v>
      </c>
      <c r="H112" s="5">
        <v>46115</v>
      </c>
      <c r="I112" s="3">
        <v>88</v>
      </c>
      <c r="J112" s="4">
        <v>2.92</v>
      </c>
      <c r="K112" s="3">
        <v>97</v>
      </c>
      <c r="L112" s="3">
        <v>79</v>
      </c>
      <c r="M112" s="3">
        <v>74</v>
      </c>
      <c r="N112" t="s">
        <v>23</v>
      </c>
      <c r="O112" t="s">
        <v>547</v>
      </c>
      <c r="P112" s="4" t="s">
        <v>548</v>
      </c>
      <c r="Q112" t="s">
        <v>549</v>
      </c>
      <c r="R112" s="8">
        <f t="shared" si="4"/>
        <v>250</v>
      </c>
      <c r="S112" t="str">
        <f t="shared" si="5"/>
        <v>Pass</v>
      </c>
      <c r="T112" t="str">
        <f t="shared" si="6"/>
        <v>A</v>
      </c>
      <c r="U112">
        <f t="shared" si="7"/>
        <v>0</v>
      </c>
    </row>
    <row r="113" spans="1:21">
      <c r="A113" t="s">
        <v>550</v>
      </c>
      <c r="B113" t="s">
        <v>414</v>
      </c>
      <c r="C113" t="s">
        <v>29</v>
      </c>
      <c r="D113" t="s">
        <v>20</v>
      </c>
      <c r="E113" t="s">
        <v>21</v>
      </c>
      <c r="F113" t="s">
        <v>551</v>
      </c>
      <c r="G113" s="5">
        <v>45951</v>
      </c>
      <c r="H113" s="5">
        <v>46043</v>
      </c>
      <c r="I113" s="3">
        <v>93</v>
      </c>
      <c r="J113" s="4">
        <v>2.14</v>
      </c>
      <c r="K113" s="3">
        <v>88</v>
      </c>
      <c r="L113" s="3">
        <v>44</v>
      </c>
      <c r="M113" s="3">
        <v>52</v>
      </c>
      <c r="N113" t="s">
        <v>78</v>
      </c>
      <c r="O113" t="s">
        <v>552</v>
      </c>
      <c r="P113" s="4" t="s">
        <v>553</v>
      </c>
      <c r="Q113" t="s">
        <v>554</v>
      </c>
      <c r="R113" s="8">
        <f t="shared" si="4"/>
        <v>184</v>
      </c>
      <c r="S113" t="str">
        <f t="shared" si="5"/>
        <v>Pass</v>
      </c>
      <c r="T113" t="str">
        <f t="shared" si="6"/>
        <v>B</v>
      </c>
      <c r="U113">
        <f t="shared" si="7"/>
        <v>0</v>
      </c>
    </row>
    <row r="114" spans="1:21">
      <c r="A114" t="s">
        <v>555</v>
      </c>
      <c r="B114" t="s">
        <v>474</v>
      </c>
      <c r="C114" t="s">
        <v>19</v>
      </c>
      <c r="D114" t="s">
        <v>71</v>
      </c>
      <c r="E114" t="s">
        <v>72</v>
      </c>
      <c r="F114" t="s">
        <v>45</v>
      </c>
      <c r="G114" s="5">
        <v>46065</v>
      </c>
      <c r="H114" s="5">
        <v>46176</v>
      </c>
      <c r="I114" s="3">
        <v>95</v>
      </c>
      <c r="J114" s="4">
        <v>2.5</v>
      </c>
      <c r="K114" s="3">
        <v>68</v>
      </c>
      <c r="L114" s="3">
        <v>43</v>
      </c>
      <c r="M114" s="3">
        <v>90</v>
      </c>
      <c r="N114" t="s">
        <v>23</v>
      </c>
      <c r="O114" t="s">
        <v>556</v>
      </c>
      <c r="P114" s="4" t="s">
        <v>557</v>
      </c>
      <c r="Q114" t="s">
        <v>558</v>
      </c>
      <c r="R114" s="8">
        <f t="shared" si="4"/>
        <v>201</v>
      </c>
      <c r="S114" t="str">
        <f t="shared" si="5"/>
        <v>Pass</v>
      </c>
      <c r="T114" t="str">
        <f t="shared" si="6"/>
        <v>A</v>
      </c>
      <c r="U114">
        <f t="shared" si="7"/>
        <v>0</v>
      </c>
    </row>
    <row r="115" spans="1:21">
      <c r="A115" t="s">
        <v>559</v>
      </c>
      <c r="B115" t="s">
        <v>560</v>
      </c>
      <c r="C115" t="s">
        <v>19</v>
      </c>
      <c r="D115" t="s">
        <v>59</v>
      </c>
      <c r="E115" t="s">
        <v>60</v>
      </c>
      <c r="F115" t="s">
        <v>45</v>
      </c>
      <c r="G115" s="5">
        <v>46042</v>
      </c>
      <c r="H115" s="5">
        <v>46117</v>
      </c>
      <c r="I115" s="3">
        <v>83</v>
      </c>
      <c r="J115" s="4">
        <v>3.8</v>
      </c>
      <c r="K115" s="3">
        <v>76</v>
      </c>
      <c r="L115" s="3">
        <v>59</v>
      </c>
      <c r="M115" s="3">
        <v>71</v>
      </c>
      <c r="N115" t="s">
        <v>23</v>
      </c>
      <c r="O115" t="s">
        <v>561</v>
      </c>
      <c r="P115" s="4" t="s">
        <v>562</v>
      </c>
      <c r="Q115" t="s">
        <v>563</v>
      </c>
      <c r="R115" s="8">
        <f t="shared" si="4"/>
        <v>206</v>
      </c>
      <c r="S115" t="str">
        <f t="shared" si="5"/>
        <v>Pass</v>
      </c>
      <c r="T115" t="str">
        <f t="shared" si="6"/>
        <v>A</v>
      </c>
      <c r="U115">
        <f t="shared" si="7"/>
        <v>0</v>
      </c>
    </row>
    <row r="116" spans="1:21">
      <c r="A116" t="s">
        <v>564</v>
      </c>
      <c r="B116" t="s">
        <v>450</v>
      </c>
      <c r="C116" t="s">
        <v>19</v>
      </c>
      <c r="D116" t="s">
        <v>43</v>
      </c>
      <c r="E116" t="s">
        <v>44</v>
      </c>
      <c r="G116" s="5">
        <v>45922</v>
      </c>
      <c r="H116" s="5">
        <v>46056</v>
      </c>
      <c r="I116" s="3">
        <v>96</v>
      </c>
      <c r="J116" s="4">
        <v>2.1800000000000002</v>
      </c>
      <c r="K116" s="3">
        <v>55</v>
      </c>
      <c r="L116" s="3">
        <v>91</v>
      </c>
      <c r="M116" s="3">
        <v>86</v>
      </c>
      <c r="N116" t="s">
        <v>23</v>
      </c>
      <c r="O116" t="s">
        <v>565</v>
      </c>
      <c r="P116" s="4" t="s">
        <v>566</v>
      </c>
      <c r="Q116" t="s">
        <v>567</v>
      </c>
      <c r="R116" s="8">
        <f t="shared" si="4"/>
        <v>232</v>
      </c>
      <c r="S116" t="str">
        <f t="shared" si="5"/>
        <v>Pass</v>
      </c>
      <c r="T116" t="str">
        <f t="shared" si="6"/>
        <v>A</v>
      </c>
      <c r="U116">
        <f t="shared" si="7"/>
        <v>0</v>
      </c>
    </row>
    <row r="117" spans="1:21">
      <c r="A117" t="s">
        <v>568</v>
      </c>
      <c r="B117" t="s">
        <v>569</v>
      </c>
      <c r="C117" t="s">
        <v>19</v>
      </c>
      <c r="D117" t="s">
        <v>51</v>
      </c>
      <c r="E117" t="s">
        <v>52</v>
      </c>
      <c r="F117" t="s">
        <v>53</v>
      </c>
      <c r="G117" s="5">
        <v>46005</v>
      </c>
      <c r="H117" s="5">
        <v>46118</v>
      </c>
      <c r="I117" s="3">
        <v>98</v>
      </c>
      <c r="J117" s="4">
        <v>3.12</v>
      </c>
      <c r="K117" s="3">
        <v>90</v>
      </c>
      <c r="L117" s="3">
        <v>77</v>
      </c>
      <c r="M117" s="3">
        <v>38</v>
      </c>
      <c r="N117" t="s">
        <v>23</v>
      </c>
      <c r="O117" t="s">
        <v>570</v>
      </c>
      <c r="P117" s="4" t="s">
        <v>571</v>
      </c>
      <c r="Q117" t="s">
        <v>572</v>
      </c>
      <c r="R117" s="8">
        <f t="shared" si="4"/>
        <v>205</v>
      </c>
      <c r="S117" t="str">
        <f t="shared" si="5"/>
        <v>Pass</v>
      </c>
      <c r="T117" t="str">
        <f t="shared" si="6"/>
        <v>A</v>
      </c>
      <c r="U117">
        <f t="shared" si="7"/>
        <v>0</v>
      </c>
    </row>
    <row r="118" spans="1:21">
      <c r="A118" t="s">
        <v>573</v>
      </c>
      <c r="B118" t="s">
        <v>574</v>
      </c>
      <c r="C118" t="s">
        <v>19</v>
      </c>
      <c r="D118" t="s">
        <v>71</v>
      </c>
      <c r="E118" t="s">
        <v>72</v>
      </c>
      <c r="F118" t="s">
        <v>111</v>
      </c>
      <c r="G118" s="5">
        <v>46055</v>
      </c>
      <c r="H118" s="5">
        <v>46144</v>
      </c>
      <c r="I118" s="3">
        <v>76</v>
      </c>
      <c r="J118" s="4">
        <v>1.98</v>
      </c>
      <c r="K118" s="3">
        <v>82</v>
      </c>
      <c r="L118" s="3">
        <v>53</v>
      </c>
      <c r="M118" s="3">
        <v>74</v>
      </c>
      <c r="N118" t="s">
        <v>23</v>
      </c>
      <c r="O118" t="s">
        <v>575</v>
      </c>
      <c r="P118" s="4" t="s">
        <v>576</v>
      </c>
      <c r="Q118" t="s">
        <v>577</v>
      </c>
      <c r="R118" s="8">
        <f t="shared" si="4"/>
        <v>209</v>
      </c>
      <c r="S118" t="str">
        <f t="shared" si="5"/>
        <v>Pass</v>
      </c>
      <c r="T118" t="str">
        <f t="shared" si="6"/>
        <v>A</v>
      </c>
      <c r="U118">
        <f t="shared" si="7"/>
        <v>0</v>
      </c>
    </row>
    <row r="119" spans="1:21">
      <c r="A119" t="s">
        <v>578</v>
      </c>
      <c r="B119" t="s">
        <v>388</v>
      </c>
      <c r="C119" t="s">
        <v>29</v>
      </c>
      <c r="D119" t="s">
        <v>51</v>
      </c>
      <c r="E119" t="s">
        <v>52</v>
      </c>
      <c r="F119" t="s">
        <v>45</v>
      </c>
      <c r="G119" s="5">
        <v>45997</v>
      </c>
      <c r="H119" s="5">
        <v>46109</v>
      </c>
      <c r="I119" s="3">
        <v>63</v>
      </c>
      <c r="J119" s="4">
        <v>3.27</v>
      </c>
      <c r="K119" s="3">
        <v>93</v>
      </c>
      <c r="L119" s="3">
        <v>46</v>
      </c>
      <c r="M119" s="3">
        <v>84</v>
      </c>
      <c r="N119" t="s">
        <v>23</v>
      </c>
      <c r="O119" t="s">
        <v>579</v>
      </c>
      <c r="P119" s="4" t="s">
        <v>580</v>
      </c>
      <c r="Q119" t="s">
        <v>581</v>
      </c>
      <c r="R119" s="8">
        <f t="shared" si="4"/>
        <v>223</v>
      </c>
      <c r="S119" t="str">
        <f t="shared" si="5"/>
        <v>Pass</v>
      </c>
      <c r="T119" t="str">
        <f t="shared" si="6"/>
        <v>A</v>
      </c>
      <c r="U119">
        <f t="shared" si="7"/>
        <v>0</v>
      </c>
    </row>
    <row r="120" spans="1:21">
      <c r="A120" t="s">
        <v>582</v>
      </c>
      <c r="B120" t="s">
        <v>515</v>
      </c>
      <c r="C120" t="s">
        <v>29</v>
      </c>
      <c r="D120" t="s">
        <v>20</v>
      </c>
      <c r="E120" t="s">
        <v>21</v>
      </c>
      <c r="F120" t="s">
        <v>84</v>
      </c>
      <c r="G120" s="5">
        <v>46025</v>
      </c>
      <c r="H120" s="5">
        <v>46119</v>
      </c>
      <c r="I120" s="3">
        <v>69</v>
      </c>
      <c r="J120" s="4">
        <v>4</v>
      </c>
      <c r="K120" s="3">
        <v>49</v>
      </c>
      <c r="L120" s="3">
        <v>44</v>
      </c>
      <c r="M120" s="3">
        <v>67</v>
      </c>
      <c r="N120" t="s">
        <v>32</v>
      </c>
      <c r="O120" t="s">
        <v>583</v>
      </c>
      <c r="P120" s="4" t="s">
        <v>584</v>
      </c>
      <c r="Q120" t="s">
        <v>585</v>
      </c>
      <c r="R120" s="8">
        <f t="shared" si="4"/>
        <v>160</v>
      </c>
      <c r="S120" t="str">
        <f t="shared" si="5"/>
        <v>Pass</v>
      </c>
      <c r="T120" t="str">
        <f t="shared" si="6"/>
        <v>B</v>
      </c>
      <c r="U120">
        <f t="shared" si="7"/>
        <v>0</v>
      </c>
    </row>
    <row r="121" spans="1:21">
      <c r="A121" t="s">
        <v>586</v>
      </c>
      <c r="B121" t="s">
        <v>587</v>
      </c>
      <c r="C121" t="s">
        <v>29</v>
      </c>
      <c r="D121" t="s">
        <v>71</v>
      </c>
      <c r="E121" t="s">
        <v>72</v>
      </c>
      <c r="F121" t="s">
        <v>84</v>
      </c>
      <c r="G121" s="5">
        <v>46059</v>
      </c>
      <c r="H121" s="5">
        <v>46145</v>
      </c>
      <c r="I121" s="3">
        <v>93</v>
      </c>
      <c r="J121" s="4">
        <v>2.63</v>
      </c>
      <c r="K121" s="3">
        <v>50</v>
      </c>
      <c r="L121" s="3">
        <v>58</v>
      </c>
      <c r="M121" s="3">
        <v>51</v>
      </c>
      <c r="N121" t="s">
        <v>23</v>
      </c>
      <c r="O121" t="s">
        <v>588</v>
      </c>
      <c r="P121" s="4" t="s">
        <v>589</v>
      </c>
      <c r="Q121" t="s">
        <v>590</v>
      </c>
      <c r="R121" s="8">
        <f t="shared" si="4"/>
        <v>159</v>
      </c>
      <c r="S121" t="str">
        <f t="shared" si="5"/>
        <v>Pass</v>
      </c>
      <c r="T121" t="str">
        <f t="shared" si="6"/>
        <v>B</v>
      </c>
      <c r="U121">
        <f t="shared" si="7"/>
        <v>0</v>
      </c>
    </row>
    <row r="122" spans="1:21">
      <c r="A122" t="s">
        <v>591</v>
      </c>
      <c r="B122" t="s">
        <v>592</v>
      </c>
      <c r="C122" t="s">
        <v>29</v>
      </c>
      <c r="D122" t="s">
        <v>59</v>
      </c>
      <c r="E122" t="s">
        <v>60</v>
      </c>
      <c r="F122" t="s">
        <v>45</v>
      </c>
      <c r="G122" s="5">
        <v>45973</v>
      </c>
      <c r="H122" s="5">
        <v>46100</v>
      </c>
      <c r="I122" s="3">
        <v>69</v>
      </c>
      <c r="J122" s="4">
        <v>2.97</v>
      </c>
      <c r="K122" s="3">
        <v>59</v>
      </c>
      <c r="L122" s="3">
        <v>95</v>
      </c>
      <c r="M122" s="3">
        <v>54</v>
      </c>
      <c r="N122" t="s">
        <v>23</v>
      </c>
      <c r="O122" t="s">
        <v>593</v>
      </c>
      <c r="P122" s="4" t="s">
        <v>594</v>
      </c>
      <c r="Q122" t="s">
        <v>595</v>
      </c>
      <c r="R122" s="8">
        <f t="shared" si="4"/>
        <v>208</v>
      </c>
      <c r="S122" t="str">
        <f t="shared" si="5"/>
        <v>Pass</v>
      </c>
      <c r="T122" t="str">
        <f t="shared" si="6"/>
        <v>A</v>
      </c>
      <c r="U122">
        <f t="shared" si="7"/>
        <v>0</v>
      </c>
    </row>
    <row r="123" spans="1:21">
      <c r="A123" t="s">
        <v>596</v>
      </c>
      <c r="B123" t="s">
        <v>460</v>
      </c>
      <c r="C123" t="s">
        <v>19</v>
      </c>
      <c r="D123" t="s">
        <v>59</v>
      </c>
      <c r="E123" t="s">
        <v>60</v>
      </c>
      <c r="F123" t="s">
        <v>45</v>
      </c>
      <c r="G123" s="5">
        <v>46036</v>
      </c>
      <c r="H123" s="5">
        <v>46159</v>
      </c>
      <c r="I123" s="3">
        <v>65</v>
      </c>
      <c r="J123" s="4">
        <v>3.6</v>
      </c>
      <c r="K123" s="3">
        <v>91</v>
      </c>
      <c r="L123" s="3">
        <v>52</v>
      </c>
      <c r="M123" s="3">
        <v>62</v>
      </c>
      <c r="N123" t="s">
        <v>23</v>
      </c>
      <c r="O123" t="s">
        <v>597</v>
      </c>
      <c r="P123" s="4" t="s">
        <v>598</v>
      </c>
      <c r="Q123" t="s">
        <v>599</v>
      </c>
      <c r="R123" s="8">
        <f t="shared" si="4"/>
        <v>205</v>
      </c>
      <c r="S123" t="str">
        <f t="shared" si="5"/>
        <v>Pass</v>
      </c>
      <c r="T123" t="str">
        <f t="shared" si="6"/>
        <v>A</v>
      </c>
      <c r="U123">
        <f t="shared" si="7"/>
        <v>0</v>
      </c>
    </row>
    <row r="124" spans="1:21">
      <c r="A124" t="s">
        <v>600</v>
      </c>
      <c r="B124" t="s">
        <v>601</v>
      </c>
      <c r="C124" t="s">
        <v>29</v>
      </c>
      <c r="D124" t="s">
        <v>71</v>
      </c>
      <c r="E124" t="s">
        <v>72</v>
      </c>
      <c r="F124" t="s">
        <v>45</v>
      </c>
      <c r="G124" s="5">
        <v>45932</v>
      </c>
      <c r="H124" s="5">
        <v>46038</v>
      </c>
      <c r="I124" s="3">
        <v>60</v>
      </c>
      <c r="J124" s="4">
        <v>3.48</v>
      </c>
      <c r="K124" s="3">
        <v>57</v>
      </c>
      <c r="L124" s="3">
        <v>92</v>
      </c>
      <c r="M124" s="3">
        <v>95</v>
      </c>
      <c r="N124" t="s">
        <v>23</v>
      </c>
      <c r="O124" t="s">
        <v>602</v>
      </c>
      <c r="P124" s="4" t="s">
        <v>603</v>
      </c>
      <c r="Q124" t="s">
        <v>604</v>
      </c>
      <c r="R124" s="8">
        <f t="shared" si="4"/>
        <v>244</v>
      </c>
      <c r="S124" t="str">
        <f t="shared" si="5"/>
        <v>Pass</v>
      </c>
      <c r="T124" t="str">
        <f t="shared" si="6"/>
        <v>A</v>
      </c>
      <c r="U124">
        <f t="shared" si="7"/>
        <v>0</v>
      </c>
    </row>
    <row r="125" spans="1:21">
      <c r="A125" t="s">
        <v>605</v>
      </c>
      <c r="B125" t="s">
        <v>318</v>
      </c>
      <c r="C125" t="s">
        <v>19</v>
      </c>
      <c r="D125" t="s">
        <v>51</v>
      </c>
      <c r="E125" t="s">
        <v>52</v>
      </c>
      <c r="F125" t="s">
        <v>193</v>
      </c>
      <c r="G125" s="5">
        <v>46007</v>
      </c>
      <c r="H125" s="5">
        <v>46083</v>
      </c>
      <c r="I125" s="3">
        <v>80</v>
      </c>
      <c r="J125" s="4">
        <v>2.9</v>
      </c>
      <c r="K125" s="3">
        <v>55</v>
      </c>
      <c r="L125" s="3">
        <v>84</v>
      </c>
      <c r="M125" s="3">
        <v>40</v>
      </c>
      <c r="N125" t="s">
        <v>23</v>
      </c>
      <c r="O125" t="s">
        <v>606</v>
      </c>
      <c r="P125" s="4" t="s">
        <v>607</v>
      </c>
      <c r="Q125" t="s">
        <v>608</v>
      </c>
      <c r="R125" s="8">
        <f t="shared" si="4"/>
        <v>179</v>
      </c>
      <c r="S125" t="str">
        <f t="shared" si="5"/>
        <v>Pass</v>
      </c>
      <c r="T125" t="str">
        <f t="shared" si="6"/>
        <v>B</v>
      </c>
      <c r="U125">
        <f t="shared" si="7"/>
        <v>0</v>
      </c>
    </row>
    <row r="126" spans="1:21">
      <c r="A126" t="s">
        <v>609</v>
      </c>
      <c r="B126" t="s">
        <v>358</v>
      </c>
      <c r="C126" t="s">
        <v>19</v>
      </c>
      <c r="D126" t="s">
        <v>20</v>
      </c>
      <c r="E126" t="s">
        <v>21</v>
      </c>
      <c r="F126" t="s">
        <v>22</v>
      </c>
      <c r="G126" s="5">
        <v>45910</v>
      </c>
      <c r="H126" s="5">
        <v>46016</v>
      </c>
      <c r="I126" s="3">
        <v>0</v>
      </c>
      <c r="J126" s="4">
        <v>3.33</v>
      </c>
      <c r="K126" s="3">
        <v>48</v>
      </c>
      <c r="L126" s="3">
        <v>95</v>
      </c>
      <c r="M126" s="3">
        <v>87</v>
      </c>
      <c r="N126" t="s">
        <v>23</v>
      </c>
      <c r="O126" t="s">
        <v>610</v>
      </c>
      <c r="P126" s="4" t="s">
        <v>611</v>
      </c>
      <c r="Q126" t="s">
        <v>612</v>
      </c>
      <c r="R126" s="8">
        <f t="shared" si="4"/>
        <v>230</v>
      </c>
      <c r="S126" t="str">
        <f t="shared" si="5"/>
        <v>Pass</v>
      </c>
      <c r="T126" t="str">
        <f t="shared" si="6"/>
        <v>A</v>
      </c>
      <c r="U126">
        <f t="shared" si="7"/>
        <v>0</v>
      </c>
    </row>
    <row r="127" spans="1:21">
      <c r="A127" t="s">
        <v>613</v>
      </c>
      <c r="B127" t="s">
        <v>614</v>
      </c>
      <c r="C127" t="s">
        <v>29</v>
      </c>
      <c r="D127" t="s">
        <v>20</v>
      </c>
      <c r="E127" t="s">
        <v>21</v>
      </c>
      <c r="F127" t="s">
        <v>45</v>
      </c>
      <c r="G127" s="5">
        <v>46056</v>
      </c>
      <c r="H127" s="5">
        <v>46193</v>
      </c>
      <c r="I127" s="3">
        <v>82</v>
      </c>
      <c r="J127" s="4">
        <v>2.04</v>
      </c>
      <c r="K127" s="3">
        <v>58</v>
      </c>
      <c r="L127" s="3">
        <v>65</v>
      </c>
      <c r="M127" s="3">
        <v>68</v>
      </c>
      <c r="N127" t="s">
        <v>23</v>
      </c>
      <c r="O127" t="s">
        <v>615</v>
      </c>
      <c r="P127" s="4" t="s">
        <v>616</v>
      </c>
      <c r="Q127" t="s">
        <v>617</v>
      </c>
      <c r="R127" s="8">
        <f t="shared" si="4"/>
        <v>191</v>
      </c>
      <c r="S127" t="str">
        <f t="shared" si="5"/>
        <v>Pass</v>
      </c>
      <c r="T127" t="str">
        <f t="shared" si="6"/>
        <v>B</v>
      </c>
      <c r="U127">
        <f t="shared" si="7"/>
        <v>0</v>
      </c>
    </row>
    <row r="128" spans="1:21">
      <c r="A128" t="s">
        <v>613</v>
      </c>
      <c r="B128" t="s">
        <v>614</v>
      </c>
      <c r="C128" t="s">
        <v>29</v>
      </c>
      <c r="D128" t="s">
        <v>20</v>
      </c>
      <c r="E128" t="s">
        <v>21</v>
      </c>
      <c r="F128" t="s">
        <v>45</v>
      </c>
      <c r="G128" s="5">
        <v>46056</v>
      </c>
      <c r="H128" s="5">
        <v>46193</v>
      </c>
      <c r="I128" s="3">
        <v>82</v>
      </c>
      <c r="J128" s="4">
        <v>2.04</v>
      </c>
      <c r="K128" s="3">
        <v>58</v>
      </c>
      <c r="L128" s="3">
        <v>65</v>
      </c>
      <c r="M128" s="3">
        <v>68</v>
      </c>
      <c r="N128" t="s">
        <v>23</v>
      </c>
      <c r="O128" t="s">
        <v>615</v>
      </c>
      <c r="P128" s="4" t="s">
        <v>616</v>
      </c>
      <c r="Q128" t="s">
        <v>617</v>
      </c>
      <c r="R128" s="8">
        <f t="shared" si="4"/>
        <v>191</v>
      </c>
      <c r="S128" t="str">
        <f t="shared" si="5"/>
        <v>Pass</v>
      </c>
      <c r="T128" t="str">
        <f t="shared" si="6"/>
        <v>B</v>
      </c>
      <c r="U128">
        <f t="shared" si="7"/>
        <v>0</v>
      </c>
    </row>
    <row r="129" spans="1:21">
      <c r="A129" t="s">
        <v>618</v>
      </c>
      <c r="B129" t="s">
        <v>619</v>
      </c>
      <c r="C129" t="s">
        <v>19</v>
      </c>
      <c r="D129" t="s">
        <v>43</v>
      </c>
      <c r="E129" t="s">
        <v>44</v>
      </c>
      <c r="F129" t="s">
        <v>193</v>
      </c>
      <c r="G129" s="5">
        <v>46028</v>
      </c>
      <c r="H129" s="5">
        <v>46166</v>
      </c>
      <c r="I129" s="3">
        <v>56</v>
      </c>
      <c r="J129" s="4">
        <v>3.19</v>
      </c>
      <c r="K129" s="3">
        <v>76</v>
      </c>
      <c r="L129" s="3">
        <v>65</v>
      </c>
      <c r="M129" s="3">
        <v>48</v>
      </c>
      <c r="N129" t="s">
        <v>23</v>
      </c>
      <c r="O129" t="s">
        <v>620</v>
      </c>
      <c r="P129" s="4" t="s">
        <v>621</v>
      </c>
      <c r="Q129" t="s">
        <v>622</v>
      </c>
      <c r="R129" s="8">
        <f t="shared" si="4"/>
        <v>189</v>
      </c>
      <c r="S129" t="str">
        <f t="shared" si="5"/>
        <v>Pass</v>
      </c>
      <c r="T129" t="str">
        <f t="shared" si="6"/>
        <v>B</v>
      </c>
      <c r="U129">
        <f t="shared" si="7"/>
        <v>0</v>
      </c>
    </row>
    <row r="130" spans="1:21">
      <c r="A130" t="s">
        <v>623</v>
      </c>
      <c r="B130" t="s">
        <v>624</v>
      </c>
      <c r="C130" t="s">
        <v>29</v>
      </c>
      <c r="D130" t="s">
        <v>30</v>
      </c>
      <c r="E130" t="s">
        <v>31</v>
      </c>
      <c r="F130" t="s">
        <v>53</v>
      </c>
      <c r="G130" s="5">
        <v>45948</v>
      </c>
      <c r="H130" s="5">
        <v>46028</v>
      </c>
      <c r="I130" s="3">
        <v>88</v>
      </c>
      <c r="J130" s="4">
        <v>3.94</v>
      </c>
      <c r="K130" s="3">
        <v>44</v>
      </c>
      <c r="L130" s="3">
        <v>99</v>
      </c>
      <c r="M130" s="3">
        <v>94</v>
      </c>
      <c r="N130" t="s">
        <v>23</v>
      </c>
      <c r="O130" t="s">
        <v>625</v>
      </c>
      <c r="P130" s="4" t="s">
        <v>626</v>
      </c>
      <c r="Q130" t="s">
        <v>627</v>
      </c>
      <c r="R130" s="8">
        <f t="shared" ref="R130:R193" si="8">K130+L130+M130</f>
        <v>237</v>
      </c>
      <c r="S130" t="str">
        <f t="shared" ref="S130:S193" si="9">IF(R130&gt;=$W$7,"Pass","Fail")</f>
        <v>Pass</v>
      </c>
      <c r="T130" t="str">
        <f t="shared" ref="T130:T193" si="10">IF(R130&gt;=200,"A",IF(R130&gt;=150,"B",IF(R130&gt;=100,"C",IF(R130&gt;=50,"D"))))</f>
        <v>A</v>
      </c>
      <c r="U130">
        <f t="shared" ref="U130:U193" si="11">COUNTIF(C129:C423,E130)</f>
        <v>0</v>
      </c>
    </row>
    <row r="131" spans="1:21">
      <c r="A131" t="s">
        <v>628</v>
      </c>
      <c r="B131" t="s">
        <v>629</v>
      </c>
      <c r="C131" t="s">
        <v>19</v>
      </c>
      <c r="D131" t="s">
        <v>51</v>
      </c>
      <c r="E131" t="s">
        <v>52</v>
      </c>
      <c r="F131" t="s">
        <v>84</v>
      </c>
      <c r="G131" s="5">
        <v>45905</v>
      </c>
      <c r="H131" s="5">
        <v>46020</v>
      </c>
      <c r="I131" s="3">
        <v>59</v>
      </c>
      <c r="J131" s="4">
        <v>2.56</v>
      </c>
      <c r="K131" s="3">
        <v>86</v>
      </c>
      <c r="L131" s="3">
        <v>48</v>
      </c>
      <c r="M131" s="3">
        <v>72</v>
      </c>
      <c r="N131" t="s">
        <v>23</v>
      </c>
      <c r="O131" t="s">
        <v>630</v>
      </c>
      <c r="P131" s="4" t="s">
        <v>631</v>
      </c>
      <c r="Q131" t="s">
        <v>632</v>
      </c>
      <c r="R131" s="8">
        <f t="shared" si="8"/>
        <v>206</v>
      </c>
      <c r="S131" t="str">
        <f t="shared" si="9"/>
        <v>Pass</v>
      </c>
      <c r="T131" t="str">
        <f t="shared" si="10"/>
        <v>A</v>
      </c>
      <c r="U131">
        <f t="shared" si="11"/>
        <v>0</v>
      </c>
    </row>
    <row r="132" spans="1:21">
      <c r="A132" t="s">
        <v>633</v>
      </c>
      <c r="B132" t="s">
        <v>634</v>
      </c>
      <c r="C132" t="s">
        <v>29</v>
      </c>
      <c r="D132" t="s">
        <v>71</v>
      </c>
      <c r="E132" t="s">
        <v>72</v>
      </c>
      <c r="F132" t="s">
        <v>53</v>
      </c>
      <c r="G132" s="5">
        <v>46079</v>
      </c>
      <c r="H132" s="5">
        <v>46210</v>
      </c>
      <c r="I132" s="3">
        <v>95</v>
      </c>
      <c r="J132" s="4">
        <v>2.2000000000000002</v>
      </c>
      <c r="K132" s="3">
        <v>48</v>
      </c>
      <c r="L132" s="3">
        <v>43</v>
      </c>
      <c r="M132" s="3">
        <v>88</v>
      </c>
      <c r="N132" t="s">
        <v>23</v>
      </c>
      <c r="O132" t="s">
        <v>635</v>
      </c>
      <c r="P132" s="4" t="s">
        <v>636</v>
      </c>
      <c r="Q132" t="s">
        <v>637</v>
      </c>
      <c r="R132" s="8">
        <f t="shared" si="8"/>
        <v>179</v>
      </c>
      <c r="S132" t="str">
        <f t="shared" si="9"/>
        <v>Pass</v>
      </c>
      <c r="T132" t="str">
        <f t="shared" si="10"/>
        <v>B</v>
      </c>
      <c r="U132">
        <f t="shared" si="11"/>
        <v>0</v>
      </c>
    </row>
    <row r="133" spans="1:21">
      <c r="A133" t="s">
        <v>638</v>
      </c>
      <c r="B133" t="s">
        <v>639</v>
      </c>
      <c r="C133" t="s">
        <v>29</v>
      </c>
      <c r="D133" t="s">
        <v>51</v>
      </c>
      <c r="E133" t="s">
        <v>52</v>
      </c>
      <c r="F133" t="s">
        <v>84</v>
      </c>
      <c r="G133" s="5">
        <v>46032</v>
      </c>
      <c r="H133" s="5">
        <v>46152</v>
      </c>
      <c r="I133" s="3">
        <v>115</v>
      </c>
      <c r="J133" s="4">
        <v>2.84</v>
      </c>
      <c r="K133" s="3">
        <v>42</v>
      </c>
      <c r="L133" s="3">
        <v>59</v>
      </c>
      <c r="M133" s="3">
        <v>66</v>
      </c>
      <c r="N133" t="s">
        <v>23</v>
      </c>
      <c r="O133" t="s">
        <v>640</v>
      </c>
      <c r="P133" s="4" t="s">
        <v>641</v>
      </c>
      <c r="Q133" t="s">
        <v>642</v>
      </c>
      <c r="R133" s="8">
        <f t="shared" si="8"/>
        <v>167</v>
      </c>
      <c r="S133" t="str">
        <f t="shared" si="9"/>
        <v>Pass</v>
      </c>
      <c r="T133" t="str">
        <f t="shared" si="10"/>
        <v>B</v>
      </c>
      <c r="U133">
        <f t="shared" si="11"/>
        <v>0</v>
      </c>
    </row>
    <row r="134" spans="1:21">
      <c r="A134" t="s">
        <v>643</v>
      </c>
      <c r="B134" t="s">
        <v>644</v>
      </c>
      <c r="C134" t="s">
        <v>29</v>
      </c>
      <c r="D134" t="s">
        <v>51</v>
      </c>
      <c r="E134" t="s">
        <v>52</v>
      </c>
      <c r="F134" t="s">
        <v>53</v>
      </c>
      <c r="G134" s="5">
        <v>46003</v>
      </c>
      <c r="H134" s="5">
        <v>46129</v>
      </c>
      <c r="I134" s="3">
        <v>79</v>
      </c>
      <c r="J134" s="4">
        <v>2.5499999999999998</v>
      </c>
      <c r="K134" s="3">
        <v>51</v>
      </c>
      <c r="L134" s="3">
        <v>98</v>
      </c>
      <c r="M134" s="3">
        <v>93</v>
      </c>
      <c r="N134" t="s">
        <v>23</v>
      </c>
      <c r="O134" t="s">
        <v>645</v>
      </c>
      <c r="P134" s="4" t="s">
        <v>646</v>
      </c>
      <c r="Q134" t="s">
        <v>647</v>
      </c>
      <c r="R134" s="8">
        <f t="shared" si="8"/>
        <v>242</v>
      </c>
      <c r="S134" t="str">
        <f t="shared" si="9"/>
        <v>Pass</v>
      </c>
      <c r="T134" t="str">
        <f t="shared" si="10"/>
        <v>A</v>
      </c>
      <c r="U134">
        <f t="shared" si="11"/>
        <v>0</v>
      </c>
    </row>
    <row r="135" spans="1:21">
      <c r="A135" t="s">
        <v>648</v>
      </c>
      <c r="B135" t="s">
        <v>649</v>
      </c>
      <c r="C135" t="s">
        <v>19</v>
      </c>
      <c r="D135" t="s">
        <v>43</v>
      </c>
      <c r="E135" t="s">
        <v>44</v>
      </c>
      <c r="F135" t="s">
        <v>53</v>
      </c>
      <c r="G135" s="5">
        <v>46055</v>
      </c>
      <c r="H135" s="5">
        <v>46148</v>
      </c>
      <c r="I135" s="3">
        <v>89</v>
      </c>
      <c r="J135" s="4">
        <v>2.4500000000000002</v>
      </c>
      <c r="K135" s="3">
        <v>46</v>
      </c>
      <c r="L135" s="3">
        <v>45</v>
      </c>
      <c r="M135" s="3">
        <v>71</v>
      </c>
      <c r="N135" t="s">
        <v>23</v>
      </c>
      <c r="O135" t="s">
        <v>650</v>
      </c>
      <c r="P135" s="4" t="s">
        <v>651</v>
      </c>
      <c r="Q135" t="s">
        <v>652</v>
      </c>
      <c r="R135" s="8">
        <f t="shared" si="8"/>
        <v>162</v>
      </c>
      <c r="S135" t="str">
        <f t="shared" si="9"/>
        <v>Pass</v>
      </c>
      <c r="T135" t="str">
        <f t="shared" si="10"/>
        <v>B</v>
      </c>
      <c r="U135">
        <f t="shared" si="11"/>
        <v>0</v>
      </c>
    </row>
    <row r="136" spans="1:21">
      <c r="A136" t="s">
        <v>653</v>
      </c>
      <c r="B136" t="s">
        <v>654</v>
      </c>
      <c r="C136" t="s">
        <v>19</v>
      </c>
      <c r="D136" t="s">
        <v>20</v>
      </c>
      <c r="E136" t="s">
        <v>21</v>
      </c>
      <c r="F136" t="s">
        <v>111</v>
      </c>
      <c r="G136" s="5">
        <v>46014</v>
      </c>
      <c r="H136" s="5">
        <v>46128</v>
      </c>
      <c r="I136" s="3">
        <v>83</v>
      </c>
      <c r="J136" s="4">
        <v>1.89</v>
      </c>
      <c r="K136" s="3">
        <v>95</v>
      </c>
      <c r="L136" s="3">
        <v>80</v>
      </c>
      <c r="M136" s="3">
        <v>85</v>
      </c>
      <c r="N136" t="s">
        <v>23</v>
      </c>
      <c r="O136" t="s">
        <v>655</v>
      </c>
      <c r="P136" s="4" t="s">
        <v>656</v>
      </c>
      <c r="Q136" t="s">
        <v>657</v>
      </c>
      <c r="R136" s="8">
        <f t="shared" si="8"/>
        <v>260</v>
      </c>
      <c r="S136" t="str">
        <f t="shared" si="9"/>
        <v>Pass</v>
      </c>
      <c r="T136" t="str">
        <f t="shared" si="10"/>
        <v>A</v>
      </c>
      <c r="U136">
        <f t="shared" si="11"/>
        <v>0</v>
      </c>
    </row>
    <row r="137" spans="1:21">
      <c r="A137" t="s">
        <v>658</v>
      </c>
      <c r="B137" t="s">
        <v>659</v>
      </c>
      <c r="C137" t="s">
        <v>19</v>
      </c>
      <c r="D137" t="s">
        <v>30</v>
      </c>
      <c r="E137" t="s">
        <v>31</v>
      </c>
      <c r="F137" t="s">
        <v>111</v>
      </c>
      <c r="G137" s="5">
        <v>46074</v>
      </c>
      <c r="H137" s="5">
        <v>46164</v>
      </c>
      <c r="I137" s="3">
        <v>56</v>
      </c>
      <c r="J137" s="4"/>
      <c r="K137" s="3">
        <v>78</v>
      </c>
      <c r="L137" s="3">
        <v>91</v>
      </c>
      <c r="M137" s="3">
        <v>34</v>
      </c>
      <c r="N137" t="s">
        <v>23</v>
      </c>
      <c r="O137" t="s">
        <v>660</v>
      </c>
      <c r="P137" s="4" t="s">
        <v>661</v>
      </c>
      <c r="Q137" t="s">
        <v>662</v>
      </c>
      <c r="R137" s="8">
        <f t="shared" si="8"/>
        <v>203</v>
      </c>
      <c r="S137" t="str">
        <f t="shared" si="9"/>
        <v>Pass</v>
      </c>
      <c r="T137" t="str">
        <f t="shared" si="10"/>
        <v>A</v>
      </c>
      <c r="U137">
        <f t="shared" si="11"/>
        <v>0</v>
      </c>
    </row>
    <row r="138" spans="1:21">
      <c r="A138" t="s">
        <v>663</v>
      </c>
      <c r="B138" t="s">
        <v>664</v>
      </c>
      <c r="C138" t="s">
        <v>19</v>
      </c>
      <c r="D138" t="s">
        <v>30</v>
      </c>
      <c r="E138" t="s">
        <v>31</v>
      </c>
      <c r="F138" t="s">
        <v>193</v>
      </c>
      <c r="G138" s="5">
        <v>46055</v>
      </c>
      <c r="H138" s="5">
        <v>46144</v>
      </c>
      <c r="I138" s="3">
        <v>98</v>
      </c>
      <c r="J138" s="4">
        <v>2.79</v>
      </c>
      <c r="K138" s="3">
        <v>63</v>
      </c>
      <c r="L138" s="3">
        <v>82</v>
      </c>
      <c r="M138" s="3">
        <v>86</v>
      </c>
      <c r="N138" t="s">
        <v>32</v>
      </c>
      <c r="O138" t="s">
        <v>665</v>
      </c>
      <c r="P138" s="4" t="s">
        <v>666</v>
      </c>
      <c r="Q138" t="s">
        <v>667</v>
      </c>
      <c r="R138" s="8">
        <f t="shared" si="8"/>
        <v>231</v>
      </c>
      <c r="S138" t="str">
        <f t="shared" si="9"/>
        <v>Pass</v>
      </c>
      <c r="T138" t="str">
        <f t="shared" si="10"/>
        <v>A</v>
      </c>
      <c r="U138">
        <f t="shared" si="11"/>
        <v>0</v>
      </c>
    </row>
    <row r="139" spans="1:21">
      <c r="A139" t="s">
        <v>668</v>
      </c>
      <c r="B139" t="s">
        <v>669</v>
      </c>
      <c r="C139" t="s">
        <v>19</v>
      </c>
      <c r="D139" t="s">
        <v>59</v>
      </c>
      <c r="E139" t="s">
        <v>60</v>
      </c>
      <c r="F139" t="s">
        <v>84</v>
      </c>
      <c r="G139" s="5">
        <v>46067</v>
      </c>
      <c r="H139" s="5">
        <v>46172</v>
      </c>
      <c r="I139" s="3">
        <v>70</v>
      </c>
      <c r="J139" s="4">
        <v>3.91</v>
      </c>
      <c r="K139" s="3">
        <v>41</v>
      </c>
      <c r="L139" s="3">
        <v>58</v>
      </c>
      <c r="M139" s="3">
        <v>93</v>
      </c>
      <c r="N139" t="s">
        <v>23</v>
      </c>
      <c r="O139" t="s">
        <v>670</v>
      </c>
      <c r="P139" s="4" t="s">
        <v>671</v>
      </c>
      <c r="Q139" t="s">
        <v>672</v>
      </c>
      <c r="R139" s="8">
        <f t="shared" si="8"/>
        <v>192</v>
      </c>
      <c r="S139" t="str">
        <f t="shared" si="9"/>
        <v>Pass</v>
      </c>
      <c r="T139" t="str">
        <f t="shared" si="10"/>
        <v>B</v>
      </c>
      <c r="U139">
        <f t="shared" si="11"/>
        <v>0</v>
      </c>
    </row>
    <row r="140" spans="1:21">
      <c r="A140" t="s">
        <v>673</v>
      </c>
      <c r="B140" t="s">
        <v>187</v>
      </c>
      <c r="C140" t="s">
        <v>674</v>
      </c>
      <c r="D140" t="s">
        <v>71</v>
      </c>
      <c r="E140" t="s">
        <v>72</v>
      </c>
      <c r="F140" t="s">
        <v>53</v>
      </c>
      <c r="G140" s="5">
        <v>45955</v>
      </c>
      <c r="H140" s="5">
        <v>46061</v>
      </c>
      <c r="I140" s="3">
        <v>99</v>
      </c>
      <c r="J140" s="4">
        <v>3.82</v>
      </c>
      <c r="K140" s="3">
        <v>71</v>
      </c>
      <c r="L140" s="3">
        <v>60</v>
      </c>
      <c r="M140" s="3">
        <v>45</v>
      </c>
      <c r="N140" t="s">
        <v>23</v>
      </c>
      <c r="O140" t="s">
        <v>675</v>
      </c>
      <c r="P140" s="4" t="s">
        <v>676</v>
      </c>
      <c r="Q140" t="s">
        <v>677</v>
      </c>
      <c r="R140" s="8">
        <f t="shared" si="8"/>
        <v>176</v>
      </c>
      <c r="S140" t="str">
        <f t="shared" si="9"/>
        <v>Pass</v>
      </c>
      <c r="T140" t="str">
        <f t="shared" si="10"/>
        <v>B</v>
      </c>
      <c r="U140">
        <f t="shared" si="11"/>
        <v>0</v>
      </c>
    </row>
    <row r="141" spans="1:21">
      <c r="A141" t="s">
        <v>678</v>
      </c>
      <c r="B141" t="s">
        <v>679</v>
      </c>
      <c r="C141" t="s">
        <v>19</v>
      </c>
      <c r="D141" t="s">
        <v>43</v>
      </c>
      <c r="E141" t="s">
        <v>44</v>
      </c>
      <c r="F141" t="s">
        <v>111</v>
      </c>
      <c r="G141" s="5">
        <v>45982</v>
      </c>
      <c r="H141" s="5">
        <v>46096</v>
      </c>
      <c r="I141" s="3">
        <v>100</v>
      </c>
      <c r="J141" s="4">
        <v>1.94</v>
      </c>
      <c r="K141" s="3">
        <v>74</v>
      </c>
      <c r="L141" s="3">
        <v>72</v>
      </c>
      <c r="M141" s="3">
        <v>68</v>
      </c>
      <c r="N141" t="s">
        <v>78</v>
      </c>
      <c r="O141" t="s">
        <v>680</v>
      </c>
      <c r="P141" s="4" t="s">
        <v>681</v>
      </c>
      <c r="Q141" t="s">
        <v>682</v>
      </c>
      <c r="R141" s="8">
        <f t="shared" si="8"/>
        <v>214</v>
      </c>
      <c r="S141" t="str">
        <f t="shared" si="9"/>
        <v>Pass</v>
      </c>
      <c r="T141" t="str">
        <f t="shared" si="10"/>
        <v>A</v>
      </c>
      <c r="U141">
        <f t="shared" si="11"/>
        <v>0</v>
      </c>
    </row>
    <row r="142" spans="1:21">
      <c r="A142" t="s">
        <v>683</v>
      </c>
      <c r="B142" t="s">
        <v>569</v>
      </c>
      <c r="C142" t="s">
        <v>29</v>
      </c>
      <c r="D142" t="s">
        <v>43</v>
      </c>
      <c r="E142" t="s">
        <v>44</v>
      </c>
      <c r="F142" t="s">
        <v>22</v>
      </c>
      <c r="G142" s="5">
        <v>45936</v>
      </c>
      <c r="H142" s="5">
        <v>46036</v>
      </c>
      <c r="I142" s="3">
        <v>86</v>
      </c>
      <c r="J142" s="4">
        <v>1.86</v>
      </c>
      <c r="K142" s="3">
        <v>75</v>
      </c>
      <c r="L142" s="3">
        <v>82</v>
      </c>
      <c r="M142" s="3">
        <v>89</v>
      </c>
      <c r="N142" t="s">
        <v>32</v>
      </c>
      <c r="O142" t="s">
        <v>684</v>
      </c>
      <c r="P142" s="4" t="s">
        <v>685</v>
      </c>
      <c r="Q142" t="s">
        <v>686</v>
      </c>
      <c r="R142" s="8">
        <f t="shared" si="8"/>
        <v>246</v>
      </c>
      <c r="S142" t="str">
        <f t="shared" si="9"/>
        <v>Pass</v>
      </c>
      <c r="T142" t="str">
        <f t="shared" si="10"/>
        <v>A</v>
      </c>
      <c r="U142">
        <f t="shared" si="11"/>
        <v>0</v>
      </c>
    </row>
    <row r="143" spans="1:21">
      <c r="A143" t="s">
        <v>687</v>
      </c>
      <c r="B143" t="s">
        <v>688</v>
      </c>
      <c r="C143" t="s">
        <v>29</v>
      </c>
      <c r="D143" t="s">
        <v>43</v>
      </c>
      <c r="E143" t="s">
        <v>44</v>
      </c>
      <c r="F143" t="s">
        <v>689</v>
      </c>
      <c r="G143" s="5">
        <v>46002</v>
      </c>
      <c r="H143" s="5">
        <v>46133</v>
      </c>
      <c r="I143" s="3">
        <v>88</v>
      </c>
      <c r="J143" s="4">
        <v>4.8</v>
      </c>
      <c r="K143" s="3">
        <v>66</v>
      </c>
      <c r="L143" s="3">
        <v>44</v>
      </c>
      <c r="M143" s="3">
        <v>46</v>
      </c>
      <c r="N143" t="s">
        <v>78</v>
      </c>
      <c r="O143" t="s">
        <v>690</v>
      </c>
      <c r="P143" s="4" t="s">
        <v>691</v>
      </c>
      <c r="Q143" t="s">
        <v>692</v>
      </c>
      <c r="R143" s="8">
        <f t="shared" si="8"/>
        <v>156</v>
      </c>
      <c r="S143" t="str">
        <f t="shared" si="9"/>
        <v>Pass</v>
      </c>
      <c r="T143" t="str">
        <f t="shared" si="10"/>
        <v>B</v>
      </c>
      <c r="U143">
        <f t="shared" si="11"/>
        <v>0</v>
      </c>
    </row>
    <row r="144" spans="1:21">
      <c r="A144" t="s">
        <v>693</v>
      </c>
      <c r="B144" t="s">
        <v>420</v>
      </c>
      <c r="C144" t="s">
        <v>19</v>
      </c>
      <c r="D144" t="s">
        <v>71</v>
      </c>
      <c r="E144" t="s">
        <v>72</v>
      </c>
      <c r="F144" t="s">
        <v>45</v>
      </c>
      <c r="G144" s="5">
        <v>45989</v>
      </c>
      <c r="H144" s="5">
        <v>46075</v>
      </c>
      <c r="I144" s="3">
        <v>90</v>
      </c>
      <c r="J144" s="4">
        <v>3.21</v>
      </c>
      <c r="K144" s="3">
        <v>51</v>
      </c>
      <c r="L144" s="3">
        <v>51</v>
      </c>
      <c r="M144" s="3">
        <v>85</v>
      </c>
      <c r="N144" t="s">
        <v>23</v>
      </c>
      <c r="O144" t="s">
        <v>694</v>
      </c>
      <c r="P144" s="4" t="s">
        <v>695</v>
      </c>
      <c r="Q144" t="s">
        <v>696</v>
      </c>
      <c r="R144" s="8">
        <f t="shared" si="8"/>
        <v>187</v>
      </c>
      <c r="S144" t="str">
        <f t="shared" si="9"/>
        <v>Pass</v>
      </c>
      <c r="T144" t="str">
        <f t="shared" si="10"/>
        <v>B</v>
      </c>
      <c r="U144">
        <f t="shared" si="11"/>
        <v>0</v>
      </c>
    </row>
    <row r="145" spans="1:21">
      <c r="A145" t="s">
        <v>697</v>
      </c>
      <c r="B145" t="s">
        <v>698</v>
      </c>
      <c r="C145" t="s">
        <v>29</v>
      </c>
      <c r="D145" t="s">
        <v>71</v>
      </c>
      <c r="E145" t="s">
        <v>72</v>
      </c>
      <c r="F145" t="s">
        <v>84</v>
      </c>
      <c r="G145" s="5">
        <v>46058</v>
      </c>
      <c r="H145" s="5">
        <v>46196</v>
      </c>
      <c r="I145" s="3">
        <v>60</v>
      </c>
      <c r="J145" s="4">
        <v>2.91</v>
      </c>
      <c r="K145" s="3">
        <v>50</v>
      </c>
      <c r="L145" s="3">
        <v>54</v>
      </c>
      <c r="M145" s="3">
        <v>51</v>
      </c>
      <c r="N145" t="s">
        <v>23</v>
      </c>
      <c r="O145" t="s">
        <v>699</v>
      </c>
      <c r="P145" s="4" t="s">
        <v>700</v>
      </c>
      <c r="Q145" t="s">
        <v>701</v>
      </c>
      <c r="R145" s="8">
        <f t="shared" si="8"/>
        <v>155</v>
      </c>
      <c r="S145" t="str">
        <f t="shared" si="9"/>
        <v>Pass</v>
      </c>
      <c r="T145" t="str">
        <f t="shared" si="10"/>
        <v>B</v>
      </c>
      <c r="U145">
        <f t="shared" si="11"/>
        <v>0</v>
      </c>
    </row>
    <row r="146" spans="1:21">
      <c r="A146" t="s">
        <v>702</v>
      </c>
      <c r="B146" t="s">
        <v>703</v>
      </c>
      <c r="C146" t="s">
        <v>29</v>
      </c>
      <c r="D146" t="s">
        <v>43</v>
      </c>
      <c r="E146" t="s">
        <v>44</v>
      </c>
      <c r="F146" t="s">
        <v>193</v>
      </c>
      <c r="G146" s="5">
        <v>45912</v>
      </c>
      <c r="H146" s="5">
        <v>46015</v>
      </c>
      <c r="I146" s="3">
        <v>96</v>
      </c>
      <c r="J146" s="4">
        <v>2.2599999999999998</v>
      </c>
      <c r="K146" s="3">
        <v>76</v>
      </c>
      <c r="L146" s="3">
        <v>88</v>
      </c>
      <c r="M146" s="3">
        <v>33</v>
      </c>
      <c r="N146" t="s">
        <v>23</v>
      </c>
      <c r="P146" s="4" t="s">
        <v>704</v>
      </c>
      <c r="Q146" t="s">
        <v>705</v>
      </c>
      <c r="R146" s="8">
        <f t="shared" si="8"/>
        <v>197</v>
      </c>
      <c r="S146" t="str">
        <f t="shared" si="9"/>
        <v>Pass</v>
      </c>
      <c r="T146" t="str">
        <f t="shared" si="10"/>
        <v>B</v>
      </c>
      <c r="U146">
        <f t="shared" si="11"/>
        <v>0</v>
      </c>
    </row>
    <row r="147" spans="1:21">
      <c r="A147" t="s">
        <v>706</v>
      </c>
      <c r="B147" t="s">
        <v>308</v>
      </c>
      <c r="C147" t="s">
        <v>19</v>
      </c>
      <c r="D147" t="s">
        <v>59</v>
      </c>
      <c r="E147" t="s">
        <v>60</v>
      </c>
      <c r="F147" t="s">
        <v>22</v>
      </c>
      <c r="G147" s="5">
        <v>46076</v>
      </c>
      <c r="H147" s="5">
        <v>46197</v>
      </c>
      <c r="I147" s="3">
        <v>74</v>
      </c>
      <c r="J147" s="4">
        <v>2.8</v>
      </c>
      <c r="K147" s="3">
        <v>84</v>
      </c>
      <c r="L147" s="3">
        <v>42</v>
      </c>
      <c r="M147" s="3">
        <v>50</v>
      </c>
      <c r="N147" t="s">
        <v>707</v>
      </c>
      <c r="O147" t="s">
        <v>708</v>
      </c>
      <c r="P147" s="4" t="s">
        <v>709</v>
      </c>
      <c r="Q147" t="s">
        <v>710</v>
      </c>
      <c r="R147" s="8">
        <f t="shared" si="8"/>
        <v>176</v>
      </c>
      <c r="S147" t="str">
        <f t="shared" si="9"/>
        <v>Pass</v>
      </c>
      <c r="T147" t="str">
        <f t="shared" si="10"/>
        <v>B</v>
      </c>
      <c r="U147">
        <f t="shared" si="11"/>
        <v>0</v>
      </c>
    </row>
    <row r="148" spans="1:21">
      <c r="A148" t="s">
        <v>711</v>
      </c>
      <c r="B148" t="s">
        <v>712</v>
      </c>
      <c r="C148" t="s">
        <v>19</v>
      </c>
      <c r="D148" t="s">
        <v>30</v>
      </c>
      <c r="E148" t="s">
        <v>31</v>
      </c>
      <c r="F148" t="s">
        <v>22</v>
      </c>
      <c r="G148" s="5">
        <v>45981</v>
      </c>
      <c r="H148" s="5">
        <v>46091</v>
      </c>
      <c r="I148" s="3">
        <v>77</v>
      </c>
      <c r="J148" s="4">
        <v>3.95</v>
      </c>
      <c r="K148" s="3">
        <v>48</v>
      </c>
      <c r="L148" s="3">
        <v>82</v>
      </c>
      <c r="M148" s="3">
        <v>95</v>
      </c>
      <c r="N148" t="s">
        <v>23</v>
      </c>
      <c r="O148" t="s">
        <v>713</v>
      </c>
      <c r="P148" s="4" t="s">
        <v>714</v>
      </c>
      <c r="Q148" t="s">
        <v>715</v>
      </c>
      <c r="R148" s="8">
        <f t="shared" si="8"/>
        <v>225</v>
      </c>
      <c r="S148" t="str">
        <f t="shared" si="9"/>
        <v>Pass</v>
      </c>
      <c r="T148" t="str">
        <f t="shared" si="10"/>
        <v>A</v>
      </c>
      <c r="U148">
        <f t="shared" si="11"/>
        <v>0</v>
      </c>
    </row>
    <row r="149" spans="1:21">
      <c r="A149" t="s">
        <v>716</v>
      </c>
      <c r="B149" t="s">
        <v>717</v>
      </c>
      <c r="C149" t="s">
        <v>29</v>
      </c>
      <c r="D149" t="s">
        <v>51</v>
      </c>
      <c r="E149" t="s">
        <v>52</v>
      </c>
      <c r="F149" t="s">
        <v>53</v>
      </c>
      <c r="G149" s="5">
        <v>45964</v>
      </c>
      <c r="H149" s="5">
        <v>46052</v>
      </c>
      <c r="I149" s="3">
        <v>61</v>
      </c>
      <c r="J149" s="4">
        <v>1.91</v>
      </c>
      <c r="K149" s="3">
        <v>100</v>
      </c>
      <c r="L149" s="3">
        <v>84</v>
      </c>
      <c r="M149" s="3">
        <v>83</v>
      </c>
      <c r="N149" t="s">
        <v>23</v>
      </c>
      <c r="O149" t="s">
        <v>718</v>
      </c>
      <c r="P149" s="4" t="s">
        <v>719</v>
      </c>
      <c r="Q149" t="s">
        <v>720</v>
      </c>
      <c r="R149" s="8">
        <f t="shared" si="8"/>
        <v>267</v>
      </c>
      <c r="S149" t="str">
        <f t="shared" si="9"/>
        <v>Pass</v>
      </c>
      <c r="T149" t="str">
        <f t="shared" si="10"/>
        <v>A</v>
      </c>
      <c r="U149">
        <f t="shared" si="11"/>
        <v>0</v>
      </c>
    </row>
    <row r="150" spans="1:21">
      <c r="A150" t="s">
        <v>721</v>
      </c>
      <c r="B150" t="s">
        <v>703</v>
      </c>
      <c r="C150" t="s">
        <v>19</v>
      </c>
      <c r="D150" t="s">
        <v>20</v>
      </c>
      <c r="E150" t="s">
        <v>21</v>
      </c>
      <c r="F150" t="s">
        <v>22</v>
      </c>
      <c r="G150" s="5">
        <v>46028</v>
      </c>
      <c r="H150" s="5">
        <v>46163</v>
      </c>
      <c r="I150" s="3">
        <v>84</v>
      </c>
      <c r="J150" s="4">
        <v>2.9</v>
      </c>
      <c r="K150" s="3">
        <v>59</v>
      </c>
      <c r="L150" s="3">
        <v>98</v>
      </c>
      <c r="M150" s="3">
        <v>32</v>
      </c>
      <c r="N150" t="s">
        <v>23</v>
      </c>
      <c r="O150" t="s">
        <v>722</v>
      </c>
      <c r="P150" s="4" t="s">
        <v>723</v>
      </c>
      <c r="Q150" t="s">
        <v>724</v>
      </c>
      <c r="R150" s="8">
        <f t="shared" si="8"/>
        <v>189</v>
      </c>
      <c r="S150" t="str">
        <f t="shared" si="9"/>
        <v>Pass</v>
      </c>
      <c r="T150" t="str">
        <f t="shared" si="10"/>
        <v>B</v>
      </c>
      <c r="U150">
        <f t="shared" si="11"/>
        <v>0</v>
      </c>
    </row>
    <row r="151" spans="1:21">
      <c r="A151" t="s">
        <v>725</v>
      </c>
      <c r="B151" t="s">
        <v>726</v>
      </c>
      <c r="C151" t="s">
        <v>29</v>
      </c>
      <c r="D151" t="s">
        <v>20</v>
      </c>
      <c r="E151" t="s">
        <v>21</v>
      </c>
      <c r="F151" t="s">
        <v>45</v>
      </c>
      <c r="G151" s="5">
        <v>45991</v>
      </c>
      <c r="H151" s="5">
        <v>46067</v>
      </c>
      <c r="I151" s="3">
        <v>58</v>
      </c>
      <c r="J151" s="4">
        <v>2.42</v>
      </c>
      <c r="K151" s="3">
        <v>78</v>
      </c>
      <c r="L151" s="3">
        <v>95</v>
      </c>
      <c r="M151" s="3">
        <v>66</v>
      </c>
      <c r="N151" t="s">
        <v>23</v>
      </c>
      <c r="O151" t="s">
        <v>727</v>
      </c>
      <c r="P151" s="4" t="s">
        <v>728</v>
      </c>
      <c r="Q151" t="s">
        <v>729</v>
      </c>
      <c r="R151" s="8">
        <f t="shared" si="8"/>
        <v>239</v>
      </c>
      <c r="S151" t="str">
        <f t="shared" si="9"/>
        <v>Pass</v>
      </c>
      <c r="T151" t="str">
        <f t="shared" si="10"/>
        <v>A</v>
      </c>
      <c r="U151">
        <f t="shared" si="11"/>
        <v>0</v>
      </c>
    </row>
    <row r="152" spans="1:21">
      <c r="A152" t="s">
        <v>730</v>
      </c>
      <c r="B152" t="s">
        <v>731</v>
      </c>
      <c r="C152" t="s">
        <v>19</v>
      </c>
      <c r="D152" t="s">
        <v>71</v>
      </c>
      <c r="E152" t="s">
        <v>72</v>
      </c>
      <c r="F152" t="s">
        <v>84</v>
      </c>
      <c r="G152" s="5">
        <v>46004</v>
      </c>
      <c r="H152" s="5">
        <v>46120</v>
      </c>
      <c r="I152" s="3">
        <v>57</v>
      </c>
      <c r="J152" s="4">
        <v>2.68</v>
      </c>
      <c r="K152" s="3">
        <v>76</v>
      </c>
      <c r="L152" s="3">
        <v>59</v>
      </c>
      <c r="M152" s="3">
        <v>76</v>
      </c>
      <c r="N152" t="s">
        <v>23</v>
      </c>
      <c r="O152" t="s">
        <v>732</v>
      </c>
      <c r="P152" s="4" t="s">
        <v>733</v>
      </c>
      <c r="Q152" t="s">
        <v>734</v>
      </c>
      <c r="R152" s="8">
        <f t="shared" si="8"/>
        <v>211</v>
      </c>
      <c r="S152" t="str">
        <f t="shared" si="9"/>
        <v>Pass</v>
      </c>
      <c r="T152" t="str">
        <f t="shared" si="10"/>
        <v>A</v>
      </c>
      <c r="U152">
        <f t="shared" si="11"/>
        <v>0</v>
      </c>
    </row>
    <row r="153" spans="1:21">
      <c r="A153" t="s">
        <v>735</v>
      </c>
      <c r="B153" t="s">
        <v>736</v>
      </c>
      <c r="C153" t="s">
        <v>19</v>
      </c>
      <c r="D153" t="s">
        <v>30</v>
      </c>
      <c r="E153" t="s">
        <v>31</v>
      </c>
      <c r="F153" t="s">
        <v>84</v>
      </c>
      <c r="G153" s="5">
        <v>46060</v>
      </c>
      <c r="H153" s="5">
        <v>46145</v>
      </c>
      <c r="I153" s="3">
        <v>63</v>
      </c>
      <c r="J153" s="4">
        <v>3.95</v>
      </c>
      <c r="K153" s="3">
        <v>65</v>
      </c>
      <c r="L153" s="3">
        <v>82</v>
      </c>
      <c r="M153" s="3">
        <v>73</v>
      </c>
      <c r="N153" t="s">
        <v>23</v>
      </c>
      <c r="O153" t="s">
        <v>737</v>
      </c>
      <c r="P153" s="4" t="s">
        <v>738</v>
      </c>
      <c r="Q153" t="s">
        <v>739</v>
      </c>
      <c r="R153" s="8">
        <f t="shared" si="8"/>
        <v>220</v>
      </c>
      <c r="S153" t="str">
        <f t="shared" si="9"/>
        <v>Pass</v>
      </c>
      <c r="T153" t="str">
        <f t="shared" si="10"/>
        <v>A</v>
      </c>
      <c r="U153">
        <f t="shared" si="11"/>
        <v>0</v>
      </c>
    </row>
    <row r="154" spans="1:21">
      <c r="A154" t="s">
        <v>740</v>
      </c>
      <c r="B154" t="s">
        <v>741</v>
      </c>
      <c r="C154" t="s">
        <v>19</v>
      </c>
      <c r="D154" t="s">
        <v>30</v>
      </c>
      <c r="E154" t="s">
        <v>31</v>
      </c>
      <c r="F154" t="s">
        <v>84</v>
      </c>
      <c r="G154" s="5">
        <v>45942</v>
      </c>
      <c r="H154" s="5">
        <v>46062</v>
      </c>
      <c r="I154" s="3">
        <v>94</v>
      </c>
      <c r="J154" s="4">
        <v>3.43</v>
      </c>
      <c r="K154" s="3">
        <v>59</v>
      </c>
      <c r="L154" s="3">
        <v>78</v>
      </c>
      <c r="M154" s="3">
        <v>94</v>
      </c>
      <c r="N154" t="s">
        <v>32</v>
      </c>
      <c r="O154" t="s">
        <v>742</v>
      </c>
      <c r="P154" s="4" t="s">
        <v>743</v>
      </c>
      <c r="Q154" t="s">
        <v>744</v>
      </c>
      <c r="R154" s="8">
        <f t="shared" si="8"/>
        <v>231</v>
      </c>
      <c r="S154" t="str">
        <f t="shared" si="9"/>
        <v>Pass</v>
      </c>
      <c r="T154" t="str">
        <f t="shared" si="10"/>
        <v>A</v>
      </c>
      <c r="U154">
        <f t="shared" si="11"/>
        <v>0</v>
      </c>
    </row>
    <row r="155" spans="1:21">
      <c r="A155" t="s">
        <v>745</v>
      </c>
      <c r="B155" t="s">
        <v>746</v>
      </c>
      <c r="C155" t="s">
        <v>19</v>
      </c>
      <c r="D155" t="s">
        <v>59</v>
      </c>
      <c r="E155" t="s">
        <v>60</v>
      </c>
      <c r="F155" t="s">
        <v>193</v>
      </c>
      <c r="G155" s="5">
        <v>45995</v>
      </c>
      <c r="H155" s="5">
        <v>46107</v>
      </c>
      <c r="I155" s="3">
        <v>98</v>
      </c>
      <c r="J155" s="4">
        <v>2.04</v>
      </c>
      <c r="K155" s="3">
        <v>66</v>
      </c>
      <c r="L155" s="3">
        <v>74</v>
      </c>
      <c r="M155" s="3">
        <v>33</v>
      </c>
      <c r="N155" t="s">
        <v>23</v>
      </c>
      <c r="O155" t="s">
        <v>747</v>
      </c>
      <c r="P155" s="4" t="s">
        <v>748</v>
      </c>
      <c r="Q155" t="s">
        <v>749</v>
      </c>
      <c r="R155" s="8">
        <f t="shared" si="8"/>
        <v>173</v>
      </c>
      <c r="S155" t="str">
        <f t="shared" si="9"/>
        <v>Pass</v>
      </c>
      <c r="T155" t="str">
        <f t="shared" si="10"/>
        <v>B</v>
      </c>
      <c r="U155">
        <f t="shared" si="11"/>
        <v>0</v>
      </c>
    </row>
    <row r="156" spans="1:21">
      <c r="A156" t="s">
        <v>750</v>
      </c>
      <c r="B156" t="s">
        <v>751</v>
      </c>
      <c r="C156" t="s">
        <v>29</v>
      </c>
      <c r="D156" t="s">
        <v>71</v>
      </c>
      <c r="E156" t="s">
        <v>72</v>
      </c>
      <c r="F156" t="s">
        <v>193</v>
      </c>
      <c r="G156" s="5">
        <v>46050</v>
      </c>
      <c r="H156" s="5">
        <v>46181</v>
      </c>
      <c r="I156" s="3">
        <v>65</v>
      </c>
      <c r="J156" s="4">
        <v>2.95</v>
      </c>
      <c r="K156" s="3">
        <v>86</v>
      </c>
      <c r="L156" s="3">
        <v>83</v>
      </c>
      <c r="M156" s="3">
        <v>48</v>
      </c>
      <c r="N156" t="s">
        <v>32</v>
      </c>
      <c r="O156" t="s">
        <v>752</v>
      </c>
      <c r="P156" s="4" t="s">
        <v>753</v>
      </c>
      <c r="Q156" t="s">
        <v>754</v>
      </c>
      <c r="R156" s="8">
        <f t="shared" si="8"/>
        <v>217</v>
      </c>
      <c r="S156" t="str">
        <f t="shared" si="9"/>
        <v>Pass</v>
      </c>
      <c r="T156" t="str">
        <f t="shared" si="10"/>
        <v>A</v>
      </c>
      <c r="U156">
        <f t="shared" si="11"/>
        <v>0</v>
      </c>
    </row>
    <row r="157" spans="1:21">
      <c r="A157" t="s">
        <v>755</v>
      </c>
      <c r="B157" t="s">
        <v>756</v>
      </c>
      <c r="C157" t="s">
        <v>29</v>
      </c>
      <c r="D157" t="s">
        <v>20</v>
      </c>
      <c r="E157" t="s">
        <v>21</v>
      </c>
      <c r="F157" t="s">
        <v>193</v>
      </c>
      <c r="G157" s="5">
        <v>46013</v>
      </c>
      <c r="H157" s="5">
        <v>46123</v>
      </c>
      <c r="I157" s="3">
        <v>81</v>
      </c>
      <c r="J157" s="4">
        <v>2.13</v>
      </c>
      <c r="K157" s="3">
        <v>84</v>
      </c>
      <c r="L157" s="3">
        <v>61</v>
      </c>
      <c r="M157" s="3">
        <v>82</v>
      </c>
      <c r="N157" t="s">
        <v>23</v>
      </c>
      <c r="O157" t="s">
        <v>757</v>
      </c>
      <c r="P157" s="4" t="s">
        <v>758</v>
      </c>
      <c r="Q157" t="s">
        <v>759</v>
      </c>
      <c r="R157" s="8">
        <f t="shared" si="8"/>
        <v>227</v>
      </c>
      <c r="S157" t="str">
        <f t="shared" si="9"/>
        <v>Pass</v>
      </c>
      <c r="T157" t="str">
        <f t="shared" si="10"/>
        <v>A</v>
      </c>
      <c r="U157">
        <f t="shared" si="11"/>
        <v>0</v>
      </c>
    </row>
    <row r="158" spans="1:21">
      <c r="A158" t="s">
        <v>760</v>
      </c>
      <c r="B158" t="s">
        <v>629</v>
      </c>
      <c r="C158" t="s">
        <v>29</v>
      </c>
      <c r="D158" t="s">
        <v>30</v>
      </c>
      <c r="E158" t="s">
        <v>31</v>
      </c>
      <c r="F158" t="s">
        <v>22</v>
      </c>
      <c r="G158" s="5">
        <v>46044</v>
      </c>
      <c r="H158" s="5">
        <v>46155</v>
      </c>
      <c r="I158" s="3">
        <v>97</v>
      </c>
      <c r="J158" s="4">
        <v>2.85</v>
      </c>
      <c r="K158" s="3">
        <v>64</v>
      </c>
      <c r="L158" s="3">
        <v>75</v>
      </c>
      <c r="M158" s="3">
        <v>52</v>
      </c>
      <c r="N158" t="s">
        <v>23</v>
      </c>
      <c r="O158" t="s">
        <v>761</v>
      </c>
      <c r="P158" s="4" t="s">
        <v>762</v>
      </c>
      <c r="Q158" t="s">
        <v>763</v>
      </c>
      <c r="R158" s="8">
        <f t="shared" si="8"/>
        <v>191</v>
      </c>
      <c r="S158" t="str">
        <f t="shared" si="9"/>
        <v>Pass</v>
      </c>
      <c r="T158" t="str">
        <f t="shared" si="10"/>
        <v>B</v>
      </c>
      <c r="U158">
        <f t="shared" si="11"/>
        <v>0</v>
      </c>
    </row>
    <row r="159" spans="1:21">
      <c r="A159" t="s">
        <v>764</v>
      </c>
      <c r="B159" t="s">
        <v>765</v>
      </c>
      <c r="C159" t="s">
        <v>19</v>
      </c>
      <c r="D159" t="s">
        <v>71</v>
      </c>
      <c r="E159" t="s">
        <v>72</v>
      </c>
      <c r="F159" t="s">
        <v>111</v>
      </c>
      <c r="G159" s="5">
        <v>46075</v>
      </c>
      <c r="H159" s="5">
        <v>46178</v>
      </c>
      <c r="I159" s="3">
        <v>94</v>
      </c>
      <c r="J159" s="4">
        <v>2.87</v>
      </c>
      <c r="K159" s="3">
        <v>55</v>
      </c>
      <c r="L159" s="3">
        <v>70</v>
      </c>
      <c r="M159" s="3">
        <v>68</v>
      </c>
      <c r="N159" t="s">
        <v>23</v>
      </c>
      <c r="O159" t="s">
        <v>766</v>
      </c>
      <c r="P159" s="4" t="s">
        <v>767</v>
      </c>
      <c r="Q159" t="s">
        <v>768</v>
      </c>
      <c r="R159" s="8">
        <f t="shared" si="8"/>
        <v>193</v>
      </c>
      <c r="S159" t="str">
        <f t="shared" si="9"/>
        <v>Pass</v>
      </c>
      <c r="T159" t="str">
        <f t="shared" si="10"/>
        <v>B</v>
      </c>
      <c r="U159">
        <f t="shared" si="11"/>
        <v>0</v>
      </c>
    </row>
    <row r="160" spans="1:21">
      <c r="A160" t="s">
        <v>769</v>
      </c>
      <c r="B160" t="s">
        <v>770</v>
      </c>
      <c r="C160" t="s">
        <v>19</v>
      </c>
      <c r="D160" t="s">
        <v>51</v>
      </c>
      <c r="E160" t="s">
        <v>52</v>
      </c>
      <c r="F160" t="s">
        <v>53</v>
      </c>
      <c r="G160" s="5">
        <v>45990</v>
      </c>
      <c r="H160" s="5">
        <v>46095</v>
      </c>
      <c r="I160" s="3">
        <v>73</v>
      </c>
      <c r="J160" s="4">
        <v>2.0699999999999998</v>
      </c>
      <c r="K160" s="3">
        <v>83</v>
      </c>
      <c r="L160" s="3">
        <v>83</v>
      </c>
      <c r="M160" s="3">
        <v>80</v>
      </c>
      <c r="N160" t="s">
        <v>32</v>
      </c>
      <c r="O160" t="s">
        <v>771</v>
      </c>
      <c r="P160" s="4" t="s">
        <v>772</v>
      </c>
      <c r="Q160" t="s">
        <v>773</v>
      </c>
      <c r="R160" s="8">
        <f t="shared" si="8"/>
        <v>246</v>
      </c>
      <c r="S160" t="str">
        <f t="shared" si="9"/>
        <v>Pass</v>
      </c>
      <c r="T160" t="str">
        <f t="shared" si="10"/>
        <v>A</v>
      </c>
      <c r="U160">
        <f t="shared" si="11"/>
        <v>0</v>
      </c>
    </row>
    <row r="161" spans="1:21">
      <c r="A161" t="s">
        <v>774</v>
      </c>
      <c r="B161" t="s">
        <v>775</v>
      </c>
      <c r="C161" t="s">
        <v>19</v>
      </c>
      <c r="D161" t="s">
        <v>71</v>
      </c>
      <c r="E161" t="s">
        <v>72</v>
      </c>
      <c r="F161" t="s">
        <v>193</v>
      </c>
      <c r="G161" s="5">
        <v>45989</v>
      </c>
      <c r="H161" s="5">
        <v>46115</v>
      </c>
      <c r="I161" s="3">
        <v>96</v>
      </c>
      <c r="J161" s="4">
        <v>2.36</v>
      </c>
      <c r="K161" s="3">
        <v>70</v>
      </c>
      <c r="L161" s="3">
        <v>62</v>
      </c>
      <c r="M161" s="3">
        <v>55</v>
      </c>
      <c r="N161" t="s">
        <v>32</v>
      </c>
      <c r="O161" t="s">
        <v>776</v>
      </c>
      <c r="P161" s="4" t="s">
        <v>777</v>
      </c>
      <c r="Q161" t="s">
        <v>778</v>
      </c>
      <c r="R161" s="8">
        <f t="shared" si="8"/>
        <v>187</v>
      </c>
      <c r="S161" t="str">
        <f t="shared" si="9"/>
        <v>Pass</v>
      </c>
      <c r="T161" t="str">
        <f t="shared" si="10"/>
        <v>B</v>
      </c>
      <c r="U161">
        <f t="shared" si="11"/>
        <v>0</v>
      </c>
    </row>
    <row r="162" spans="1:21">
      <c r="A162" t="s">
        <v>779</v>
      </c>
      <c r="B162" t="s">
        <v>698</v>
      </c>
      <c r="C162" t="s">
        <v>29</v>
      </c>
      <c r="D162" t="s">
        <v>43</v>
      </c>
      <c r="E162" t="s">
        <v>44</v>
      </c>
      <c r="F162" t="s">
        <v>45</v>
      </c>
      <c r="G162" s="5">
        <v>46051</v>
      </c>
      <c r="H162" s="5">
        <v>46151</v>
      </c>
      <c r="I162" s="3">
        <v>70</v>
      </c>
      <c r="J162" s="4">
        <v>1.91</v>
      </c>
      <c r="K162" s="3">
        <v>97</v>
      </c>
      <c r="L162" s="3">
        <v>63</v>
      </c>
      <c r="M162" s="3">
        <v>59</v>
      </c>
      <c r="N162" t="s">
        <v>23</v>
      </c>
      <c r="O162" t="s">
        <v>780</v>
      </c>
      <c r="P162" s="4" t="s">
        <v>781</v>
      </c>
      <c r="Q162" t="s">
        <v>782</v>
      </c>
      <c r="R162" s="8">
        <f t="shared" si="8"/>
        <v>219</v>
      </c>
      <c r="S162" t="str">
        <f t="shared" si="9"/>
        <v>Pass</v>
      </c>
      <c r="T162" t="str">
        <f t="shared" si="10"/>
        <v>A</v>
      </c>
      <c r="U162">
        <f t="shared" si="11"/>
        <v>0</v>
      </c>
    </row>
    <row r="163" spans="1:21">
      <c r="A163" t="s">
        <v>783</v>
      </c>
      <c r="B163" t="s">
        <v>784</v>
      </c>
      <c r="C163" t="s">
        <v>29</v>
      </c>
      <c r="D163" t="s">
        <v>71</v>
      </c>
      <c r="E163" t="s">
        <v>785</v>
      </c>
      <c r="F163" t="s">
        <v>22</v>
      </c>
      <c r="G163" s="5">
        <v>45902</v>
      </c>
      <c r="H163" s="5">
        <v>46042</v>
      </c>
      <c r="I163" s="3">
        <v>65</v>
      </c>
      <c r="J163" s="4">
        <v>2.7</v>
      </c>
      <c r="K163" s="3">
        <v>99</v>
      </c>
      <c r="L163" s="3">
        <v>95</v>
      </c>
      <c r="M163" s="3">
        <v>91</v>
      </c>
      <c r="N163" t="s">
        <v>23</v>
      </c>
      <c r="O163" t="s">
        <v>786</v>
      </c>
      <c r="P163" s="4" t="s">
        <v>787</v>
      </c>
      <c r="Q163" t="s">
        <v>788</v>
      </c>
      <c r="R163" s="8">
        <f t="shared" si="8"/>
        <v>285</v>
      </c>
      <c r="S163" t="str">
        <f t="shared" si="9"/>
        <v>Pass</v>
      </c>
      <c r="T163" t="str">
        <f t="shared" si="10"/>
        <v>A</v>
      </c>
      <c r="U163">
        <f t="shared" si="11"/>
        <v>0</v>
      </c>
    </row>
    <row r="164" spans="1:21">
      <c r="A164" t="s">
        <v>789</v>
      </c>
      <c r="B164" t="s">
        <v>790</v>
      </c>
      <c r="C164" t="s">
        <v>29</v>
      </c>
      <c r="D164" t="s">
        <v>43</v>
      </c>
      <c r="E164" t="s">
        <v>44</v>
      </c>
      <c r="F164" t="s">
        <v>111</v>
      </c>
      <c r="G164" s="5">
        <v>46047</v>
      </c>
      <c r="H164" s="5">
        <v>46146</v>
      </c>
      <c r="I164" s="3">
        <v>89</v>
      </c>
      <c r="J164" s="4">
        <v>3.43</v>
      </c>
      <c r="K164" s="3">
        <v>94</v>
      </c>
      <c r="L164" s="3">
        <v>39</v>
      </c>
      <c r="M164" s="3">
        <v>52</v>
      </c>
      <c r="N164" t="s">
        <v>23</v>
      </c>
      <c r="O164" t="s">
        <v>791</v>
      </c>
      <c r="P164" s="4" t="s">
        <v>792</v>
      </c>
      <c r="Q164" t="s">
        <v>793</v>
      </c>
      <c r="R164" s="8">
        <f t="shared" si="8"/>
        <v>185</v>
      </c>
      <c r="S164" t="str">
        <f t="shared" si="9"/>
        <v>Pass</v>
      </c>
      <c r="T164" t="str">
        <f t="shared" si="10"/>
        <v>B</v>
      </c>
      <c r="U164">
        <f t="shared" si="11"/>
        <v>0</v>
      </c>
    </row>
    <row r="165" spans="1:21">
      <c r="A165" t="s">
        <v>794</v>
      </c>
      <c r="B165" t="s">
        <v>795</v>
      </c>
      <c r="C165" t="s">
        <v>19</v>
      </c>
      <c r="D165" t="s">
        <v>20</v>
      </c>
      <c r="E165" t="s">
        <v>21</v>
      </c>
      <c r="G165" s="5">
        <v>45975</v>
      </c>
      <c r="H165" s="5">
        <v>46049</v>
      </c>
      <c r="I165" s="3">
        <v>55</v>
      </c>
      <c r="J165" s="4">
        <v>2.46</v>
      </c>
      <c r="K165" s="3">
        <v>78</v>
      </c>
      <c r="L165" s="3">
        <v>48</v>
      </c>
      <c r="M165" s="3">
        <v>72</v>
      </c>
      <c r="N165" t="s">
        <v>23</v>
      </c>
      <c r="O165" t="s">
        <v>796</v>
      </c>
      <c r="P165" s="4" t="s">
        <v>797</v>
      </c>
      <c r="Q165" t="s">
        <v>798</v>
      </c>
      <c r="R165" s="8">
        <f t="shared" si="8"/>
        <v>198</v>
      </c>
      <c r="S165" t="str">
        <f t="shared" si="9"/>
        <v>Pass</v>
      </c>
      <c r="T165" t="str">
        <f t="shared" si="10"/>
        <v>B</v>
      </c>
      <c r="U165">
        <f t="shared" si="11"/>
        <v>0</v>
      </c>
    </row>
    <row r="166" spans="1:21">
      <c r="A166" t="s">
        <v>799</v>
      </c>
      <c r="B166" t="s">
        <v>800</v>
      </c>
      <c r="C166" t="s">
        <v>19</v>
      </c>
      <c r="D166" t="s">
        <v>20</v>
      </c>
      <c r="E166" t="s">
        <v>21</v>
      </c>
      <c r="F166" t="s">
        <v>45</v>
      </c>
      <c r="G166" s="5">
        <v>46020</v>
      </c>
      <c r="H166" s="5">
        <v>46124</v>
      </c>
      <c r="I166" s="3">
        <v>67</v>
      </c>
      <c r="J166" s="4">
        <v>3.58</v>
      </c>
      <c r="K166" s="3">
        <v>61</v>
      </c>
      <c r="L166" s="3">
        <v>55</v>
      </c>
      <c r="M166" s="3">
        <v>88</v>
      </c>
      <c r="N166" t="s">
        <v>23</v>
      </c>
      <c r="O166" t="s">
        <v>801</v>
      </c>
      <c r="P166" s="4" t="s">
        <v>802</v>
      </c>
      <c r="Q166" t="s">
        <v>803</v>
      </c>
      <c r="R166" s="8">
        <f t="shared" si="8"/>
        <v>204</v>
      </c>
      <c r="S166" t="str">
        <f t="shared" si="9"/>
        <v>Pass</v>
      </c>
      <c r="T166" t="str">
        <f t="shared" si="10"/>
        <v>A</v>
      </c>
      <c r="U166">
        <f t="shared" si="11"/>
        <v>0</v>
      </c>
    </row>
    <row r="167" spans="1:21">
      <c r="A167" t="s">
        <v>804</v>
      </c>
      <c r="B167" t="s">
        <v>805</v>
      </c>
      <c r="C167" t="s">
        <v>19</v>
      </c>
      <c r="D167" t="s">
        <v>30</v>
      </c>
      <c r="E167" t="s">
        <v>31</v>
      </c>
      <c r="F167" t="s">
        <v>111</v>
      </c>
      <c r="G167" s="5">
        <v>45950</v>
      </c>
      <c r="H167" s="5">
        <v>46042</v>
      </c>
      <c r="I167" s="3">
        <v>94</v>
      </c>
      <c r="J167" s="4">
        <v>3.68</v>
      </c>
      <c r="K167" s="3">
        <v>97</v>
      </c>
      <c r="L167" s="3">
        <v>86</v>
      </c>
      <c r="M167" s="3">
        <v>84</v>
      </c>
      <c r="N167" t="s">
        <v>23</v>
      </c>
      <c r="O167" t="s">
        <v>806</v>
      </c>
      <c r="P167" s="4" t="s">
        <v>807</v>
      </c>
      <c r="Q167" t="s">
        <v>808</v>
      </c>
      <c r="R167" s="8">
        <f t="shared" si="8"/>
        <v>267</v>
      </c>
      <c r="S167" t="str">
        <f t="shared" si="9"/>
        <v>Pass</v>
      </c>
      <c r="T167" t="str">
        <f t="shared" si="10"/>
        <v>A</v>
      </c>
      <c r="U167">
        <f t="shared" si="11"/>
        <v>0</v>
      </c>
    </row>
    <row r="168" spans="1:21">
      <c r="A168" t="s">
        <v>809</v>
      </c>
      <c r="B168" t="s">
        <v>141</v>
      </c>
      <c r="C168" t="s">
        <v>810</v>
      </c>
      <c r="D168" t="s">
        <v>20</v>
      </c>
      <c r="E168" t="s">
        <v>21</v>
      </c>
      <c r="F168" t="s">
        <v>53</v>
      </c>
      <c r="G168" s="5">
        <v>45983</v>
      </c>
      <c r="H168" s="5">
        <v>46084</v>
      </c>
      <c r="I168" s="3">
        <v>55</v>
      </c>
      <c r="J168" s="4">
        <v>2.37</v>
      </c>
      <c r="K168" s="3">
        <v>55</v>
      </c>
      <c r="L168" s="3">
        <v>92</v>
      </c>
      <c r="M168" s="3">
        <v>64</v>
      </c>
      <c r="N168" t="s">
        <v>78</v>
      </c>
      <c r="O168" t="s">
        <v>811</v>
      </c>
      <c r="P168" s="4" t="s">
        <v>812</v>
      </c>
      <c r="Q168" t="s">
        <v>813</v>
      </c>
      <c r="R168" s="8">
        <f t="shared" si="8"/>
        <v>211</v>
      </c>
      <c r="S168" t="str">
        <f t="shared" si="9"/>
        <v>Pass</v>
      </c>
      <c r="T168" t="str">
        <f t="shared" si="10"/>
        <v>A</v>
      </c>
      <c r="U168">
        <f t="shared" si="11"/>
        <v>0</v>
      </c>
    </row>
    <row r="169" spans="1:21">
      <c r="A169" t="s">
        <v>814</v>
      </c>
      <c r="B169" t="s">
        <v>751</v>
      </c>
      <c r="C169" t="s">
        <v>29</v>
      </c>
      <c r="D169" t="s">
        <v>51</v>
      </c>
      <c r="E169" t="s">
        <v>52</v>
      </c>
      <c r="F169" t="s">
        <v>111</v>
      </c>
      <c r="G169" s="5">
        <v>45993</v>
      </c>
      <c r="H169" s="5">
        <v>46093</v>
      </c>
      <c r="I169" s="3">
        <v>58</v>
      </c>
      <c r="J169" s="4">
        <v>3.27</v>
      </c>
      <c r="K169" s="3">
        <v>69</v>
      </c>
      <c r="L169" s="3">
        <v>74</v>
      </c>
      <c r="M169" s="3">
        <v>50</v>
      </c>
      <c r="N169" t="s">
        <v>23</v>
      </c>
      <c r="O169" t="s">
        <v>815</v>
      </c>
      <c r="P169" s="4" t="s">
        <v>816</v>
      </c>
      <c r="Q169" t="s">
        <v>817</v>
      </c>
      <c r="R169" s="8">
        <f t="shared" si="8"/>
        <v>193</v>
      </c>
      <c r="S169" t="str">
        <f t="shared" si="9"/>
        <v>Pass</v>
      </c>
      <c r="T169" t="str">
        <f t="shared" si="10"/>
        <v>B</v>
      </c>
      <c r="U169">
        <f t="shared" si="11"/>
        <v>0</v>
      </c>
    </row>
    <row r="170" spans="1:21">
      <c r="A170" t="s">
        <v>818</v>
      </c>
      <c r="B170" t="s">
        <v>819</v>
      </c>
      <c r="C170" t="s">
        <v>19</v>
      </c>
      <c r="D170" t="s">
        <v>820</v>
      </c>
      <c r="E170" t="s">
        <v>52</v>
      </c>
      <c r="F170" t="s">
        <v>45</v>
      </c>
      <c r="G170" s="5">
        <v>45957</v>
      </c>
      <c r="H170" s="5">
        <v>46055</v>
      </c>
      <c r="I170" s="3">
        <v>63</v>
      </c>
      <c r="J170" s="4">
        <v>2.85</v>
      </c>
      <c r="K170" s="3">
        <v>69</v>
      </c>
      <c r="L170" s="3">
        <v>82</v>
      </c>
      <c r="M170" s="3">
        <v>83</v>
      </c>
      <c r="N170" t="s">
        <v>23</v>
      </c>
      <c r="O170" t="s">
        <v>821</v>
      </c>
      <c r="P170" s="4" t="s">
        <v>822</v>
      </c>
      <c r="Q170" t="s">
        <v>823</v>
      </c>
      <c r="R170" s="8">
        <f t="shared" si="8"/>
        <v>234</v>
      </c>
      <c r="S170" t="str">
        <f t="shared" si="9"/>
        <v>Pass</v>
      </c>
      <c r="T170" t="str">
        <f t="shared" si="10"/>
        <v>A</v>
      </c>
      <c r="U170">
        <f t="shared" si="11"/>
        <v>0</v>
      </c>
    </row>
    <row r="171" spans="1:21">
      <c r="A171" t="s">
        <v>824</v>
      </c>
      <c r="B171" t="s">
        <v>825</v>
      </c>
      <c r="C171" t="s">
        <v>29</v>
      </c>
      <c r="D171" t="s">
        <v>71</v>
      </c>
      <c r="E171" t="s">
        <v>72</v>
      </c>
      <c r="F171" t="s">
        <v>111</v>
      </c>
      <c r="G171" s="5">
        <v>45921</v>
      </c>
      <c r="H171" s="5">
        <v>46058</v>
      </c>
      <c r="I171" s="3">
        <v>83</v>
      </c>
      <c r="J171" s="4">
        <v>2.96</v>
      </c>
      <c r="K171" s="3">
        <v>63</v>
      </c>
      <c r="L171" s="3">
        <v>44</v>
      </c>
      <c r="M171" s="3">
        <v>44</v>
      </c>
      <c r="N171" t="s">
        <v>23</v>
      </c>
      <c r="O171" t="s">
        <v>826</v>
      </c>
      <c r="P171" s="4" t="s">
        <v>827</v>
      </c>
      <c r="Q171" t="s">
        <v>828</v>
      </c>
      <c r="R171" s="8">
        <f t="shared" si="8"/>
        <v>151</v>
      </c>
      <c r="S171" t="str">
        <f t="shared" si="9"/>
        <v>Pass</v>
      </c>
      <c r="T171" t="str">
        <f t="shared" si="10"/>
        <v>B</v>
      </c>
      <c r="U171">
        <f t="shared" si="11"/>
        <v>0</v>
      </c>
    </row>
    <row r="172" spans="1:21">
      <c r="A172" t="s">
        <v>829</v>
      </c>
      <c r="B172" t="s">
        <v>830</v>
      </c>
      <c r="C172" t="s">
        <v>29</v>
      </c>
      <c r="D172" t="s">
        <v>20</v>
      </c>
      <c r="E172" t="s">
        <v>21</v>
      </c>
      <c r="F172" t="s">
        <v>84</v>
      </c>
      <c r="G172" s="5">
        <v>46034</v>
      </c>
      <c r="H172" s="5">
        <v>46160</v>
      </c>
      <c r="I172" s="3">
        <v>62</v>
      </c>
      <c r="J172" s="4">
        <v>3.3</v>
      </c>
      <c r="K172" s="3">
        <v>85</v>
      </c>
      <c r="L172" s="3">
        <v>97</v>
      </c>
      <c r="M172" s="3">
        <v>41</v>
      </c>
      <c r="N172" t="s">
        <v>78</v>
      </c>
      <c r="O172" t="s">
        <v>831</v>
      </c>
      <c r="P172" s="4" t="s">
        <v>832</v>
      </c>
      <c r="Q172" t="s">
        <v>833</v>
      </c>
      <c r="R172" s="8">
        <f t="shared" si="8"/>
        <v>223</v>
      </c>
      <c r="S172" t="str">
        <f t="shared" si="9"/>
        <v>Pass</v>
      </c>
      <c r="T172" t="str">
        <f t="shared" si="10"/>
        <v>A</v>
      </c>
      <c r="U172">
        <f t="shared" si="11"/>
        <v>0</v>
      </c>
    </row>
    <row r="173" spans="1:21">
      <c r="A173" t="s">
        <v>834</v>
      </c>
      <c r="B173" t="s">
        <v>835</v>
      </c>
      <c r="C173" t="s">
        <v>29</v>
      </c>
      <c r="D173" t="s">
        <v>43</v>
      </c>
      <c r="E173" t="s">
        <v>44</v>
      </c>
      <c r="F173" t="s">
        <v>53</v>
      </c>
      <c r="G173" s="5">
        <v>45989</v>
      </c>
      <c r="H173" s="5">
        <v>46067</v>
      </c>
      <c r="I173" s="3">
        <v>89</v>
      </c>
      <c r="J173" s="4">
        <v>3.99</v>
      </c>
      <c r="K173" s="3">
        <v>99</v>
      </c>
      <c r="L173" s="3">
        <v>43</v>
      </c>
      <c r="M173" s="3">
        <v>90</v>
      </c>
      <c r="N173" t="s">
        <v>23</v>
      </c>
      <c r="O173" t="s">
        <v>836</v>
      </c>
      <c r="P173" s="4" t="s">
        <v>837</v>
      </c>
      <c r="Q173" t="s">
        <v>838</v>
      </c>
      <c r="R173" s="8">
        <f t="shared" si="8"/>
        <v>232</v>
      </c>
      <c r="S173" t="str">
        <f t="shared" si="9"/>
        <v>Pass</v>
      </c>
      <c r="T173" t="str">
        <f t="shared" si="10"/>
        <v>A</v>
      </c>
      <c r="U173">
        <f t="shared" si="11"/>
        <v>0</v>
      </c>
    </row>
    <row r="174" spans="1:21">
      <c r="A174" t="s">
        <v>839</v>
      </c>
      <c r="B174" t="s">
        <v>840</v>
      </c>
      <c r="C174" t="s">
        <v>19</v>
      </c>
      <c r="D174" t="s">
        <v>51</v>
      </c>
      <c r="E174" t="s">
        <v>52</v>
      </c>
      <c r="F174" t="s">
        <v>53</v>
      </c>
      <c r="G174" s="5">
        <v>46015</v>
      </c>
      <c r="H174" s="5">
        <v>46133</v>
      </c>
      <c r="I174" s="3">
        <v>0</v>
      </c>
      <c r="J174" s="4">
        <v>1.98</v>
      </c>
      <c r="K174" s="3">
        <v>82</v>
      </c>
      <c r="L174" s="3">
        <v>52</v>
      </c>
      <c r="M174" s="3">
        <v>74</v>
      </c>
      <c r="N174" t="s">
        <v>23</v>
      </c>
      <c r="O174" t="s">
        <v>841</v>
      </c>
      <c r="P174" s="4" t="s">
        <v>842</v>
      </c>
      <c r="Q174" t="s">
        <v>843</v>
      </c>
      <c r="R174" s="8">
        <f t="shared" si="8"/>
        <v>208</v>
      </c>
      <c r="S174" t="str">
        <f t="shared" si="9"/>
        <v>Pass</v>
      </c>
      <c r="T174" t="str">
        <f t="shared" si="10"/>
        <v>A</v>
      </c>
      <c r="U174">
        <f t="shared" si="11"/>
        <v>0</v>
      </c>
    </row>
    <row r="175" spans="1:21">
      <c r="A175" t="s">
        <v>844</v>
      </c>
      <c r="B175" t="s">
        <v>845</v>
      </c>
      <c r="C175" t="s">
        <v>29</v>
      </c>
      <c r="D175" t="s">
        <v>71</v>
      </c>
      <c r="E175" t="s">
        <v>72</v>
      </c>
      <c r="F175" t="s">
        <v>22</v>
      </c>
      <c r="G175" s="5">
        <v>45901</v>
      </c>
      <c r="H175" s="5">
        <v>45973</v>
      </c>
      <c r="I175" s="3">
        <v>74</v>
      </c>
      <c r="J175" s="4">
        <v>2.82</v>
      </c>
      <c r="K175" s="3">
        <v>86</v>
      </c>
      <c r="L175" s="3">
        <v>89</v>
      </c>
      <c r="M175" s="3">
        <v>98</v>
      </c>
      <c r="N175" t="s">
        <v>23</v>
      </c>
      <c r="O175" t="s">
        <v>846</v>
      </c>
      <c r="P175" s="4" t="s">
        <v>847</v>
      </c>
      <c r="Q175" t="s">
        <v>848</v>
      </c>
      <c r="R175" s="8">
        <f t="shared" si="8"/>
        <v>273</v>
      </c>
      <c r="S175" t="str">
        <f t="shared" si="9"/>
        <v>Pass</v>
      </c>
      <c r="T175" t="str">
        <f t="shared" si="10"/>
        <v>A</v>
      </c>
      <c r="U175">
        <f t="shared" si="11"/>
        <v>0</v>
      </c>
    </row>
    <row r="176" spans="1:21">
      <c r="A176" t="s">
        <v>849</v>
      </c>
      <c r="B176" t="s">
        <v>717</v>
      </c>
      <c r="C176" t="s">
        <v>19</v>
      </c>
      <c r="D176" t="s">
        <v>20</v>
      </c>
      <c r="E176" t="s">
        <v>21</v>
      </c>
      <c r="F176" t="s">
        <v>84</v>
      </c>
      <c r="G176" s="5">
        <v>45949</v>
      </c>
      <c r="H176" s="5">
        <v>46033</v>
      </c>
      <c r="I176" s="3">
        <v>57</v>
      </c>
      <c r="J176" s="4">
        <v>3.58</v>
      </c>
      <c r="K176" s="3">
        <v>66</v>
      </c>
      <c r="L176" s="3">
        <v>37</v>
      </c>
      <c r="M176" s="3">
        <v>60</v>
      </c>
      <c r="N176" t="s">
        <v>23</v>
      </c>
      <c r="O176" t="s">
        <v>850</v>
      </c>
      <c r="P176" s="4" t="s">
        <v>851</v>
      </c>
      <c r="Q176" t="s">
        <v>852</v>
      </c>
      <c r="R176" s="8">
        <f t="shared" si="8"/>
        <v>163</v>
      </c>
      <c r="S176" t="str">
        <f t="shared" si="9"/>
        <v>Pass</v>
      </c>
      <c r="T176" t="str">
        <f t="shared" si="10"/>
        <v>B</v>
      </c>
      <c r="U176">
        <f t="shared" si="11"/>
        <v>0</v>
      </c>
    </row>
    <row r="177" spans="1:21">
      <c r="A177" t="s">
        <v>853</v>
      </c>
      <c r="B177" t="s">
        <v>343</v>
      </c>
      <c r="C177" t="s">
        <v>19</v>
      </c>
      <c r="D177" t="s">
        <v>30</v>
      </c>
      <c r="E177" t="s">
        <v>31</v>
      </c>
      <c r="F177" t="s">
        <v>111</v>
      </c>
      <c r="G177" s="5">
        <v>46081</v>
      </c>
      <c r="H177" s="5">
        <v>46157</v>
      </c>
      <c r="I177" s="3">
        <v>70</v>
      </c>
      <c r="J177" s="4">
        <v>3.43</v>
      </c>
      <c r="K177" s="3">
        <v>65</v>
      </c>
      <c r="L177" s="3">
        <v>91</v>
      </c>
      <c r="M177" s="3">
        <v>59</v>
      </c>
      <c r="N177" t="s">
        <v>23</v>
      </c>
      <c r="O177" t="s">
        <v>854</v>
      </c>
      <c r="P177" s="4" t="s">
        <v>855</v>
      </c>
      <c r="Q177" t="s">
        <v>856</v>
      </c>
      <c r="R177" s="8">
        <f t="shared" si="8"/>
        <v>215</v>
      </c>
      <c r="S177" t="str">
        <f t="shared" si="9"/>
        <v>Pass</v>
      </c>
      <c r="T177" t="str">
        <f t="shared" si="10"/>
        <v>A</v>
      </c>
      <c r="U177">
        <f t="shared" si="11"/>
        <v>0</v>
      </c>
    </row>
    <row r="178" spans="1:21">
      <c r="A178" t="s">
        <v>857</v>
      </c>
      <c r="B178" t="s">
        <v>669</v>
      </c>
      <c r="C178" t="s">
        <v>19</v>
      </c>
      <c r="D178" t="s">
        <v>20</v>
      </c>
      <c r="E178" t="s">
        <v>21</v>
      </c>
      <c r="F178" t="s">
        <v>111</v>
      </c>
      <c r="G178" s="5">
        <v>46048</v>
      </c>
      <c r="H178" s="5">
        <v>46158</v>
      </c>
      <c r="I178" s="3">
        <v>91</v>
      </c>
      <c r="J178" s="4">
        <v>3.12</v>
      </c>
      <c r="K178" s="3">
        <v>83</v>
      </c>
      <c r="L178" s="3">
        <v>76</v>
      </c>
      <c r="M178" s="3">
        <v>60</v>
      </c>
      <c r="N178" t="s">
        <v>23</v>
      </c>
      <c r="O178" t="s">
        <v>858</v>
      </c>
      <c r="P178" s="4" t="s">
        <v>859</v>
      </c>
      <c r="Q178" t="s">
        <v>860</v>
      </c>
      <c r="R178" s="8">
        <f t="shared" si="8"/>
        <v>219</v>
      </c>
      <c r="S178" t="str">
        <f t="shared" si="9"/>
        <v>Pass</v>
      </c>
      <c r="T178" t="str">
        <f t="shared" si="10"/>
        <v>A</v>
      </c>
      <c r="U178">
        <f t="shared" si="11"/>
        <v>0</v>
      </c>
    </row>
    <row r="179" spans="1:21">
      <c r="A179" t="s">
        <v>861</v>
      </c>
      <c r="B179" t="s">
        <v>862</v>
      </c>
      <c r="C179" t="s">
        <v>19</v>
      </c>
      <c r="D179" t="s">
        <v>51</v>
      </c>
      <c r="E179" t="s">
        <v>52</v>
      </c>
      <c r="F179" t="s">
        <v>84</v>
      </c>
      <c r="G179" s="5">
        <v>45916</v>
      </c>
      <c r="H179" s="5">
        <v>46008</v>
      </c>
      <c r="I179" s="3">
        <v>95</v>
      </c>
      <c r="J179" s="4">
        <v>3.29</v>
      </c>
      <c r="K179" s="3">
        <v>75</v>
      </c>
      <c r="L179" s="3">
        <v>98</v>
      </c>
      <c r="M179" s="3">
        <v>36</v>
      </c>
      <c r="N179" t="s">
        <v>78</v>
      </c>
      <c r="O179" t="s">
        <v>863</v>
      </c>
      <c r="P179" s="4" t="s">
        <v>864</v>
      </c>
      <c r="Q179" t="s">
        <v>865</v>
      </c>
      <c r="R179" s="8">
        <f t="shared" si="8"/>
        <v>209</v>
      </c>
      <c r="S179" t="str">
        <f t="shared" si="9"/>
        <v>Pass</v>
      </c>
      <c r="T179" t="str">
        <f t="shared" si="10"/>
        <v>A</v>
      </c>
      <c r="U179">
        <f t="shared" si="11"/>
        <v>0</v>
      </c>
    </row>
    <row r="180" spans="1:21">
      <c r="A180" t="s">
        <v>866</v>
      </c>
      <c r="B180" t="s">
        <v>736</v>
      </c>
      <c r="C180" t="s">
        <v>19</v>
      </c>
      <c r="D180" t="s">
        <v>71</v>
      </c>
      <c r="E180" t="s">
        <v>72</v>
      </c>
      <c r="F180" t="s">
        <v>53</v>
      </c>
      <c r="G180" s="5">
        <v>46005</v>
      </c>
      <c r="H180" s="5">
        <v>46094</v>
      </c>
      <c r="I180" s="3">
        <v>74</v>
      </c>
      <c r="J180" s="4">
        <v>2.63</v>
      </c>
      <c r="K180" s="3">
        <v>88</v>
      </c>
      <c r="L180" s="3">
        <v>95</v>
      </c>
      <c r="M180" s="3">
        <v>60</v>
      </c>
      <c r="N180" t="s">
        <v>32</v>
      </c>
      <c r="O180" t="s">
        <v>867</v>
      </c>
      <c r="P180" s="4" t="s">
        <v>868</v>
      </c>
      <c r="Q180" t="s">
        <v>869</v>
      </c>
      <c r="R180" s="8">
        <f t="shared" si="8"/>
        <v>243</v>
      </c>
      <c r="S180" t="str">
        <f t="shared" si="9"/>
        <v>Pass</v>
      </c>
      <c r="T180" t="str">
        <f t="shared" si="10"/>
        <v>A</v>
      </c>
      <c r="U180">
        <f t="shared" si="11"/>
        <v>0</v>
      </c>
    </row>
    <row r="181" spans="1:21">
      <c r="A181" t="s">
        <v>870</v>
      </c>
      <c r="B181" t="s">
        <v>871</v>
      </c>
      <c r="C181" t="s">
        <v>29</v>
      </c>
      <c r="D181" t="s">
        <v>30</v>
      </c>
      <c r="E181" t="s">
        <v>31</v>
      </c>
      <c r="F181" t="s">
        <v>53</v>
      </c>
      <c r="G181" s="5">
        <v>46007</v>
      </c>
      <c r="H181" s="5">
        <v>46144</v>
      </c>
      <c r="I181" s="3">
        <v>63</v>
      </c>
      <c r="J181" s="4">
        <v>2.65</v>
      </c>
      <c r="K181" s="3">
        <v>56</v>
      </c>
      <c r="L181" s="3">
        <v>61</v>
      </c>
      <c r="M181" s="3">
        <v>72</v>
      </c>
      <c r="N181" t="s">
        <v>23</v>
      </c>
      <c r="O181" t="s">
        <v>872</v>
      </c>
      <c r="P181" s="4" t="s">
        <v>873</v>
      </c>
      <c r="Q181" t="s">
        <v>874</v>
      </c>
      <c r="R181" s="8">
        <f t="shared" si="8"/>
        <v>189</v>
      </c>
      <c r="S181" t="str">
        <f t="shared" si="9"/>
        <v>Pass</v>
      </c>
      <c r="T181" t="str">
        <f t="shared" si="10"/>
        <v>B</v>
      </c>
      <c r="U181">
        <f t="shared" si="11"/>
        <v>0</v>
      </c>
    </row>
    <row r="182" spans="1:21">
      <c r="A182" t="s">
        <v>875</v>
      </c>
      <c r="B182" t="s">
        <v>876</v>
      </c>
      <c r="C182" t="s">
        <v>29</v>
      </c>
      <c r="D182" t="s">
        <v>43</v>
      </c>
      <c r="E182" t="s">
        <v>44</v>
      </c>
      <c r="F182" t="s">
        <v>84</v>
      </c>
      <c r="G182" s="5">
        <v>45997</v>
      </c>
      <c r="H182" s="5">
        <v>46072</v>
      </c>
      <c r="I182" s="3">
        <v>59</v>
      </c>
      <c r="J182" s="4">
        <v>2.21</v>
      </c>
      <c r="K182" s="3">
        <v>88</v>
      </c>
      <c r="L182" s="3">
        <v>62</v>
      </c>
      <c r="M182" s="3">
        <v>91</v>
      </c>
      <c r="N182" t="s">
        <v>23</v>
      </c>
      <c r="O182" t="s">
        <v>877</v>
      </c>
      <c r="P182" s="4" t="s">
        <v>878</v>
      </c>
      <c r="Q182" t="s">
        <v>879</v>
      </c>
      <c r="R182" s="8">
        <f t="shared" si="8"/>
        <v>241</v>
      </c>
      <c r="S182" t="str">
        <f t="shared" si="9"/>
        <v>Pass</v>
      </c>
      <c r="T182" t="str">
        <f t="shared" si="10"/>
        <v>A</v>
      </c>
      <c r="U182">
        <f t="shared" si="11"/>
        <v>0</v>
      </c>
    </row>
    <row r="183" spans="1:21">
      <c r="A183" t="s">
        <v>880</v>
      </c>
      <c r="B183" t="s">
        <v>881</v>
      </c>
      <c r="C183" t="s">
        <v>29</v>
      </c>
      <c r="D183" t="s">
        <v>20</v>
      </c>
      <c r="E183" t="s">
        <v>21</v>
      </c>
      <c r="F183" t="s">
        <v>111</v>
      </c>
      <c r="G183" s="5">
        <v>45931</v>
      </c>
      <c r="H183" s="5">
        <v>46062</v>
      </c>
      <c r="I183" s="3">
        <v>70</v>
      </c>
      <c r="J183" s="4">
        <v>3.33</v>
      </c>
      <c r="K183" s="3">
        <v>85</v>
      </c>
      <c r="L183" s="3">
        <v>61</v>
      </c>
      <c r="M183" s="3">
        <v>80</v>
      </c>
      <c r="N183" t="s">
        <v>78</v>
      </c>
      <c r="O183" t="s">
        <v>882</v>
      </c>
      <c r="P183" s="4" t="s">
        <v>883</v>
      </c>
      <c r="Q183" t="s">
        <v>884</v>
      </c>
      <c r="R183" s="8">
        <f t="shared" si="8"/>
        <v>226</v>
      </c>
      <c r="S183" t="str">
        <f t="shared" si="9"/>
        <v>Pass</v>
      </c>
      <c r="T183" t="str">
        <f t="shared" si="10"/>
        <v>A</v>
      </c>
      <c r="U183">
        <f t="shared" si="11"/>
        <v>0</v>
      </c>
    </row>
    <row r="184" spans="1:21">
      <c r="A184" t="s">
        <v>885</v>
      </c>
      <c r="B184" t="s">
        <v>790</v>
      </c>
      <c r="C184" t="s">
        <v>19</v>
      </c>
      <c r="D184" t="s">
        <v>59</v>
      </c>
      <c r="E184" t="s">
        <v>60</v>
      </c>
      <c r="F184" t="s">
        <v>45</v>
      </c>
      <c r="G184" s="5">
        <v>46067</v>
      </c>
      <c r="H184" s="5">
        <v>46182</v>
      </c>
      <c r="I184" s="3">
        <v>74</v>
      </c>
      <c r="J184" s="4"/>
      <c r="K184" s="3">
        <v>72</v>
      </c>
      <c r="L184" s="3">
        <v>98</v>
      </c>
      <c r="M184" s="3">
        <v>89</v>
      </c>
      <c r="N184" t="s">
        <v>23</v>
      </c>
      <c r="O184" t="s">
        <v>886</v>
      </c>
      <c r="P184" s="4" t="s">
        <v>887</v>
      </c>
      <c r="Q184" t="s">
        <v>888</v>
      </c>
      <c r="R184" s="8">
        <f t="shared" si="8"/>
        <v>259</v>
      </c>
      <c r="S184" t="str">
        <f t="shared" si="9"/>
        <v>Pass</v>
      </c>
      <c r="T184" t="str">
        <f t="shared" si="10"/>
        <v>A</v>
      </c>
      <c r="U184">
        <f t="shared" si="11"/>
        <v>0</v>
      </c>
    </row>
    <row r="185" spans="1:21">
      <c r="A185" t="s">
        <v>889</v>
      </c>
      <c r="B185" t="s">
        <v>251</v>
      </c>
      <c r="C185" t="s">
        <v>19</v>
      </c>
      <c r="D185" t="s">
        <v>51</v>
      </c>
      <c r="E185" t="s">
        <v>52</v>
      </c>
      <c r="F185" t="s">
        <v>53</v>
      </c>
      <c r="G185" s="5">
        <v>45912</v>
      </c>
      <c r="H185" s="5">
        <v>46010</v>
      </c>
      <c r="I185" s="3">
        <v>64</v>
      </c>
      <c r="J185" s="4">
        <v>1.84</v>
      </c>
      <c r="K185" s="3">
        <v>75</v>
      </c>
      <c r="L185" s="3">
        <v>88</v>
      </c>
      <c r="M185" s="3">
        <v>67</v>
      </c>
      <c r="N185" t="s">
        <v>23</v>
      </c>
      <c r="O185" t="s">
        <v>890</v>
      </c>
      <c r="P185" s="4" t="s">
        <v>891</v>
      </c>
      <c r="Q185" t="s">
        <v>892</v>
      </c>
      <c r="R185" s="8">
        <f t="shared" si="8"/>
        <v>230</v>
      </c>
      <c r="S185" t="str">
        <f t="shared" si="9"/>
        <v>Pass</v>
      </c>
      <c r="T185" t="str">
        <f t="shared" si="10"/>
        <v>A</v>
      </c>
      <c r="U185">
        <f t="shared" si="11"/>
        <v>0</v>
      </c>
    </row>
    <row r="186" spans="1:21">
      <c r="A186" t="s">
        <v>893</v>
      </c>
      <c r="B186" t="s">
        <v>894</v>
      </c>
      <c r="C186" t="s">
        <v>29</v>
      </c>
      <c r="D186" t="s">
        <v>59</v>
      </c>
      <c r="E186" t="s">
        <v>60</v>
      </c>
      <c r="F186" t="s">
        <v>45</v>
      </c>
      <c r="G186" s="5">
        <v>46068</v>
      </c>
      <c r="H186" s="5">
        <v>46181</v>
      </c>
      <c r="I186" s="3">
        <v>71</v>
      </c>
      <c r="J186" s="4">
        <v>3.48</v>
      </c>
      <c r="K186" s="3">
        <v>71</v>
      </c>
      <c r="L186" s="3">
        <v>97</v>
      </c>
      <c r="M186" s="3">
        <v>88</v>
      </c>
      <c r="N186" t="s">
        <v>23</v>
      </c>
      <c r="O186" t="s">
        <v>895</v>
      </c>
      <c r="P186" s="4" t="s">
        <v>896</v>
      </c>
      <c r="Q186" t="s">
        <v>897</v>
      </c>
      <c r="R186" s="8">
        <f t="shared" si="8"/>
        <v>256</v>
      </c>
      <c r="S186" t="str">
        <f t="shared" si="9"/>
        <v>Pass</v>
      </c>
      <c r="T186" t="str">
        <f t="shared" si="10"/>
        <v>A</v>
      </c>
      <c r="U186">
        <f t="shared" si="11"/>
        <v>0</v>
      </c>
    </row>
    <row r="187" spans="1:21">
      <c r="A187" t="s">
        <v>898</v>
      </c>
      <c r="B187" t="s">
        <v>840</v>
      </c>
      <c r="C187" t="s">
        <v>19</v>
      </c>
      <c r="D187" t="s">
        <v>20</v>
      </c>
      <c r="E187" t="s">
        <v>21</v>
      </c>
      <c r="F187" t="s">
        <v>45</v>
      </c>
      <c r="G187" s="5">
        <v>46065</v>
      </c>
      <c r="H187" s="5">
        <v>46142</v>
      </c>
      <c r="I187" s="3">
        <v>88</v>
      </c>
      <c r="J187" s="4">
        <v>1.87</v>
      </c>
      <c r="K187" s="3">
        <v>94</v>
      </c>
      <c r="L187" s="3">
        <v>44</v>
      </c>
      <c r="M187" s="3">
        <v>36</v>
      </c>
      <c r="N187" t="s">
        <v>32</v>
      </c>
      <c r="O187" t="s">
        <v>899</v>
      </c>
      <c r="P187" s="4" t="s">
        <v>900</v>
      </c>
      <c r="Q187" t="s">
        <v>901</v>
      </c>
      <c r="R187" s="8">
        <f t="shared" si="8"/>
        <v>174</v>
      </c>
      <c r="S187" t="str">
        <f t="shared" si="9"/>
        <v>Pass</v>
      </c>
      <c r="T187" t="str">
        <f t="shared" si="10"/>
        <v>B</v>
      </c>
      <c r="U187">
        <f t="shared" si="11"/>
        <v>0</v>
      </c>
    </row>
    <row r="188" spans="1:21">
      <c r="A188" t="s">
        <v>902</v>
      </c>
      <c r="B188" t="s">
        <v>414</v>
      </c>
      <c r="C188" t="s">
        <v>29</v>
      </c>
      <c r="D188" t="s">
        <v>71</v>
      </c>
      <c r="E188" t="s">
        <v>72</v>
      </c>
      <c r="F188" t="s">
        <v>22</v>
      </c>
      <c r="G188" s="5">
        <v>45903</v>
      </c>
      <c r="H188" s="5">
        <v>46000</v>
      </c>
      <c r="I188" s="3">
        <v>87</v>
      </c>
      <c r="J188" s="4">
        <v>2.8</v>
      </c>
      <c r="K188" s="3">
        <v>43</v>
      </c>
      <c r="L188" s="3">
        <v>96</v>
      </c>
      <c r="M188" s="3">
        <v>92</v>
      </c>
      <c r="N188" t="s">
        <v>23</v>
      </c>
      <c r="O188" t="s">
        <v>903</v>
      </c>
      <c r="P188" s="4" t="s">
        <v>904</v>
      </c>
      <c r="Q188" t="s">
        <v>905</v>
      </c>
      <c r="R188" s="8">
        <f t="shared" si="8"/>
        <v>231</v>
      </c>
      <c r="S188" t="str">
        <f t="shared" si="9"/>
        <v>Pass</v>
      </c>
      <c r="T188" t="str">
        <f t="shared" si="10"/>
        <v>A</v>
      </c>
      <c r="U188">
        <f t="shared" si="11"/>
        <v>0</v>
      </c>
    </row>
    <row r="189" spans="1:21">
      <c r="A189" t="s">
        <v>906</v>
      </c>
      <c r="B189" t="s">
        <v>368</v>
      </c>
      <c r="C189" t="s">
        <v>29</v>
      </c>
      <c r="D189" t="s">
        <v>43</v>
      </c>
      <c r="E189" t="s">
        <v>44</v>
      </c>
      <c r="F189" t="s">
        <v>45</v>
      </c>
      <c r="G189" s="5">
        <v>45971</v>
      </c>
      <c r="H189" s="5">
        <v>46109</v>
      </c>
      <c r="I189" s="3">
        <v>73</v>
      </c>
      <c r="J189" s="4">
        <v>1.84</v>
      </c>
      <c r="K189" s="3">
        <v>92</v>
      </c>
      <c r="L189" s="3">
        <v>90</v>
      </c>
      <c r="M189" s="3">
        <v>52</v>
      </c>
      <c r="N189" t="s">
        <v>23</v>
      </c>
      <c r="O189" t="s">
        <v>907</v>
      </c>
      <c r="P189" s="4" t="s">
        <v>908</v>
      </c>
      <c r="Q189" t="s">
        <v>909</v>
      </c>
      <c r="R189" s="8">
        <f t="shared" si="8"/>
        <v>234</v>
      </c>
      <c r="S189" t="str">
        <f t="shared" si="9"/>
        <v>Pass</v>
      </c>
      <c r="T189" t="str">
        <f t="shared" si="10"/>
        <v>A</v>
      </c>
      <c r="U189">
        <f t="shared" si="11"/>
        <v>0</v>
      </c>
    </row>
    <row r="190" spans="1:21">
      <c r="A190" t="s">
        <v>910</v>
      </c>
      <c r="B190" t="s">
        <v>741</v>
      </c>
      <c r="C190" t="s">
        <v>29</v>
      </c>
      <c r="D190" t="s">
        <v>20</v>
      </c>
      <c r="E190" t="s">
        <v>21</v>
      </c>
      <c r="F190" t="s">
        <v>45</v>
      </c>
      <c r="G190" s="5">
        <v>46035</v>
      </c>
      <c r="H190" s="5">
        <v>46137</v>
      </c>
      <c r="I190" s="3">
        <v>77</v>
      </c>
      <c r="J190" s="4">
        <v>2.39</v>
      </c>
      <c r="K190" s="3">
        <v>65</v>
      </c>
      <c r="L190" s="3">
        <v>45</v>
      </c>
      <c r="M190" s="3">
        <v>77</v>
      </c>
      <c r="N190" t="s">
        <v>78</v>
      </c>
      <c r="O190" t="s">
        <v>911</v>
      </c>
      <c r="P190" s="4" t="s">
        <v>912</v>
      </c>
      <c r="Q190" t="s">
        <v>913</v>
      </c>
      <c r="R190" s="8">
        <f t="shared" si="8"/>
        <v>187</v>
      </c>
      <c r="S190" t="str">
        <f t="shared" si="9"/>
        <v>Pass</v>
      </c>
      <c r="T190" t="str">
        <f t="shared" si="10"/>
        <v>B</v>
      </c>
      <c r="U190">
        <f t="shared" si="11"/>
        <v>0</v>
      </c>
    </row>
    <row r="191" spans="1:21">
      <c r="A191" t="s">
        <v>914</v>
      </c>
      <c r="B191" t="s">
        <v>915</v>
      </c>
      <c r="C191" t="s">
        <v>29</v>
      </c>
      <c r="D191" t="s">
        <v>51</v>
      </c>
      <c r="E191" t="s">
        <v>52</v>
      </c>
      <c r="F191" t="s">
        <v>111</v>
      </c>
      <c r="G191" s="5">
        <v>45921</v>
      </c>
      <c r="H191" s="5">
        <v>45995</v>
      </c>
      <c r="I191" s="3">
        <v>60</v>
      </c>
      <c r="J191" s="4">
        <v>2.69</v>
      </c>
      <c r="K191" s="3">
        <v>64</v>
      </c>
      <c r="L191" s="3">
        <v>95</v>
      </c>
      <c r="M191" s="3">
        <v>37</v>
      </c>
      <c r="N191" t="s">
        <v>23</v>
      </c>
      <c r="O191" t="s">
        <v>916</v>
      </c>
      <c r="P191" s="4" t="s">
        <v>917</v>
      </c>
      <c r="Q191" t="s">
        <v>918</v>
      </c>
      <c r="R191" s="8">
        <f t="shared" si="8"/>
        <v>196</v>
      </c>
      <c r="S191" t="str">
        <f t="shared" si="9"/>
        <v>Pass</v>
      </c>
      <c r="T191" t="str">
        <f t="shared" si="10"/>
        <v>B</v>
      </c>
      <c r="U191">
        <f t="shared" si="11"/>
        <v>0</v>
      </c>
    </row>
    <row r="192" spans="1:21">
      <c r="A192" t="s">
        <v>919</v>
      </c>
      <c r="B192" t="s">
        <v>920</v>
      </c>
      <c r="C192" t="s">
        <v>19</v>
      </c>
      <c r="D192" t="s">
        <v>71</v>
      </c>
      <c r="E192" t="s">
        <v>72</v>
      </c>
      <c r="F192" t="s">
        <v>84</v>
      </c>
      <c r="G192" s="5">
        <v>46045</v>
      </c>
      <c r="H192" s="5">
        <v>46127</v>
      </c>
      <c r="I192" s="3">
        <v>88</v>
      </c>
      <c r="J192" s="4">
        <v>3.82</v>
      </c>
      <c r="K192" s="3">
        <v>54</v>
      </c>
      <c r="L192" s="3">
        <v>62</v>
      </c>
      <c r="M192" s="3">
        <v>90</v>
      </c>
      <c r="N192" t="s">
        <v>23</v>
      </c>
      <c r="O192" t="s">
        <v>921</v>
      </c>
      <c r="P192" s="4" t="s">
        <v>922</v>
      </c>
      <c r="Q192" t="s">
        <v>923</v>
      </c>
      <c r="R192" s="8">
        <f t="shared" si="8"/>
        <v>206</v>
      </c>
      <c r="S192" t="str">
        <f t="shared" si="9"/>
        <v>Pass</v>
      </c>
      <c r="T192" t="str">
        <f t="shared" si="10"/>
        <v>A</v>
      </c>
      <c r="U192">
        <f t="shared" si="11"/>
        <v>0</v>
      </c>
    </row>
    <row r="193" spans="1:21">
      <c r="A193" t="s">
        <v>924</v>
      </c>
      <c r="B193" t="s">
        <v>925</v>
      </c>
      <c r="C193" t="s">
        <v>29</v>
      </c>
      <c r="D193" t="s">
        <v>20</v>
      </c>
      <c r="E193" t="s">
        <v>21</v>
      </c>
      <c r="F193" t="s">
        <v>84</v>
      </c>
      <c r="G193" s="5">
        <v>45905</v>
      </c>
      <c r="H193" s="5">
        <v>46001</v>
      </c>
      <c r="I193" s="3">
        <v>92</v>
      </c>
      <c r="J193" s="4">
        <v>2.12</v>
      </c>
      <c r="K193" s="3">
        <v>92</v>
      </c>
      <c r="L193" s="3">
        <v>85</v>
      </c>
      <c r="M193" s="3">
        <v>39</v>
      </c>
      <c r="N193" t="s">
        <v>23</v>
      </c>
      <c r="O193" t="s">
        <v>926</v>
      </c>
      <c r="P193" s="4" t="s">
        <v>927</v>
      </c>
      <c r="Q193" t="s">
        <v>928</v>
      </c>
      <c r="R193" s="8">
        <f t="shared" si="8"/>
        <v>216</v>
      </c>
      <c r="S193" t="str">
        <f t="shared" si="9"/>
        <v>Pass</v>
      </c>
      <c r="T193" t="str">
        <f t="shared" si="10"/>
        <v>A</v>
      </c>
      <c r="U193">
        <f t="shared" si="11"/>
        <v>0</v>
      </c>
    </row>
    <row r="194" spans="1:21">
      <c r="A194" t="s">
        <v>929</v>
      </c>
      <c r="B194" t="s">
        <v>930</v>
      </c>
      <c r="C194" t="s">
        <v>19</v>
      </c>
      <c r="D194" t="s">
        <v>71</v>
      </c>
      <c r="E194" t="s">
        <v>72</v>
      </c>
      <c r="F194" t="s">
        <v>45</v>
      </c>
      <c r="G194" s="5">
        <v>45985</v>
      </c>
      <c r="H194" s="5">
        <v>46104</v>
      </c>
      <c r="I194" s="3">
        <v>63</v>
      </c>
      <c r="J194" s="4">
        <v>3.54</v>
      </c>
      <c r="K194" s="3">
        <v>84</v>
      </c>
      <c r="L194" s="3">
        <v>45</v>
      </c>
      <c r="M194" s="3">
        <v>94</v>
      </c>
      <c r="N194" t="s">
        <v>23</v>
      </c>
      <c r="P194" s="4" t="s">
        <v>931</v>
      </c>
      <c r="Q194" t="s">
        <v>932</v>
      </c>
      <c r="R194" s="8">
        <f t="shared" ref="R194:R257" si="12">K194+L194+M194</f>
        <v>223</v>
      </c>
      <c r="S194" t="str">
        <f t="shared" ref="S194:S257" si="13">IF(R194&gt;=$W$7,"Pass","Fail")</f>
        <v>Pass</v>
      </c>
      <c r="T194" t="str">
        <f t="shared" ref="T194:T257" si="14">IF(R194&gt;=200,"A",IF(R194&gt;=150,"B",IF(R194&gt;=100,"C",IF(R194&gt;=50,"D"))))</f>
        <v>A</v>
      </c>
      <c r="U194">
        <f t="shared" ref="U194:U257" si="15">COUNTIF(C193:C487,E194)</f>
        <v>0</v>
      </c>
    </row>
    <row r="195" spans="1:21">
      <c r="A195" t="s">
        <v>933</v>
      </c>
      <c r="B195" t="s">
        <v>934</v>
      </c>
      <c r="C195" t="s">
        <v>19</v>
      </c>
      <c r="D195" t="s">
        <v>20</v>
      </c>
      <c r="E195" t="s">
        <v>21</v>
      </c>
      <c r="F195" t="s">
        <v>193</v>
      </c>
      <c r="G195" s="5">
        <v>45988</v>
      </c>
      <c r="H195" s="5">
        <v>46108</v>
      </c>
      <c r="I195" s="3">
        <v>75</v>
      </c>
      <c r="J195" s="4">
        <v>1.87</v>
      </c>
      <c r="K195" s="3">
        <v>57</v>
      </c>
      <c r="L195" s="3">
        <v>92</v>
      </c>
      <c r="M195" s="3">
        <v>92</v>
      </c>
      <c r="N195" t="s">
        <v>23</v>
      </c>
      <c r="O195" t="s">
        <v>935</v>
      </c>
      <c r="P195" s="4" t="s">
        <v>936</v>
      </c>
      <c r="Q195" t="s">
        <v>937</v>
      </c>
      <c r="R195" s="8">
        <f t="shared" si="12"/>
        <v>241</v>
      </c>
      <c r="S195" t="str">
        <f t="shared" si="13"/>
        <v>Pass</v>
      </c>
      <c r="T195" t="str">
        <f t="shared" si="14"/>
        <v>A</v>
      </c>
      <c r="U195">
        <f t="shared" si="15"/>
        <v>0</v>
      </c>
    </row>
    <row r="196" spans="1:21">
      <c r="A196" t="s">
        <v>938</v>
      </c>
      <c r="B196" t="s">
        <v>939</v>
      </c>
      <c r="C196" t="s">
        <v>29</v>
      </c>
      <c r="D196" t="s">
        <v>71</v>
      </c>
      <c r="E196" t="s">
        <v>72</v>
      </c>
      <c r="F196" t="s">
        <v>45</v>
      </c>
      <c r="G196" s="5">
        <v>46070</v>
      </c>
      <c r="H196" s="5">
        <v>46188</v>
      </c>
      <c r="I196" s="3">
        <v>60</v>
      </c>
      <c r="J196" s="4">
        <v>3.5</v>
      </c>
      <c r="K196" s="3">
        <v>58</v>
      </c>
      <c r="L196" s="3">
        <v>66</v>
      </c>
      <c r="M196" s="3">
        <v>39</v>
      </c>
      <c r="N196" t="s">
        <v>23</v>
      </c>
      <c r="O196" t="s">
        <v>940</v>
      </c>
      <c r="P196" s="4" t="s">
        <v>941</v>
      </c>
      <c r="Q196" t="s">
        <v>942</v>
      </c>
      <c r="R196" s="8">
        <f t="shared" si="12"/>
        <v>163</v>
      </c>
      <c r="S196" t="str">
        <f t="shared" si="13"/>
        <v>Pass</v>
      </c>
      <c r="T196" t="str">
        <f t="shared" si="14"/>
        <v>B</v>
      </c>
      <c r="U196">
        <f t="shared" si="15"/>
        <v>0</v>
      </c>
    </row>
    <row r="197" spans="1:21">
      <c r="A197" t="s">
        <v>943</v>
      </c>
      <c r="B197" t="s">
        <v>388</v>
      </c>
      <c r="C197" t="s">
        <v>19</v>
      </c>
      <c r="D197" t="s">
        <v>51</v>
      </c>
      <c r="E197" t="s">
        <v>52</v>
      </c>
      <c r="F197" t="s">
        <v>84</v>
      </c>
      <c r="G197" s="5">
        <v>45928</v>
      </c>
      <c r="H197" s="5">
        <v>46009</v>
      </c>
      <c r="I197" s="3">
        <v>55</v>
      </c>
      <c r="J197" s="4">
        <v>3.87</v>
      </c>
      <c r="K197" s="3">
        <v>68</v>
      </c>
      <c r="L197" s="3">
        <v>81</v>
      </c>
      <c r="M197" s="3">
        <v>64</v>
      </c>
      <c r="N197" t="s">
        <v>23</v>
      </c>
      <c r="O197" t="s">
        <v>944</v>
      </c>
      <c r="P197" s="4" t="s">
        <v>945</v>
      </c>
      <c r="Q197" t="s">
        <v>946</v>
      </c>
      <c r="R197" s="8">
        <f t="shared" si="12"/>
        <v>213</v>
      </c>
      <c r="S197" t="str">
        <f t="shared" si="13"/>
        <v>Pass</v>
      </c>
      <c r="T197" t="str">
        <f t="shared" si="14"/>
        <v>A</v>
      </c>
      <c r="U197">
        <f t="shared" si="15"/>
        <v>0</v>
      </c>
    </row>
    <row r="198" spans="1:21">
      <c r="A198" t="s">
        <v>947</v>
      </c>
      <c r="B198" t="s">
        <v>948</v>
      </c>
      <c r="C198" t="s">
        <v>19</v>
      </c>
      <c r="D198" t="s">
        <v>30</v>
      </c>
      <c r="E198" t="s">
        <v>31</v>
      </c>
      <c r="F198" t="s">
        <v>45</v>
      </c>
      <c r="G198" s="5">
        <v>46032</v>
      </c>
      <c r="H198" s="5">
        <v>46154</v>
      </c>
      <c r="I198" s="3">
        <v>61</v>
      </c>
      <c r="J198" s="4">
        <v>1.86</v>
      </c>
      <c r="K198" s="3">
        <v>62</v>
      </c>
      <c r="L198" s="3">
        <v>46</v>
      </c>
      <c r="M198" s="3">
        <v>71</v>
      </c>
      <c r="N198" t="s">
        <v>78</v>
      </c>
      <c r="O198" t="s">
        <v>949</v>
      </c>
      <c r="P198" s="4" t="s">
        <v>950</v>
      </c>
      <c r="Q198" t="s">
        <v>951</v>
      </c>
      <c r="R198" s="8">
        <f t="shared" si="12"/>
        <v>179</v>
      </c>
      <c r="S198" t="str">
        <f t="shared" si="13"/>
        <v>Pass</v>
      </c>
      <c r="T198" t="str">
        <f t="shared" si="14"/>
        <v>B</v>
      </c>
      <c r="U198">
        <f t="shared" si="15"/>
        <v>0</v>
      </c>
    </row>
    <row r="199" spans="1:21">
      <c r="A199" t="s">
        <v>952</v>
      </c>
      <c r="B199" t="s">
        <v>953</v>
      </c>
      <c r="C199" t="s">
        <v>19</v>
      </c>
      <c r="D199" t="s">
        <v>43</v>
      </c>
      <c r="E199" t="s">
        <v>44</v>
      </c>
      <c r="F199" t="s">
        <v>111</v>
      </c>
      <c r="G199" s="5">
        <v>46044</v>
      </c>
      <c r="H199" s="5">
        <v>46145</v>
      </c>
      <c r="I199" s="3">
        <v>91</v>
      </c>
      <c r="J199" s="4">
        <v>2.95</v>
      </c>
      <c r="K199" s="3">
        <v>83</v>
      </c>
      <c r="L199" s="3">
        <v>83</v>
      </c>
      <c r="M199" s="3">
        <v>51</v>
      </c>
      <c r="N199" t="s">
        <v>23</v>
      </c>
      <c r="O199" t="s">
        <v>954</v>
      </c>
      <c r="P199" s="4" t="s">
        <v>955</v>
      </c>
      <c r="Q199" t="s">
        <v>956</v>
      </c>
      <c r="R199" s="8">
        <f t="shared" si="12"/>
        <v>217</v>
      </c>
      <c r="S199" t="str">
        <f t="shared" si="13"/>
        <v>Pass</v>
      </c>
      <c r="T199" t="str">
        <f t="shared" si="14"/>
        <v>A</v>
      </c>
      <c r="U199">
        <f t="shared" si="15"/>
        <v>0</v>
      </c>
    </row>
    <row r="200" spans="1:21">
      <c r="A200" t="s">
        <v>957</v>
      </c>
      <c r="B200" t="s">
        <v>313</v>
      </c>
      <c r="C200" t="s">
        <v>29</v>
      </c>
      <c r="D200" t="s">
        <v>43</v>
      </c>
      <c r="E200" t="s">
        <v>44</v>
      </c>
      <c r="F200" t="s">
        <v>22</v>
      </c>
      <c r="G200" s="5">
        <v>46012</v>
      </c>
      <c r="H200" s="5">
        <v>46117</v>
      </c>
      <c r="I200" s="3">
        <v>81</v>
      </c>
      <c r="J200" s="4">
        <v>2.46</v>
      </c>
      <c r="K200" s="3">
        <v>90</v>
      </c>
      <c r="L200" s="3">
        <v>44</v>
      </c>
      <c r="M200" s="3">
        <v>76</v>
      </c>
      <c r="N200" t="s">
        <v>23</v>
      </c>
      <c r="O200" t="s">
        <v>958</v>
      </c>
      <c r="P200" s="4" t="s">
        <v>959</v>
      </c>
      <c r="Q200" t="s">
        <v>960</v>
      </c>
      <c r="R200" s="8">
        <f t="shared" si="12"/>
        <v>210</v>
      </c>
      <c r="S200" t="str">
        <f t="shared" si="13"/>
        <v>Pass</v>
      </c>
      <c r="T200" t="str">
        <f t="shared" si="14"/>
        <v>A</v>
      </c>
      <c r="U200">
        <f t="shared" si="15"/>
        <v>0</v>
      </c>
    </row>
    <row r="201" spans="1:21">
      <c r="A201" t="s">
        <v>961</v>
      </c>
      <c r="B201" t="s">
        <v>962</v>
      </c>
      <c r="C201" t="s">
        <v>29</v>
      </c>
      <c r="D201" t="s">
        <v>59</v>
      </c>
      <c r="E201" t="s">
        <v>60</v>
      </c>
      <c r="F201" t="s">
        <v>193</v>
      </c>
      <c r="G201" s="5">
        <v>45935</v>
      </c>
      <c r="H201" s="5">
        <v>46043</v>
      </c>
      <c r="I201" s="3">
        <v>55</v>
      </c>
      <c r="J201" s="4">
        <v>3.89</v>
      </c>
      <c r="K201" s="3">
        <v>61</v>
      </c>
      <c r="L201" s="3">
        <v>83</v>
      </c>
      <c r="M201" s="3">
        <v>72</v>
      </c>
      <c r="N201" t="s">
        <v>23</v>
      </c>
      <c r="O201" t="s">
        <v>963</v>
      </c>
      <c r="P201" s="4" t="s">
        <v>964</v>
      </c>
      <c r="Q201" t="s">
        <v>965</v>
      </c>
      <c r="R201" s="8">
        <f t="shared" si="12"/>
        <v>216</v>
      </c>
      <c r="S201" t="str">
        <f t="shared" si="13"/>
        <v>Pass</v>
      </c>
      <c r="T201" t="str">
        <f t="shared" si="14"/>
        <v>A</v>
      </c>
      <c r="U201">
        <f t="shared" si="15"/>
        <v>0</v>
      </c>
    </row>
    <row r="202" spans="1:21">
      <c r="A202" t="s">
        <v>966</v>
      </c>
      <c r="B202" t="s">
        <v>746</v>
      </c>
      <c r="C202" t="s">
        <v>29</v>
      </c>
      <c r="D202" t="s">
        <v>51</v>
      </c>
      <c r="E202" t="s">
        <v>52</v>
      </c>
      <c r="F202" t="s">
        <v>53</v>
      </c>
      <c r="G202" s="5">
        <v>45972</v>
      </c>
      <c r="H202" s="5">
        <v>46092</v>
      </c>
      <c r="I202" s="3">
        <v>78</v>
      </c>
      <c r="J202" s="4">
        <v>2.0499999999999998</v>
      </c>
      <c r="K202" s="3">
        <v>76</v>
      </c>
      <c r="L202" s="3">
        <v>60</v>
      </c>
      <c r="M202" s="3">
        <v>99</v>
      </c>
      <c r="N202" t="s">
        <v>23</v>
      </c>
      <c r="O202" t="s">
        <v>967</v>
      </c>
      <c r="P202" s="4" t="s">
        <v>968</v>
      </c>
      <c r="Q202" t="s">
        <v>969</v>
      </c>
      <c r="R202" s="8">
        <f t="shared" si="12"/>
        <v>235</v>
      </c>
      <c r="S202" t="str">
        <f t="shared" si="13"/>
        <v>Pass</v>
      </c>
      <c r="T202" t="str">
        <f t="shared" si="14"/>
        <v>A</v>
      </c>
      <c r="U202">
        <f t="shared" si="15"/>
        <v>0</v>
      </c>
    </row>
    <row r="203" spans="1:21">
      <c r="A203" t="s">
        <v>970</v>
      </c>
      <c r="B203" t="s">
        <v>971</v>
      </c>
      <c r="C203" t="s">
        <v>29</v>
      </c>
      <c r="D203" t="s">
        <v>59</v>
      </c>
      <c r="E203" t="s">
        <v>60</v>
      </c>
      <c r="F203" t="s">
        <v>84</v>
      </c>
      <c r="G203" s="5">
        <v>46078</v>
      </c>
      <c r="H203" s="5">
        <v>46156</v>
      </c>
      <c r="I203" s="3">
        <v>81</v>
      </c>
      <c r="J203" s="4">
        <v>3.28</v>
      </c>
      <c r="K203" s="3">
        <v>48</v>
      </c>
      <c r="L203" s="3">
        <v>73</v>
      </c>
      <c r="M203" s="3">
        <v>60</v>
      </c>
      <c r="N203" t="s">
        <v>23</v>
      </c>
      <c r="O203" t="s">
        <v>972</v>
      </c>
      <c r="P203" s="4" t="s">
        <v>973</v>
      </c>
      <c r="Q203" t="s">
        <v>974</v>
      </c>
      <c r="R203" s="8">
        <f t="shared" si="12"/>
        <v>181</v>
      </c>
      <c r="S203" t="str">
        <f t="shared" si="13"/>
        <v>Pass</v>
      </c>
      <c r="T203" t="str">
        <f t="shared" si="14"/>
        <v>B</v>
      </c>
      <c r="U203">
        <f t="shared" si="15"/>
        <v>0</v>
      </c>
    </row>
    <row r="204" spans="1:21">
      <c r="A204" t="s">
        <v>975</v>
      </c>
      <c r="B204" t="s">
        <v>203</v>
      </c>
      <c r="C204" t="s">
        <v>29</v>
      </c>
      <c r="D204" t="s">
        <v>59</v>
      </c>
      <c r="E204" t="s">
        <v>60</v>
      </c>
      <c r="F204" t="s">
        <v>45</v>
      </c>
      <c r="G204" s="5">
        <v>46023</v>
      </c>
      <c r="H204" s="5">
        <v>46144</v>
      </c>
      <c r="I204" s="3">
        <v>89</v>
      </c>
      <c r="J204" s="4">
        <v>2.91</v>
      </c>
      <c r="K204" s="3">
        <v>98</v>
      </c>
      <c r="L204" s="3">
        <v>88</v>
      </c>
      <c r="M204" s="3">
        <v>99</v>
      </c>
      <c r="N204" t="s">
        <v>976</v>
      </c>
      <c r="O204" t="s">
        <v>977</v>
      </c>
      <c r="P204" s="4" t="s">
        <v>978</v>
      </c>
      <c r="Q204" t="s">
        <v>979</v>
      </c>
      <c r="R204" s="8">
        <f t="shared" si="12"/>
        <v>285</v>
      </c>
      <c r="S204" t="str">
        <f t="shared" si="13"/>
        <v>Pass</v>
      </c>
      <c r="T204" t="str">
        <f t="shared" si="14"/>
        <v>A</v>
      </c>
      <c r="U204">
        <f t="shared" si="15"/>
        <v>0</v>
      </c>
    </row>
    <row r="205" spans="1:21">
      <c r="A205" t="s">
        <v>980</v>
      </c>
      <c r="B205" t="s">
        <v>981</v>
      </c>
      <c r="C205" t="s">
        <v>29</v>
      </c>
      <c r="D205" t="s">
        <v>43</v>
      </c>
      <c r="E205" t="s">
        <v>44</v>
      </c>
      <c r="F205" t="s">
        <v>22</v>
      </c>
      <c r="G205" s="5">
        <v>46069</v>
      </c>
      <c r="H205" s="5">
        <v>46184</v>
      </c>
      <c r="I205" s="3">
        <v>65</v>
      </c>
      <c r="J205" s="4">
        <v>3.22</v>
      </c>
      <c r="K205" s="3">
        <v>42</v>
      </c>
      <c r="L205" s="3">
        <v>86</v>
      </c>
      <c r="M205" s="3">
        <v>72</v>
      </c>
      <c r="N205" t="s">
        <v>78</v>
      </c>
      <c r="O205" t="s">
        <v>982</v>
      </c>
      <c r="P205" s="4" t="s">
        <v>983</v>
      </c>
      <c r="Q205" t="s">
        <v>984</v>
      </c>
      <c r="R205" s="8">
        <f t="shared" si="12"/>
        <v>200</v>
      </c>
      <c r="S205" t="str">
        <f t="shared" si="13"/>
        <v>Pass</v>
      </c>
      <c r="T205" t="str">
        <f t="shared" si="14"/>
        <v>A</v>
      </c>
      <c r="U205">
        <f t="shared" si="15"/>
        <v>0</v>
      </c>
    </row>
    <row r="206" spans="1:21">
      <c r="A206" t="s">
        <v>985</v>
      </c>
      <c r="B206" t="s">
        <v>18</v>
      </c>
      <c r="C206" t="s">
        <v>29</v>
      </c>
      <c r="D206" t="s">
        <v>51</v>
      </c>
      <c r="E206" t="s">
        <v>52</v>
      </c>
      <c r="F206" t="s">
        <v>22</v>
      </c>
      <c r="G206" s="5">
        <v>46031</v>
      </c>
      <c r="H206" s="5">
        <v>46167</v>
      </c>
      <c r="I206" s="3">
        <v>90</v>
      </c>
      <c r="J206" s="4">
        <v>3.08</v>
      </c>
      <c r="K206" s="3">
        <v>76</v>
      </c>
      <c r="L206" s="3">
        <v>63</v>
      </c>
      <c r="M206" s="3">
        <v>87</v>
      </c>
      <c r="N206" t="s">
        <v>23</v>
      </c>
      <c r="O206" t="s">
        <v>986</v>
      </c>
      <c r="P206" s="4" t="s">
        <v>987</v>
      </c>
      <c r="Q206" t="s">
        <v>988</v>
      </c>
      <c r="R206" s="8">
        <f t="shared" si="12"/>
        <v>226</v>
      </c>
      <c r="S206" t="str">
        <f t="shared" si="13"/>
        <v>Pass</v>
      </c>
      <c r="T206" t="str">
        <f t="shared" si="14"/>
        <v>A</v>
      </c>
      <c r="U206">
        <f t="shared" si="15"/>
        <v>0</v>
      </c>
    </row>
    <row r="207" spans="1:21">
      <c r="A207" t="s">
        <v>989</v>
      </c>
      <c r="B207" t="s">
        <v>990</v>
      </c>
      <c r="C207" t="s">
        <v>29</v>
      </c>
      <c r="D207" t="s">
        <v>51</v>
      </c>
      <c r="E207" t="s">
        <v>52</v>
      </c>
      <c r="F207" t="s">
        <v>193</v>
      </c>
      <c r="G207" s="5">
        <v>46024</v>
      </c>
      <c r="H207" s="5">
        <v>46107</v>
      </c>
      <c r="I207" s="3">
        <v>73</v>
      </c>
      <c r="J207" s="4">
        <v>2.72</v>
      </c>
      <c r="K207" s="3">
        <v>45</v>
      </c>
      <c r="L207" s="3">
        <v>49</v>
      </c>
      <c r="M207" s="3">
        <v>48</v>
      </c>
      <c r="N207" t="s">
        <v>23</v>
      </c>
      <c r="O207" t="s">
        <v>991</v>
      </c>
      <c r="P207" s="4" t="s">
        <v>992</v>
      </c>
      <c r="Q207" t="s">
        <v>993</v>
      </c>
      <c r="R207" s="8">
        <f t="shared" si="12"/>
        <v>142</v>
      </c>
      <c r="S207" t="str">
        <f t="shared" si="13"/>
        <v>Fail</v>
      </c>
      <c r="T207" t="str">
        <f t="shared" si="14"/>
        <v>C</v>
      </c>
      <c r="U207">
        <f t="shared" si="15"/>
        <v>0</v>
      </c>
    </row>
    <row r="208" spans="1:21">
      <c r="A208" t="s">
        <v>994</v>
      </c>
      <c r="B208" t="s">
        <v>712</v>
      </c>
      <c r="C208" t="s">
        <v>19</v>
      </c>
      <c r="D208" t="s">
        <v>51</v>
      </c>
      <c r="E208" t="s">
        <v>52</v>
      </c>
      <c r="F208" t="s">
        <v>53</v>
      </c>
      <c r="G208" s="5">
        <v>45925</v>
      </c>
      <c r="H208" s="5">
        <v>46051</v>
      </c>
      <c r="I208" s="3">
        <v>99</v>
      </c>
      <c r="J208" s="4">
        <v>2.8</v>
      </c>
      <c r="K208" s="3">
        <v>44</v>
      </c>
      <c r="L208" s="3">
        <v>73</v>
      </c>
      <c r="M208" s="3">
        <v>35</v>
      </c>
      <c r="N208" t="s">
        <v>32</v>
      </c>
      <c r="O208" t="s">
        <v>995</v>
      </c>
      <c r="P208" s="4" t="s">
        <v>996</v>
      </c>
      <c r="Q208" t="s">
        <v>997</v>
      </c>
      <c r="R208" s="8">
        <f t="shared" si="12"/>
        <v>152</v>
      </c>
      <c r="S208" t="str">
        <f t="shared" si="13"/>
        <v>Pass</v>
      </c>
      <c r="T208" t="str">
        <f t="shared" si="14"/>
        <v>B</v>
      </c>
      <c r="U208">
        <f t="shared" si="15"/>
        <v>0</v>
      </c>
    </row>
    <row r="209" spans="1:21">
      <c r="A209" t="s">
        <v>998</v>
      </c>
      <c r="B209" t="s">
        <v>805</v>
      </c>
      <c r="C209" t="s">
        <v>29</v>
      </c>
      <c r="D209" t="s">
        <v>71</v>
      </c>
      <c r="E209" t="s">
        <v>72</v>
      </c>
      <c r="F209" t="s">
        <v>22</v>
      </c>
      <c r="G209" s="5">
        <v>45963</v>
      </c>
      <c r="H209" s="5">
        <v>46099</v>
      </c>
      <c r="I209" s="3">
        <v>66</v>
      </c>
      <c r="J209" s="4">
        <v>3.01</v>
      </c>
      <c r="K209" s="3">
        <v>61</v>
      </c>
      <c r="L209" s="3">
        <v>89</v>
      </c>
      <c r="M209" s="3">
        <v>89</v>
      </c>
      <c r="N209" t="s">
        <v>23</v>
      </c>
      <c r="O209" t="s">
        <v>999</v>
      </c>
      <c r="P209" s="4" t="s">
        <v>1000</v>
      </c>
      <c r="Q209" t="s">
        <v>1001</v>
      </c>
      <c r="R209" s="8">
        <f t="shared" si="12"/>
        <v>239</v>
      </c>
      <c r="S209" t="str">
        <f t="shared" si="13"/>
        <v>Pass</v>
      </c>
      <c r="T209" t="str">
        <f t="shared" si="14"/>
        <v>A</v>
      </c>
      <c r="U209">
        <f t="shared" si="15"/>
        <v>0</v>
      </c>
    </row>
    <row r="210" spans="1:21">
      <c r="A210" t="s">
        <v>1002</v>
      </c>
      <c r="B210" t="s">
        <v>1003</v>
      </c>
      <c r="C210" t="s">
        <v>19</v>
      </c>
      <c r="D210" t="s">
        <v>59</v>
      </c>
      <c r="E210" t="s">
        <v>60</v>
      </c>
      <c r="F210" t="s">
        <v>193</v>
      </c>
      <c r="G210" s="5">
        <v>46058</v>
      </c>
      <c r="H210" s="5">
        <v>46153</v>
      </c>
      <c r="I210" s="3">
        <v>83</v>
      </c>
      <c r="J210" s="4">
        <v>3.1</v>
      </c>
      <c r="K210" s="3">
        <v>64</v>
      </c>
      <c r="L210" s="3">
        <v>35</v>
      </c>
      <c r="M210" s="3">
        <v>57</v>
      </c>
      <c r="N210" t="s">
        <v>23</v>
      </c>
      <c r="O210" t="s">
        <v>1004</v>
      </c>
      <c r="P210" s="4" t="s">
        <v>1005</v>
      </c>
      <c r="Q210" t="s">
        <v>1006</v>
      </c>
      <c r="R210" s="8">
        <f t="shared" si="12"/>
        <v>156</v>
      </c>
      <c r="S210" t="str">
        <f t="shared" si="13"/>
        <v>Pass</v>
      </c>
      <c r="T210" t="str">
        <f t="shared" si="14"/>
        <v>B</v>
      </c>
      <c r="U210">
        <f t="shared" si="15"/>
        <v>0</v>
      </c>
    </row>
    <row r="211" spans="1:21">
      <c r="A211" t="s">
        <v>1007</v>
      </c>
      <c r="B211" t="s">
        <v>1008</v>
      </c>
      <c r="C211" t="s">
        <v>19</v>
      </c>
      <c r="D211" t="s">
        <v>30</v>
      </c>
      <c r="E211" t="s">
        <v>31</v>
      </c>
      <c r="F211" t="s">
        <v>193</v>
      </c>
      <c r="G211" s="5">
        <v>45990</v>
      </c>
      <c r="H211" s="5">
        <v>46105</v>
      </c>
      <c r="I211" s="3">
        <v>84</v>
      </c>
      <c r="J211" s="4">
        <v>3.16</v>
      </c>
      <c r="K211" s="3">
        <v>92</v>
      </c>
      <c r="L211" s="3">
        <v>73</v>
      </c>
      <c r="M211" s="3">
        <v>40</v>
      </c>
      <c r="N211" t="s">
        <v>23</v>
      </c>
      <c r="O211" t="s">
        <v>1009</v>
      </c>
      <c r="P211" s="4" t="s">
        <v>1010</v>
      </c>
      <c r="Q211" t="s">
        <v>1011</v>
      </c>
      <c r="R211" s="8">
        <f t="shared" si="12"/>
        <v>205</v>
      </c>
      <c r="S211" t="str">
        <f t="shared" si="13"/>
        <v>Pass</v>
      </c>
      <c r="T211" t="str">
        <f t="shared" si="14"/>
        <v>A</v>
      </c>
      <c r="U211">
        <f t="shared" si="15"/>
        <v>0</v>
      </c>
    </row>
    <row r="212" spans="1:21">
      <c r="A212" t="s">
        <v>1012</v>
      </c>
      <c r="B212" t="s">
        <v>104</v>
      </c>
      <c r="C212" t="s">
        <v>19</v>
      </c>
      <c r="D212" t="s">
        <v>43</v>
      </c>
      <c r="E212" t="s">
        <v>44</v>
      </c>
      <c r="G212" s="5">
        <v>45996</v>
      </c>
      <c r="H212" s="5">
        <v>46084</v>
      </c>
      <c r="I212" s="3">
        <v>87</v>
      </c>
      <c r="J212" s="4">
        <v>2.65</v>
      </c>
      <c r="K212" s="3">
        <v>78</v>
      </c>
      <c r="L212" s="3">
        <v>52</v>
      </c>
      <c r="M212" s="3">
        <v>79</v>
      </c>
      <c r="N212" t="s">
        <v>23</v>
      </c>
      <c r="O212" t="s">
        <v>1013</v>
      </c>
      <c r="P212" s="4" t="s">
        <v>1014</v>
      </c>
      <c r="Q212" t="s">
        <v>1015</v>
      </c>
      <c r="R212" s="8">
        <f t="shared" si="12"/>
        <v>209</v>
      </c>
      <c r="S212" t="str">
        <f t="shared" si="13"/>
        <v>Pass</v>
      </c>
      <c r="T212" t="str">
        <f t="shared" si="14"/>
        <v>A</v>
      </c>
      <c r="U212">
        <f t="shared" si="15"/>
        <v>0</v>
      </c>
    </row>
    <row r="213" spans="1:21">
      <c r="A213" t="s">
        <v>1016</v>
      </c>
      <c r="B213" t="s">
        <v>1017</v>
      </c>
      <c r="C213" t="s">
        <v>29</v>
      </c>
      <c r="D213" t="s">
        <v>59</v>
      </c>
      <c r="E213" t="s">
        <v>60</v>
      </c>
      <c r="F213" t="s">
        <v>84</v>
      </c>
      <c r="G213" s="5">
        <v>45936</v>
      </c>
      <c r="H213" s="5">
        <v>46029</v>
      </c>
      <c r="I213" s="3">
        <v>75</v>
      </c>
      <c r="J213" s="4">
        <v>3.65</v>
      </c>
      <c r="K213" s="3">
        <v>79</v>
      </c>
      <c r="L213" s="3">
        <v>41</v>
      </c>
      <c r="M213" s="3">
        <v>75</v>
      </c>
      <c r="N213" t="s">
        <v>78</v>
      </c>
      <c r="O213" t="s">
        <v>1018</v>
      </c>
      <c r="P213" s="4" t="s">
        <v>1019</v>
      </c>
      <c r="Q213" t="s">
        <v>1020</v>
      </c>
      <c r="R213" s="8">
        <f t="shared" si="12"/>
        <v>195</v>
      </c>
      <c r="S213" t="str">
        <f t="shared" si="13"/>
        <v>Pass</v>
      </c>
      <c r="T213" t="str">
        <f t="shared" si="14"/>
        <v>B</v>
      </c>
      <c r="U213">
        <f t="shared" si="15"/>
        <v>0</v>
      </c>
    </row>
    <row r="214" spans="1:21">
      <c r="A214" t="s">
        <v>1021</v>
      </c>
      <c r="B214" t="s">
        <v>232</v>
      </c>
      <c r="C214" t="s">
        <v>19</v>
      </c>
      <c r="D214" t="s">
        <v>30</v>
      </c>
      <c r="E214" t="s">
        <v>31</v>
      </c>
      <c r="F214" t="s">
        <v>45</v>
      </c>
      <c r="G214" s="5">
        <v>46068</v>
      </c>
      <c r="H214" s="5">
        <v>46201</v>
      </c>
      <c r="I214" s="3">
        <v>81</v>
      </c>
      <c r="J214" s="4">
        <v>3.31</v>
      </c>
      <c r="K214" s="3">
        <v>66</v>
      </c>
      <c r="L214" s="3">
        <v>91</v>
      </c>
      <c r="M214" s="3">
        <v>92</v>
      </c>
      <c r="N214" t="s">
        <v>23</v>
      </c>
      <c r="O214" t="s">
        <v>1022</v>
      </c>
      <c r="P214" s="4" t="s">
        <v>1023</v>
      </c>
      <c r="Q214" t="s">
        <v>1024</v>
      </c>
      <c r="R214" s="8">
        <f t="shared" si="12"/>
        <v>249</v>
      </c>
      <c r="S214" t="str">
        <f t="shared" si="13"/>
        <v>Pass</v>
      </c>
      <c r="T214" t="str">
        <f t="shared" si="14"/>
        <v>A</v>
      </c>
      <c r="U214">
        <f t="shared" si="15"/>
        <v>0</v>
      </c>
    </row>
    <row r="215" spans="1:21">
      <c r="A215" t="s">
        <v>1025</v>
      </c>
      <c r="B215" t="s">
        <v>1026</v>
      </c>
      <c r="C215" t="s">
        <v>19</v>
      </c>
      <c r="D215" t="s">
        <v>43</v>
      </c>
      <c r="E215" t="s">
        <v>44</v>
      </c>
      <c r="F215" t="s">
        <v>84</v>
      </c>
      <c r="G215" s="5">
        <v>45958</v>
      </c>
      <c r="H215" s="5">
        <v>46096</v>
      </c>
      <c r="I215" s="3">
        <v>73</v>
      </c>
      <c r="J215" s="4">
        <v>2.17</v>
      </c>
      <c r="K215" s="3">
        <v>69</v>
      </c>
      <c r="L215" s="3">
        <v>98</v>
      </c>
      <c r="M215" s="3">
        <v>100</v>
      </c>
      <c r="N215" t="s">
        <v>23</v>
      </c>
      <c r="O215" t="s">
        <v>1027</v>
      </c>
      <c r="P215" s="4" t="s">
        <v>1028</v>
      </c>
      <c r="Q215" t="s">
        <v>1029</v>
      </c>
      <c r="R215" s="8">
        <f t="shared" si="12"/>
        <v>267</v>
      </c>
      <c r="S215" t="str">
        <f t="shared" si="13"/>
        <v>Pass</v>
      </c>
      <c r="T215" t="str">
        <f t="shared" si="14"/>
        <v>A</v>
      </c>
      <c r="U215">
        <f t="shared" si="15"/>
        <v>0</v>
      </c>
    </row>
    <row r="216" spans="1:21">
      <c r="A216" t="s">
        <v>1030</v>
      </c>
      <c r="B216" t="s">
        <v>187</v>
      </c>
      <c r="C216" t="s">
        <v>19</v>
      </c>
      <c r="D216" t="s">
        <v>30</v>
      </c>
      <c r="E216" t="s">
        <v>31</v>
      </c>
      <c r="F216" t="s">
        <v>193</v>
      </c>
      <c r="G216" s="5">
        <v>46013</v>
      </c>
      <c r="H216" s="5">
        <v>46152</v>
      </c>
      <c r="I216" s="3">
        <v>68</v>
      </c>
      <c r="J216" s="4">
        <v>3.98</v>
      </c>
      <c r="K216" s="3">
        <v>46</v>
      </c>
      <c r="L216" s="3">
        <v>66</v>
      </c>
      <c r="M216" s="3">
        <v>68</v>
      </c>
      <c r="N216" t="s">
        <v>78</v>
      </c>
      <c r="O216" t="s">
        <v>1031</v>
      </c>
      <c r="P216" s="4" t="s">
        <v>1032</v>
      </c>
      <c r="Q216" t="s">
        <v>1033</v>
      </c>
      <c r="R216" s="8">
        <f t="shared" si="12"/>
        <v>180</v>
      </c>
      <c r="S216" t="str">
        <f t="shared" si="13"/>
        <v>Pass</v>
      </c>
      <c r="T216" t="str">
        <f t="shared" si="14"/>
        <v>B</v>
      </c>
      <c r="U216">
        <f t="shared" si="15"/>
        <v>0</v>
      </c>
    </row>
    <row r="217" spans="1:21">
      <c r="A217" t="s">
        <v>1034</v>
      </c>
      <c r="B217" t="s">
        <v>1035</v>
      </c>
      <c r="C217" t="s">
        <v>19</v>
      </c>
      <c r="D217" t="s">
        <v>43</v>
      </c>
      <c r="E217" t="s">
        <v>44</v>
      </c>
      <c r="F217" t="s">
        <v>53</v>
      </c>
      <c r="G217" s="5">
        <v>45931</v>
      </c>
      <c r="H217" s="5">
        <v>46031</v>
      </c>
      <c r="I217" s="3">
        <v>68</v>
      </c>
      <c r="J217" s="4">
        <v>3.58</v>
      </c>
      <c r="K217" s="3">
        <v>77</v>
      </c>
      <c r="L217" s="3">
        <v>79</v>
      </c>
      <c r="M217" s="3">
        <v>84</v>
      </c>
      <c r="N217" t="s">
        <v>23</v>
      </c>
      <c r="O217" t="s">
        <v>1036</v>
      </c>
      <c r="P217" s="4" t="s">
        <v>1037</v>
      </c>
      <c r="Q217" t="s">
        <v>1038</v>
      </c>
      <c r="R217" s="8">
        <f t="shared" si="12"/>
        <v>240</v>
      </c>
      <c r="S217" t="str">
        <f t="shared" si="13"/>
        <v>Pass</v>
      </c>
      <c r="T217" t="str">
        <f t="shared" si="14"/>
        <v>A</v>
      </c>
      <c r="U217">
        <f t="shared" si="15"/>
        <v>0</v>
      </c>
    </row>
    <row r="218" spans="1:21">
      <c r="A218" t="s">
        <v>1039</v>
      </c>
      <c r="B218" t="s">
        <v>1040</v>
      </c>
      <c r="C218" t="s">
        <v>29</v>
      </c>
      <c r="D218" t="s">
        <v>30</v>
      </c>
      <c r="E218" t="s">
        <v>31</v>
      </c>
      <c r="F218" t="s">
        <v>84</v>
      </c>
      <c r="G218" s="5">
        <v>46037</v>
      </c>
      <c r="H218" s="5">
        <v>46142</v>
      </c>
      <c r="I218" s="3">
        <v>93</v>
      </c>
      <c r="J218" s="4">
        <v>2.99</v>
      </c>
      <c r="K218" s="3">
        <v>60</v>
      </c>
      <c r="L218" s="3">
        <v>72</v>
      </c>
      <c r="M218" s="3">
        <v>67</v>
      </c>
      <c r="N218" t="s">
        <v>23</v>
      </c>
      <c r="O218" t="s">
        <v>1041</v>
      </c>
      <c r="P218" s="4" t="s">
        <v>1042</v>
      </c>
      <c r="Q218" t="s">
        <v>1043</v>
      </c>
      <c r="R218" s="8">
        <f t="shared" si="12"/>
        <v>199</v>
      </c>
      <c r="S218" t="str">
        <f t="shared" si="13"/>
        <v>Pass</v>
      </c>
      <c r="T218" t="str">
        <f t="shared" si="14"/>
        <v>B</v>
      </c>
      <c r="U218">
        <f t="shared" si="15"/>
        <v>0</v>
      </c>
    </row>
    <row r="219" spans="1:21">
      <c r="A219" t="s">
        <v>1044</v>
      </c>
      <c r="B219" t="s">
        <v>77</v>
      </c>
      <c r="C219" t="s">
        <v>19</v>
      </c>
      <c r="D219" t="s">
        <v>43</v>
      </c>
      <c r="E219" t="s">
        <v>44</v>
      </c>
      <c r="F219" t="s">
        <v>84</v>
      </c>
      <c r="G219" s="5">
        <v>46068</v>
      </c>
      <c r="H219" s="5">
        <v>46154</v>
      </c>
      <c r="I219" s="3">
        <v>99</v>
      </c>
      <c r="J219" s="4">
        <v>3.71</v>
      </c>
      <c r="K219" s="3">
        <v>55</v>
      </c>
      <c r="L219" s="3">
        <v>53</v>
      </c>
      <c r="M219" s="3">
        <v>71</v>
      </c>
      <c r="N219" t="s">
        <v>32</v>
      </c>
      <c r="O219" t="s">
        <v>1045</v>
      </c>
      <c r="P219" s="4" t="s">
        <v>1046</v>
      </c>
      <c r="Q219" t="s">
        <v>1047</v>
      </c>
      <c r="R219" s="8">
        <f t="shared" si="12"/>
        <v>179</v>
      </c>
      <c r="S219" t="str">
        <f t="shared" si="13"/>
        <v>Pass</v>
      </c>
      <c r="T219" t="str">
        <f t="shared" si="14"/>
        <v>B</v>
      </c>
      <c r="U219">
        <f t="shared" si="15"/>
        <v>0</v>
      </c>
    </row>
    <row r="220" spans="1:21">
      <c r="A220" t="s">
        <v>1048</v>
      </c>
      <c r="B220" t="s">
        <v>1049</v>
      </c>
      <c r="C220" t="s">
        <v>19</v>
      </c>
      <c r="D220" t="s">
        <v>71</v>
      </c>
      <c r="E220" t="s">
        <v>1050</v>
      </c>
      <c r="F220" t="s">
        <v>53</v>
      </c>
      <c r="G220" s="5">
        <v>45997</v>
      </c>
      <c r="H220" s="5">
        <v>46124</v>
      </c>
      <c r="I220" s="3">
        <v>59</v>
      </c>
      <c r="J220" s="4">
        <v>3.19</v>
      </c>
      <c r="K220" s="3">
        <v>96</v>
      </c>
      <c r="L220" s="3">
        <v>46</v>
      </c>
      <c r="M220" s="3">
        <v>81</v>
      </c>
      <c r="N220" t="s">
        <v>23</v>
      </c>
      <c r="O220" t="s">
        <v>1051</v>
      </c>
      <c r="P220" s="4" t="s">
        <v>1052</v>
      </c>
      <c r="Q220" t="s">
        <v>1053</v>
      </c>
      <c r="R220" s="8">
        <f t="shared" si="12"/>
        <v>223</v>
      </c>
      <c r="S220" t="str">
        <f t="shared" si="13"/>
        <v>Pass</v>
      </c>
      <c r="T220" t="str">
        <f t="shared" si="14"/>
        <v>A</v>
      </c>
      <c r="U220">
        <f t="shared" si="15"/>
        <v>0</v>
      </c>
    </row>
    <row r="221" spans="1:21">
      <c r="A221" t="s">
        <v>1054</v>
      </c>
      <c r="B221" t="s">
        <v>1055</v>
      </c>
      <c r="C221" t="s">
        <v>19</v>
      </c>
      <c r="D221" t="s">
        <v>51</v>
      </c>
      <c r="E221" t="s">
        <v>52</v>
      </c>
      <c r="F221" t="s">
        <v>45</v>
      </c>
      <c r="G221" s="5">
        <v>45901</v>
      </c>
      <c r="H221" s="5">
        <v>45982</v>
      </c>
      <c r="I221" s="3">
        <v>84</v>
      </c>
      <c r="J221" s="4">
        <v>3.2</v>
      </c>
      <c r="K221" s="3">
        <v>84</v>
      </c>
      <c r="L221" s="3">
        <v>80</v>
      </c>
      <c r="M221" s="3">
        <v>38</v>
      </c>
      <c r="N221" t="s">
        <v>32</v>
      </c>
      <c r="O221" t="s">
        <v>1056</v>
      </c>
      <c r="P221" s="4" t="s">
        <v>1057</v>
      </c>
      <c r="Q221" t="s">
        <v>1058</v>
      </c>
      <c r="R221" s="8">
        <f t="shared" si="12"/>
        <v>202</v>
      </c>
      <c r="S221" t="str">
        <f t="shared" si="13"/>
        <v>Pass</v>
      </c>
      <c r="T221" t="str">
        <f t="shared" si="14"/>
        <v>A</v>
      </c>
      <c r="U221">
        <f t="shared" si="15"/>
        <v>0</v>
      </c>
    </row>
    <row r="222" spans="1:21">
      <c r="A222" t="s">
        <v>1059</v>
      </c>
      <c r="B222" t="s">
        <v>1060</v>
      </c>
      <c r="C222" t="s">
        <v>29</v>
      </c>
      <c r="D222" t="s">
        <v>59</v>
      </c>
      <c r="E222" t="s">
        <v>60</v>
      </c>
      <c r="F222" t="s">
        <v>84</v>
      </c>
      <c r="G222" s="5">
        <v>45983</v>
      </c>
      <c r="H222" s="5">
        <v>46089</v>
      </c>
      <c r="I222" s="3">
        <v>0</v>
      </c>
      <c r="J222" s="4">
        <v>3</v>
      </c>
      <c r="K222" s="3">
        <v>48</v>
      </c>
      <c r="L222" s="3">
        <v>97</v>
      </c>
      <c r="M222" s="3">
        <v>73</v>
      </c>
      <c r="N222" t="s">
        <v>78</v>
      </c>
      <c r="O222" t="s">
        <v>1061</v>
      </c>
      <c r="P222" s="4" t="s">
        <v>1062</v>
      </c>
      <c r="Q222" t="s">
        <v>1063</v>
      </c>
      <c r="R222" s="8">
        <f t="shared" si="12"/>
        <v>218</v>
      </c>
      <c r="S222" t="str">
        <f t="shared" si="13"/>
        <v>Pass</v>
      </c>
      <c r="T222" t="str">
        <f t="shared" si="14"/>
        <v>A</v>
      </c>
      <c r="U222">
        <f t="shared" si="15"/>
        <v>0</v>
      </c>
    </row>
    <row r="223" spans="1:21">
      <c r="A223" t="s">
        <v>1064</v>
      </c>
      <c r="B223" t="s">
        <v>934</v>
      </c>
      <c r="C223" t="s">
        <v>19</v>
      </c>
      <c r="D223" t="s">
        <v>43</v>
      </c>
      <c r="E223" t="s">
        <v>44</v>
      </c>
      <c r="F223" t="s">
        <v>193</v>
      </c>
      <c r="G223" s="5">
        <v>45941</v>
      </c>
      <c r="H223" s="5">
        <v>46067</v>
      </c>
      <c r="I223" s="3">
        <v>84</v>
      </c>
      <c r="J223" s="4">
        <v>1.8</v>
      </c>
      <c r="K223" s="3">
        <v>67</v>
      </c>
      <c r="L223" s="3">
        <v>60</v>
      </c>
      <c r="M223" s="3">
        <v>46</v>
      </c>
      <c r="N223" t="s">
        <v>78</v>
      </c>
      <c r="O223" t="s">
        <v>1065</v>
      </c>
      <c r="P223" s="4" t="s">
        <v>1066</v>
      </c>
      <c r="Q223" t="s">
        <v>1067</v>
      </c>
      <c r="R223" s="8">
        <f t="shared" si="12"/>
        <v>173</v>
      </c>
      <c r="S223" t="str">
        <f t="shared" si="13"/>
        <v>Pass</v>
      </c>
      <c r="T223" t="str">
        <f t="shared" si="14"/>
        <v>B</v>
      </c>
      <c r="U223">
        <f t="shared" si="15"/>
        <v>0</v>
      </c>
    </row>
    <row r="224" spans="1:21">
      <c r="A224" t="s">
        <v>1068</v>
      </c>
      <c r="B224" t="s">
        <v>1069</v>
      </c>
      <c r="C224" t="s">
        <v>29</v>
      </c>
      <c r="D224" t="s">
        <v>71</v>
      </c>
      <c r="E224" t="s">
        <v>72</v>
      </c>
      <c r="F224" t="s">
        <v>84</v>
      </c>
      <c r="G224" s="5">
        <v>45965</v>
      </c>
      <c r="H224" s="5">
        <v>46045</v>
      </c>
      <c r="I224" s="3">
        <v>78</v>
      </c>
      <c r="J224" s="4">
        <v>3.26</v>
      </c>
      <c r="K224" s="3">
        <v>81</v>
      </c>
      <c r="L224" s="3">
        <v>56</v>
      </c>
      <c r="M224" s="3">
        <v>36</v>
      </c>
      <c r="N224" t="s">
        <v>23</v>
      </c>
      <c r="O224" t="s">
        <v>1070</v>
      </c>
      <c r="P224" s="4" t="s">
        <v>1071</v>
      </c>
      <c r="Q224" t="s">
        <v>1072</v>
      </c>
      <c r="R224" s="8">
        <f t="shared" si="12"/>
        <v>173</v>
      </c>
      <c r="S224" t="str">
        <f t="shared" si="13"/>
        <v>Pass</v>
      </c>
      <c r="T224" t="str">
        <f t="shared" si="14"/>
        <v>B</v>
      </c>
      <c r="U224">
        <f t="shared" si="15"/>
        <v>0</v>
      </c>
    </row>
    <row r="225" spans="1:21">
      <c r="A225" t="s">
        <v>1073</v>
      </c>
      <c r="B225" t="s">
        <v>505</v>
      </c>
      <c r="C225" t="s">
        <v>29</v>
      </c>
      <c r="D225" t="s">
        <v>71</v>
      </c>
      <c r="E225" t="s">
        <v>72</v>
      </c>
      <c r="F225" t="s">
        <v>193</v>
      </c>
      <c r="G225" s="5">
        <v>45901</v>
      </c>
      <c r="H225" s="5">
        <v>45998</v>
      </c>
      <c r="I225" s="3">
        <v>85</v>
      </c>
      <c r="J225" s="4">
        <v>1.97</v>
      </c>
      <c r="K225" s="3">
        <v>77</v>
      </c>
      <c r="L225" s="3">
        <v>63</v>
      </c>
      <c r="M225" s="3">
        <v>96</v>
      </c>
      <c r="N225" t="s">
        <v>23</v>
      </c>
      <c r="O225" t="s">
        <v>1074</v>
      </c>
      <c r="P225" s="4" t="s">
        <v>1075</v>
      </c>
      <c r="Q225" t="s">
        <v>1076</v>
      </c>
      <c r="R225" s="8">
        <f t="shared" si="12"/>
        <v>236</v>
      </c>
      <c r="S225" t="str">
        <f t="shared" si="13"/>
        <v>Pass</v>
      </c>
      <c r="T225" t="str">
        <f t="shared" si="14"/>
        <v>A</v>
      </c>
      <c r="U225">
        <f t="shared" si="15"/>
        <v>0</v>
      </c>
    </row>
    <row r="226" spans="1:21">
      <c r="A226" t="s">
        <v>1077</v>
      </c>
      <c r="B226" t="s">
        <v>805</v>
      </c>
      <c r="C226" t="s">
        <v>29</v>
      </c>
      <c r="D226" t="s">
        <v>59</v>
      </c>
      <c r="E226" t="s">
        <v>60</v>
      </c>
      <c r="F226" t="s">
        <v>111</v>
      </c>
      <c r="G226" s="5">
        <v>45934</v>
      </c>
      <c r="H226" s="5">
        <v>46065</v>
      </c>
      <c r="I226" s="3">
        <v>59</v>
      </c>
      <c r="J226" s="4">
        <v>2.2999999999999998</v>
      </c>
      <c r="K226" s="3">
        <v>45</v>
      </c>
      <c r="L226" s="3">
        <v>48</v>
      </c>
      <c r="M226" s="3">
        <v>43</v>
      </c>
      <c r="N226" t="s">
        <v>23</v>
      </c>
      <c r="O226" t="s">
        <v>1078</v>
      </c>
      <c r="P226" s="4" t="s">
        <v>1079</v>
      </c>
      <c r="Q226" t="s">
        <v>1080</v>
      </c>
      <c r="R226" s="8">
        <f t="shared" si="12"/>
        <v>136</v>
      </c>
      <c r="S226" t="str">
        <f t="shared" si="13"/>
        <v>Fail</v>
      </c>
      <c r="T226" t="str">
        <f t="shared" si="14"/>
        <v>C</v>
      </c>
      <c r="U226">
        <f t="shared" si="15"/>
        <v>0</v>
      </c>
    </row>
    <row r="227" spans="1:21">
      <c r="A227" t="s">
        <v>1081</v>
      </c>
      <c r="B227" t="s">
        <v>1082</v>
      </c>
      <c r="C227" t="s">
        <v>29</v>
      </c>
      <c r="D227" t="s">
        <v>71</v>
      </c>
      <c r="E227" t="s">
        <v>72</v>
      </c>
      <c r="F227" t="s">
        <v>111</v>
      </c>
      <c r="G227" s="5">
        <v>45937</v>
      </c>
      <c r="H227" s="5">
        <v>46015</v>
      </c>
      <c r="I227" s="3">
        <v>88</v>
      </c>
      <c r="J227" s="4">
        <v>3.04</v>
      </c>
      <c r="K227" s="3">
        <v>79</v>
      </c>
      <c r="L227" s="3">
        <v>56</v>
      </c>
      <c r="M227" s="3">
        <v>86</v>
      </c>
      <c r="N227" t="s">
        <v>23</v>
      </c>
      <c r="O227" t="s">
        <v>1083</v>
      </c>
      <c r="P227" s="4" t="s">
        <v>1084</v>
      </c>
      <c r="Q227" t="s">
        <v>1085</v>
      </c>
      <c r="R227" s="8">
        <f t="shared" si="12"/>
        <v>221</v>
      </c>
      <c r="S227" t="str">
        <f t="shared" si="13"/>
        <v>Pass</v>
      </c>
      <c r="T227" t="str">
        <f t="shared" si="14"/>
        <v>A</v>
      </c>
      <c r="U227">
        <f t="shared" si="15"/>
        <v>0</v>
      </c>
    </row>
    <row r="228" spans="1:21">
      <c r="A228" t="s">
        <v>1086</v>
      </c>
      <c r="B228" t="s">
        <v>393</v>
      </c>
      <c r="C228" t="s">
        <v>19</v>
      </c>
      <c r="D228" t="s">
        <v>20</v>
      </c>
      <c r="E228" t="s">
        <v>21</v>
      </c>
      <c r="F228" t="s">
        <v>193</v>
      </c>
      <c r="G228" s="5">
        <v>45926</v>
      </c>
      <c r="H228" s="5">
        <v>46013</v>
      </c>
      <c r="I228" s="3">
        <v>115</v>
      </c>
      <c r="J228" s="4">
        <v>3.1</v>
      </c>
      <c r="K228" s="3">
        <v>64</v>
      </c>
      <c r="L228" s="3">
        <v>79</v>
      </c>
      <c r="M228" s="3">
        <v>84</v>
      </c>
      <c r="N228" t="s">
        <v>23</v>
      </c>
      <c r="O228" t="s">
        <v>1087</v>
      </c>
      <c r="P228" s="4" t="s">
        <v>1088</v>
      </c>
      <c r="Q228" t="s">
        <v>1089</v>
      </c>
      <c r="R228" s="8">
        <f t="shared" si="12"/>
        <v>227</v>
      </c>
      <c r="S228" t="str">
        <f t="shared" si="13"/>
        <v>Pass</v>
      </c>
      <c r="T228" t="str">
        <f t="shared" si="14"/>
        <v>A</v>
      </c>
      <c r="U228">
        <f t="shared" si="15"/>
        <v>0</v>
      </c>
    </row>
    <row r="229" spans="1:21">
      <c r="A229" t="s">
        <v>1090</v>
      </c>
      <c r="B229" t="s">
        <v>146</v>
      </c>
      <c r="C229" t="s">
        <v>29</v>
      </c>
      <c r="D229" t="s">
        <v>20</v>
      </c>
      <c r="E229" t="s">
        <v>21</v>
      </c>
      <c r="F229" t="s">
        <v>45</v>
      </c>
      <c r="G229" s="5">
        <v>46054</v>
      </c>
      <c r="H229" s="5">
        <v>46160</v>
      </c>
      <c r="I229" s="3">
        <v>99</v>
      </c>
      <c r="J229" s="4">
        <v>1.86</v>
      </c>
      <c r="K229" s="3">
        <v>94</v>
      </c>
      <c r="L229" s="3">
        <v>73</v>
      </c>
      <c r="M229" s="3">
        <v>56</v>
      </c>
      <c r="N229" t="s">
        <v>23</v>
      </c>
      <c r="O229" t="s">
        <v>1091</v>
      </c>
      <c r="P229" s="4" t="s">
        <v>1092</v>
      </c>
      <c r="Q229" t="s">
        <v>1093</v>
      </c>
      <c r="R229" s="8">
        <f t="shared" si="12"/>
        <v>223</v>
      </c>
      <c r="S229" t="str">
        <f t="shared" si="13"/>
        <v>Pass</v>
      </c>
      <c r="T229" t="str">
        <f t="shared" si="14"/>
        <v>A</v>
      </c>
      <c r="U229">
        <f t="shared" si="15"/>
        <v>0</v>
      </c>
    </row>
    <row r="230" spans="1:21">
      <c r="A230" t="s">
        <v>1094</v>
      </c>
      <c r="B230" t="s">
        <v>1095</v>
      </c>
      <c r="C230" t="s">
        <v>29</v>
      </c>
      <c r="D230" t="s">
        <v>59</v>
      </c>
      <c r="E230" t="s">
        <v>60</v>
      </c>
      <c r="F230" t="s">
        <v>45</v>
      </c>
      <c r="G230" s="5">
        <v>46008</v>
      </c>
      <c r="H230" s="5">
        <v>46124</v>
      </c>
      <c r="I230" s="3">
        <v>89</v>
      </c>
      <c r="J230" s="4">
        <v>3.3</v>
      </c>
      <c r="K230" s="3">
        <v>88</v>
      </c>
      <c r="L230" s="3">
        <v>95</v>
      </c>
      <c r="M230" s="3">
        <v>39</v>
      </c>
      <c r="N230" t="s">
        <v>23</v>
      </c>
      <c r="O230" t="s">
        <v>1096</v>
      </c>
      <c r="P230" s="4" t="s">
        <v>1097</v>
      </c>
      <c r="Q230" t="s">
        <v>1098</v>
      </c>
      <c r="R230" s="8">
        <f t="shared" si="12"/>
        <v>222</v>
      </c>
      <c r="S230" t="str">
        <f t="shared" si="13"/>
        <v>Pass</v>
      </c>
      <c r="T230" t="str">
        <f t="shared" si="14"/>
        <v>A</v>
      </c>
      <c r="U230">
        <f t="shared" si="15"/>
        <v>0</v>
      </c>
    </row>
    <row r="231" spans="1:21">
      <c r="A231" t="s">
        <v>1099</v>
      </c>
      <c r="B231" t="s">
        <v>614</v>
      </c>
      <c r="C231" t="s">
        <v>29</v>
      </c>
      <c r="D231" t="s">
        <v>43</v>
      </c>
      <c r="E231" t="s">
        <v>44</v>
      </c>
      <c r="F231" t="s">
        <v>193</v>
      </c>
      <c r="G231" s="5">
        <v>46002</v>
      </c>
      <c r="H231" s="5">
        <v>46136</v>
      </c>
      <c r="I231" s="3">
        <v>73</v>
      </c>
      <c r="J231" s="4"/>
      <c r="K231" s="3">
        <v>72</v>
      </c>
      <c r="L231" s="3">
        <v>88</v>
      </c>
      <c r="M231" s="3">
        <v>84</v>
      </c>
      <c r="N231" t="s">
        <v>23</v>
      </c>
      <c r="O231" t="s">
        <v>1100</v>
      </c>
      <c r="P231" s="4" t="s">
        <v>1101</v>
      </c>
      <c r="Q231" t="s">
        <v>1102</v>
      </c>
      <c r="R231" s="8">
        <f t="shared" si="12"/>
        <v>244</v>
      </c>
      <c r="S231" t="str">
        <f t="shared" si="13"/>
        <v>Pass</v>
      </c>
      <c r="T231" t="str">
        <f t="shared" si="14"/>
        <v>A</v>
      </c>
      <c r="U231">
        <f t="shared" si="15"/>
        <v>0</v>
      </c>
    </row>
    <row r="232" spans="1:21">
      <c r="A232" t="s">
        <v>1103</v>
      </c>
      <c r="B232" t="s">
        <v>70</v>
      </c>
      <c r="C232" t="s">
        <v>29</v>
      </c>
      <c r="D232" t="s">
        <v>51</v>
      </c>
      <c r="E232" t="s">
        <v>52</v>
      </c>
      <c r="F232" t="s">
        <v>193</v>
      </c>
      <c r="G232" s="5">
        <v>45980</v>
      </c>
      <c r="H232" s="5">
        <v>46060</v>
      </c>
      <c r="I232" s="3">
        <v>87</v>
      </c>
      <c r="J232" s="4">
        <v>3.83</v>
      </c>
      <c r="K232" s="3">
        <v>91</v>
      </c>
      <c r="L232" s="3">
        <v>54</v>
      </c>
      <c r="M232" s="3">
        <v>98</v>
      </c>
      <c r="N232" t="s">
        <v>23</v>
      </c>
      <c r="O232" t="s">
        <v>1104</v>
      </c>
      <c r="P232" s="4" t="s">
        <v>1105</v>
      </c>
      <c r="Q232" t="s">
        <v>1106</v>
      </c>
      <c r="R232" s="8">
        <f t="shared" si="12"/>
        <v>243</v>
      </c>
      <c r="S232" t="str">
        <f t="shared" si="13"/>
        <v>Pass</v>
      </c>
      <c r="T232" t="str">
        <f t="shared" si="14"/>
        <v>A</v>
      </c>
      <c r="U232">
        <f t="shared" si="15"/>
        <v>0</v>
      </c>
    </row>
    <row r="233" spans="1:21">
      <c r="A233" t="s">
        <v>1107</v>
      </c>
      <c r="B233" t="s">
        <v>1108</v>
      </c>
      <c r="C233" t="s">
        <v>19</v>
      </c>
      <c r="D233" t="s">
        <v>71</v>
      </c>
      <c r="E233" t="s">
        <v>72</v>
      </c>
      <c r="F233" t="s">
        <v>22</v>
      </c>
      <c r="G233" s="5">
        <v>45915</v>
      </c>
      <c r="H233" s="5">
        <v>46016</v>
      </c>
      <c r="I233" s="3">
        <v>60</v>
      </c>
      <c r="J233" s="4">
        <v>3.83</v>
      </c>
      <c r="K233" s="3">
        <v>47</v>
      </c>
      <c r="L233" s="3">
        <v>93</v>
      </c>
      <c r="M233" s="3">
        <v>37</v>
      </c>
      <c r="N233" t="s">
        <v>23</v>
      </c>
      <c r="O233" t="s">
        <v>1109</v>
      </c>
      <c r="P233" s="4" t="s">
        <v>1110</v>
      </c>
      <c r="Q233" t="s">
        <v>1111</v>
      </c>
      <c r="R233" s="8">
        <f t="shared" si="12"/>
        <v>177</v>
      </c>
      <c r="S233" t="str">
        <f t="shared" si="13"/>
        <v>Pass</v>
      </c>
      <c r="T233" t="str">
        <f t="shared" si="14"/>
        <v>B</v>
      </c>
      <c r="U233">
        <f t="shared" si="15"/>
        <v>0</v>
      </c>
    </row>
    <row r="234" spans="1:21">
      <c r="A234" t="s">
        <v>1112</v>
      </c>
      <c r="B234" t="s">
        <v>1113</v>
      </c>
      <c r="C234" t="s">
        <v>29</v>
      </c>
      <c r="D234" t="s">
        <v>71</v>
      </c>
      <c r="E234" t="s">
        <v>72</v>
      </c>
      <c r="F234" t="s">
        <v>22</v>
      </c>
      <c r="G234" s="5">
        <v>46080</v>
      </c>
      <c r="H234" s="5">
        <v>46151</v>
      </c>
      <c r="I234" s="3">
        <v>65</v>
      </c>
      <c r="J234" s="4">
        <v>2.89</v>
      </c>
      <c r="K234" s="3">
        <v>62</v>
      </c>
      <c r="L234" s="3">
        <v>68</v>
      </c>
      <c r="M234" s="3">
        <v>51</v>
      </c>
      <c r="N234" t="s">
        <v>23</v>
      </c>
      <c r="O234" t="s">
        <v>1114</v>
      </c>
      <c r="P234" s="4" t="s">
        <v>1115</v>
      </c>
      <c r="Q234" t="s">
        <v>1116</v>
      </c>
      <c r="R234" s="8">
        <f t="shared" si="12"/>
        <v>181</v>
      </c>
      <c r="S234" t="str">
        <f t="shared" si="13"/>
        <v>Pass</v>
      </c>
      <c r="T234" t="str">
        <f t="shared" si="14"/>
        <v>B</v>
      </c>
      <c r="U234">
        <f t="shared" si="15"/>
        <v>0</v>
      </c>
    </row>
    <row r="235" spans="1:21">
      <c r="A235" t="s">
        <v>1117</v>
      </c>
      <c r="B235" t="s">
        <v>18</v>
      </c>
      <c r="C235" t="s">
        <v>19</v>
      </c>
      <c r="D235" t="s">
        <v>59</v>
      </c>
      <c r="E235" t="s">
        <v>60</v>
      </c>
      <c r="F235" t="s">
        <v>84</v>
      </c>
      <c r="G235" s="5">
        <v>46035</v>
      </c>
      <c r="H235" s="5">
        <v>46113</v>
      </c>
      <c r="I235" s="3">
        <v>71</v>
      </c>
      <c r="J235" s="4">
        <v>3.37</v>
      </c>
      <c r="K235" s="3">
        <v>76</v>
      </c>
      <c r="L235" s="3">
        <v>44</v>
      </c>
      <c r="M235" s="3">
        <v>93</v>
      </c>
      <c r="N235" t="s">
        <v>23</v>
      </c>
      <c r="O235" t="s">
        <v>1118</v>
      </c>
      <c r="P235" s="4" t="s">
        <v>1119</v>
      </c>
      <c r="Q235" t="s">
        <v>1120</v>
      </c>
      <c r="R235" s="8">
        <f t="shared" si="12"/>
        <v>213</v>
      </c>
      <c r="S235" t="str">
        <f t="shared" si="13"/>
        <v>Pass</v>
      </c>
      <c r="T235" t="str">
        <f t="shared" si="14"/>
        <v>A</v>
      </c>
      <c r="U235">
        <f t="shared" si="15"/>
        <v>0</v>
      </c>
    </row>
    <row r="236" spans="1:21">
      <c r="A236" t="s">
        <v>1121</v>
      </c>
      <c r="B236" t="s">
        <v>1122</v>
      </c>
      <c r="C236" t="s">
        <v>29</v>
      </c>
      <c r="D236" t="s">
        <v>51</v>
      </c>
      <c r="E236" t="s">
        <v>52</v>
      </c>
      <c r="F236" t="s">
        <v>22</v>
      </c>
      <c r="G236" s="5">
        <v>45966</v>
      </c>
      <c r="H236" s="5">
        <v>46049</v>
      </c>
      <c r="I236" s="3">
        <v>91</v>
      </c>
      <c r="J236" s="4">
        <v>3.28</v>
      </c>
      <c r="K236" s="3">
        <v>47</v>
      </c>
      <c r="L236" s="3">
        <v>64</v>
      </c>
      <c r="M236" s="3">
        <v>95</v>
      </c>
      <c r="N236" t="s">
        <v>23</v>
      </c>
      <c r="O236" t="s">
        <v>1123</v>
      </c>
      <c r="P236" s="4" t="s">
        <v>1124</v>
      </c>
      <c r="Q236" t="s">
        <v>1125</v>
      </c>
      <c r="R236" s="8">
        <f t="shared" si="12"/>
        <v>206</v>
      </c>
      <c r="S236" t="str">
        <f t="shared" si="13"/>
        <v>Pass</v>
      </c>
      <c r="T236" t="str">
        <f t="shared" si="14"/>
        <v>A</v>
      </c>
      <c r="U236">
        <f t="shared" si="15"/>
        <v>0</v>
      </c>
    </row>
    <row r="237" spans="1:21">
      <c r="A237" t="s">
        <v>1126</v>
      </c>
      <c r="B237" t="s">
        <v>1127</v>
      </c>
      <c r="C237" t="s">
        <v>19</v>
      </c>
      <c r="D237" t="s">
        <v>51</v>
      </c>
      <c r="E237" t="s">
        <v>52</v>
      </c>
      <c r="F237" t="s">
        <v>53</v>
      </c>
      <c r="G237" s="5">
        <v>45939</v>
      </c>
      <c r="H237" s="5">
        <v>46031</v>
      </c>
      <c r="I237" s="3">
        <v>57</v>
      </c>
      <c r="J237" s="4">
        <v>4.8</v>
      </c>
      <c r="K237" s="3">
        <v>98</v>
      </c>
      <c r="L237" s="3">
        <v>88</v>
      </c>
      <c r="M237" s="3">
        <v>58</v>
      </c>
      <c r="N237" t="s">
        <v>23</v>
      </c>
      <c r="O237" t="s">
        <v>1128</v>
      </c>
      <c r="P237" s="4" t="s">
        <v>1129</v>
      </c>
      <c r="Q237" t="s">
        <v>1130</v>
      </c>
      <c r="R237" s="8">
        <f t="shared" si="12"/>
        <v>244</v>
      </c>
      <c r="S237" t="str">
        <f t="shared" si="13"/>
        <v>Pass</v>
      </c>
      <c r="T237" t="str">
        <f t="shared" si="14"/>
        <v>A</v>
      </c>
      <c r="U237">
        <f t="shared" si="15"/>
        <v>0</v>
      </c>
    </row>
    <row r="238" spans="1:21">
      <c r="A238" t="s">
        <v>1131</v>
      </c>
      <c r="B238" t="s">
        <v>644</v>
      </c>
      <c r="C238" t="s">
        <v>29</v>
      </c>
      <c r="D238" t="s">
        <v>30</v>
      </c>
      <c r="E238" t="s">
        <v>31</v>
      </c>
      <c r="F238" t="s">
        <v>84</v>
      </c>
      <c r="G238" s="5">
        <v>45931</v>
      </c>
      <c r="H238" s="5">
        <v>46065</v>
      </c>
      <c r="I238" s="3">
        <v>98</v>
      </c>
      <c r="J238" s="4">
        <v>3.78</v>
      </c>
      <c r="K238" s="3">
        <v>51</v>
      </c>
      <c r="L238" s="3">
        <v>63</v>
      </c>
      <c r="M238" s="3">
        <v>96</v>
      </c>
      <c r="N238" t="s">
        <v>78</v>
      </c>
      <c r="O238" t="s">
        <v>1132</v>
      </c>
      <c r="P238" s="4" t="s">
        <v>1133</v>
      </c>
      <c r="Q238" t="s">
        <v>1134</v>
      </c>
      <c r="R238" s="8">
        <f t="shared" si="12"/>
        <v>210</v>
      </c>
      <c r="S238" t="str">
        <f t="shared" si="13"/>
        <v>Pass</v>
      </c>
      <c r="T238" t="str">
        <f t="shared" si="14"/>
        <v>A</v>
      </c>
      <c r="U238">
        <f t="shared" si="15"/>
        <v>0</v>
      </c>
    </row>
    <row r="239" spans="1:21">
      <c r="A239" t="s">
        <v>1135</v>
      </c>
      <c r="B239" t="s">
        <v>420</v>
      </c>
      <c r="C239" t="s">
        <v>19</v>
      </c>
      <c r="D239" t="s">
        <v>51</v>
      </c>
      <c r="E239" t="s">
        <v>52</v>
      </c>
      <c r="F239" t="s">
        <v>84</v>
      </c>
      <c r="G239" s="5">
        <v>45923</v>
      </c>
      <c r="H239" s="5">
        <v>46063</v>
      </c>
      <c r="I239" s="3">
        <v>84</v>
      </c>
      <c r="J239" s="4">
        <v>1.82</v>
      </c>
      <c r="K239" s="3">
        <v>52</v>
      </c>
      <c r="L239" s="3">
        <v>72</v>
      </c>
      <c r="M239" s="3">
        <v>68</v>
      </c>
      <c r="N239" t="s">
        <v>23</v>
      </c>
      <c r="O239" t="s">
        <v>1136</v>
      </c>
      <c r="P239" s="4" t="s">
        <v>1137</v>
      </c>
      <c r="Q239" t="s">
        <v>1138</v>
      </c>
      <c r="R239" s="8">
        <f t="shared" si="12"/>
        <v>192</v>
      </c>
      <c r="S239" t="str">
        <f t="shared" si="13"/>
        <v>Pass</v>
      </c>
      <c r="T239" t="str">
        <f t="shared" si="14"/>
        <v>B</v>
      </c>
      <c r="U239">
        <f t="shared" si="15"/>
        <v>0</v>
      </c>
    </row>
    <row r="240" spans="1:21">
      <c r="A240" t="s">
        <v>1139</v>
      </c>
      <c r="B240" t="s">
        <v>1140</v>
      </c>
      <c r="C240" t="s">
        <v>19</v>
      </c>
      <c r="D240" t="s">
        <v>20</v>
      </c>
      <c r="E240" t="s">
        <v>21</v>
      </c>
      <c r="F240" t="s">
        <v>111</v>
      </c>
      <c r="G240" s="5">
        <v>46040</v>
      </c>
      <c r="H240" s="5">
        <v>46141</v>
      </c>
      <c r="I240" s="3">
        <v>64</v>
      </c>
      <c r="J240" s="4">
        <v>1.81</v>
      </c>
      <c r="K240" s="3">
        <v>66</v>
      </c>
      <c r="L240" s="3">
        <v>38</v>
      </c>
      <c r="M240" s="3">
        <v>59</v>
      </c>
      <c r="N240" t="s">
        <v>23</v>
      </c>
      <c r="O240" t="s">
        <v>1141</v>
      </c>
      <c r="P240" s="4" t="s">
        <v>1142</v>
      </c>
      <c r="Q240" t="s">
        <v>1143</v>
      </c>
      <c r="R240" s="8">
        <f t="shared" si="12"/>
        <v>163</v>
      </c>
      <c r="S240" t="str">
        <f t="shared" si="13"/>
        <v>Pass</v>
      </c>
      <c r="T240" t="str">
        <f t="shared" si="14"/>
        <v>B</v>
      </c>
      <c r="U240">
        <f t="shared" si="15"/>
        <v>0</v>
      </c>
    </row>
    <row r="241" spans="1:21">
      <c r="A241" t="s">
        <v>1144</v>
      </c>
      <c r="B241" t="s">
        <v>805</v>
      </c>
      <c r="C241" t="s">
        <v>29</v>
      </c>
      <c r="D241" t="s">
        <v>71</v>
      </c>
      <c r="E241" t="s">
        <v>72</v>
      </c>
      <c r="F241" t="s">
        <v>53</v>
      </c>
      <c r="G241" s="5">
        <v>45979</v>
      </c>
      <c r="H241" s="5">
        <v>46062</v>
      </c>
      <c r="I241" s="3">
        <v>68</v>
      </c>
      <c r="J241" s="4">
        <v>2.97</v>
      </c>
      <c r="K241" s="3">
        <v>55</v>
      </c>
      <c r="L241" s="3">
        <v>88</v>
      </c>
      <c r="M241" s="3">
        <v>92</v>
      </c>
      <c r="N241" t="s">
        <v>78</v>
      </c>
      <c r="P241" s="4" t="s">
        <v>1145</v>
      </c>
      <c r="Q241" t="s">
        <v>1146</v>
      </c>
      <c r="R241" s="8">
        <f t="shared" si="12"/>
        <v>235</v>
      </c>
      <c r="S241" t="str">
        <f t="shared" si="13"/>
        <v>Pass</v>
      </c>
      <c r="T241" t="str">
        <f t="shared" si="14"/>
        <v>A</v>
      </c>
      <c r="U241">
        <f t="shared" si="15"/>
        <v>0</v>
      </c>
    </row>
    <row r="242" spans="1:21">
      <c r="A242" t="s">
        <v>1147</v>
      </c>
      <c r="B242" t="s">
        <v>649</v>
      </c>
      <c r="C242" t="s">
        <v>29</v>
      </c>
      <c r="D242" t="s">
        <v>20</v>
      </c>
      <c r="E242" t="s">
        <v>21</v>
      </c>
      <c r="F242" t="s">
        <v>45</v>
      </c>
      <c r="G242" s="5">
        <v>46006</v>
      </c>
      <c r="H242" s="5">
        <v>46123</v>
      </c>
      <c r="I242" s="3">
        <v>84</v>
      </c>
      <c r="J242" s="4">
        <v>3.94</v>
      </c>
      <c r="K242" s="3">
        <v>45</v>
      </c>
      <c r="L242" s="3">
        <v>47</v>
      </c>
      <c r="M242" s="3">
        <v>94</v>
      </c>
      <c r="N242" t="s">
        <v>23</v>
      </c>
      <c r="O242" t="s">
        <v>1148</v>
      </c>
      <c r="P242" s="4" t="s">
        <v>1149</v>
      </c>
      <c r="Q242" t="s">
        <v>1150</v>
      </c>
      <c r="R242" s="8">
        <f t="shared" si="12"/>
        <v>186</v>
      </c>
      <c r="S242" t="str">
        <f t="shared" si="13"/>
        <v>Pass</v>
      </c>
      <c r="T242" t="str">
        <f t="shared" si="14"/>
        <v>B</v>
      </c>
      <c r="U242">
        <f t="shared" si="15"/>
        <v>0</v>
      </c>
    </row>
    <row r="243" spans="1:21">
      <c r="A243" t="s">
        <v>1151</v>
      </c>
      <c r="B243" t="s">
        <v>1152</v>
      </c>
      <c r="C243" t="s">
        <v>29</v>
      </c>
      <c r="D243" t="s">
        <v>59</v>
      </c>
      <c r="E243" t="s">
        <v>60</v>
      </c>
      <c r="F243" t="s">
        <v>111</v>
      </c>
      <c r="G243" s="5">
        <v>45934</v>
      </c>
      <c r="H243" s="5">
        <v>46034</v>
      </c>
      <c r="I243" s="3">
        <v>73</v>
      </c>
      <c r="J243" s="4">
        <v>2.37</v>
      </c>
      <c r="K243" s="3">
        <v>60</v>
      </c>
      <c r="L243" s="3">
        <v>85</v>
      </c>
      <c r="M243" s="3">
        <v>71</v>
      </c>
      <c r="N243" t="s">
        <v>23</v>
      </c>
      <c r="O243" t="s">
        <v>1153</v>
      </c>
      <c r="P243" s="4" t="s">
        <v>1154</v>
      </c>
      <c r="Q243" t="s">
        <v>1155</v>
      </c>
      <c r="R243" s="8">
        <f t="shared" si="12"/>
        <v>216</v>
      </c>
      <c r="S243" t="str">
        <f t="shared" si="13"/>
        <v>Pass</v>
      </c>
      <c r="T243" t="str">
        <f t="shared" si="14"/>
        <v>A</v>
      </c>
      <c r="U243">
        <f t="shared" si="15"/>
        <v>0</v>
      </c>
    </row>
    <row r="244" spans="1:21">
      <c r="A244" t="s">
        <v>1156</v>
      </c>
      <c r="B244" t="s">
        <v>1157</v>
      </c>
      <c r="C244" t="s">
        <v>29</v>
      </c>
      <c r="D244" t="s">
        <v>20</v>
      </c>
      <c r="E244" t="s">
        <v>21</v>
      </c>
      <c r="F244" t="s">
        <v>45</v>
      </c>
      <c r="G244" s="5">
        <v>45928</v>
      </c>
      <c r="H244" s="5">
        <v>46017</v>
      </c>
      <c r="I244" s="3">
        <v>61</v>
      </c>
      <c r="J244" s="4">
        <v>2.16</v>
      </c>
      <c r="K244" s="3">
        <v>69</v>
      </c>
      <c r="L244" s="3">
        <v>75</v>
      </c>
      <c r="M244" s="3">
        <v>82</v>
      </c>
      <c r="N244" t="s">
        <v>23</v>
      </c>
      <c r="O244" t="s">
        <v>1158</v>
      </c>
      <c r="P244" s="4" t="s">
        <v>1159</v>
      </c>
      <c r="Q244" t="s">
        <v>1160</v>
      </c>
      <c r="R244" s="8">
        <f t="shared" si="12"/>
        <v>226</v>
      </c>
      <c r="S244" t="str">
        <f t="shared" si="13"/>
        <v>Pass</v>
      </c>
      <c r="T244" t="str">
        <f t="shared" si="14"/>
        <v>A</v>
      </c>
      <c r="U244">
        <f t="shared" si="15"/>
        <v>0</v>
      </c>
    </row>
    <row r="245" spans="1:21">
      <c r="A245" t="s">
        <v>1161</v>
      </c>
      <c r="B245" t="s">
        <v>1162</v>
      </c>
      <c r="C245" t="s">
        <v>19</v>
      </c>
      <c r="D245" t="s">
        <v>59</v>
      </c>
      <c r="E245" t="s">
        <v>60</v>
      </c>
      <c r="F245" t="s">
        <v>84</v>
      </c>
      <c r="G245" s="5">
        <v>45931</v>
      </c>
      <c r="H245" s="5">
        <v>46012</v>
      </c>
      <c r="I245" s="3">
        <v>65</v>
      </c>
      <c r="J245" s="4">
        <v>3.58</v>
      </c>
      <c r="K245" s="3">
        <v>59</v>
      </c>
      <c r="L245" s="3">
        <v>40</v>
      </c>
      <c r="M245" s="3">
        <v>57</v>
      </c>
      <c r="N245" t="s">
        <v>32</v>
      </c>
      <c r="O245" t="s">
        <v>1163</v>
      </c>
      <c r="P245" s="4" t="s">
        <v>1164</v>
      </c>
      <c r="Q245" t="s">
        <v>1165</v>
      </c>
      <c r="R245" s="8">
        <f t="shared" si="12"/>
        <v>156</v>
      </c>
      <c r="S245" t="str">
        <f t="shared" si="13"/>
        <v>Pass</v>
      </c>
      <c r="T245" t="str">
        <f t="shared" si="14"/>
        <v>B</v>
      </c>
      <c r="U245">
        <f t="shared" si="15"/>
        <v>0</v>
      </c>
    </row>
    <row r="246" spans="1:21">
      <c r="A246" t="s">
        <v>1166</v>
      </c>
      <c r="B246" t="s">
        <v>1167</v>
      </c>
      <c r="C246" t="s">
        <v>29</v>
      </c>
      <c r="D246" t="s">
        <v>51</v>
      </c>
      <c r="E246" t="s">
        <v>52</v>
      </c>
      <c r="F246" t="s">
        <v>53</v>
      </c>
      <c r="G246" s="5">
        <v>46032</v>
      </c>
      <c r="H246" s="5">
        <v>46108</v>
      </c>
      <c r="I246" s="3">
        <v>98</v>
      </c>
      <c r="J246" s="4">
        <v>2.46</v>
      </c>
      <c r="K246" s="3">
        <v>92</v>
      </c>
      <c r="L246" s="3">
        <v>57</v>
      </c>
      <c r="M246" s="3">
        <v>33</v>
      </c>
      <c r="N246" t="s">
        <v>78</v>
      </c>
      <c r="O246" t="s">
        <v>1168</v>
      </c>
      <c r="P246" s="4" t="s">
        <v>1169</v>
      </c>
      <c r="Q246" t="s">
        <v>1170</v>
      </c>
      <c r="R246" s="8">
        <f t="shared" si="12"/>
        <v>182</v>
      </c>
      <c r="S246" t="str">
        <f t="shared" si="13"/>
        <v>Pass</v>
      </c>
      <c r="T246" t="str">
        <f t="shared" si="14"/>
        <v>B</v>
      </c>
      <c r="U246">
        <f t="shared" si="15"/>
        <v>0</v>
      </c>
    </row>
    <row r="247" spans="1:21">
      <c r="A247" t="s">
        <v>1171</v>
      </c>
      <c r="B247" t="s">
        <v>70</v>
      </c>
      <c r="C247" t="s">
        <v>29</v>
      </c>
      <c r="D247" t="s">
        <v>43</v>
      </c>
      <c r="E247" t="s">
        <v>44</v>
      </c>
      <c r="F247" t="s">
        <v>53</v>
      </c>
      <c r="G247" s="5">
        <v>45927</v>
      </c>
      <c r="H247" s="5">
        <v>46014</v>
      </c>
      <c r="I247" s="3">
        <v>62</v>
      </c>
      <c r="J247" s="4">
        <v>1.83</v>
      </c>
      <c r="K247" s="3">
        <v>93</v>
      </c>
      <c r="L247" s="3">
        <v>63</v>
      </c>
      <c r="M247" s="3">
        <v>46</v>
      </c>
      <c r="N247" t="s">
        <v>23</v>
      </c>
      <c r="O247" t="s">
        <v>1172</v>
      </c>
      <c r="P247" s="4" t="s">
        <v>1173</v>
      </c>
      <c r="Q247" t="s">
        <v>1174</v>
      </c>
      <c r="R247" s="8">
        <f t="shared" si="12"/>
        <v>202</v>
      </c>
      <c r="S247" t="str">
        <f t="shared" si="13"/>
        <v>Pass</v>
      </c>
      <c r="T247" t="str">
        <f t="shared" si="14"/>
        <v>A</v>
      </c>
      <c r="U247">
        <f t="shared" si="15"/>
        <v>0</v>
      </c>
    </row>
    <row r="248" spans="1:21">
      <c r="A248" t="s">
        <v>1175</v>
      </c>
      <c r="B248" t="s">
        <v>876</v>
      </c>
      <c r="C248" t="s">
        <v>19</v>
      </c>
      <c r="D248" t="s">
        <v>43</v>
      </c>
      <c r="E248" t="s">
        <v>44</v>
      </c>
      <c r="F248" t="s">
        <v>193</v>
      </c>
      <c r="G248" s="5">
        <v>45917</v>
      </c>
      <c r="H248" s="5">
        <v>46012</v>
      </c>
      <c r="I248" s="3">
        <v>96</v>
      </c>
      <c r="J248" s="4">
        <v>2.78</v>
      </c>
      <c r="K248" s="3">
        <v>48</v>
      </c>
      <c r="L248" s="3">
        <v>46</v>
      </c>
      <c r="M248" s="3">
        <v>72</v>
      </c>
      <c r="N248" t="s">
        <v>23</v>
      </c>
      <c r="O248" t="s">
        <v>1176</v>
      </c>
      <c r="P248" s="4" t="s">
        <v>1177</v>
      </c>
      <c r="Q248" t="s">
        <v>1178</v>
      </c>
      <c r="R248" s="8">
        <f t="shared" si="12"/>
        <v>166</v>
      </c>
      <c r="S248" t="str">
        <f t="shared" si="13"/>
        <v>Pass</v>
      </c>
      <c r="T248" t="str">
        <f t="shared" si="14"/>
        <v>B</v>
      </c>
      <c r="U248">
        <f t="shared" si="15"/>
        <v>0</v>
      </c>
    </row>
    <row r="249" spans="1:21">
      <c r="A249" t="s">
        <v>1179</v>
      </c>
      <c r="B249" t="s">
        <v>1180</v>
      </c>
      <c r="C249" t="s">
        <v>19</v>
      </c>
      <c r="D249" t="s">
        <v>71</v>
      </c>
      <c r="E249" t="s">
        <v>72</v>
      </c>
      <c r="F249" t="s">
        <v>53</v>
      </c>
      <c r="G249" s="5">
        <v>46028</v>
      </c>
      <c r="H249" s="5">
        <v>46101</v>
      </c>
      <c r="I249" s="3">
        <v>79</v>
      </c>
      <c r="J249" s="4">
        <v>3.3</v>
      </c>
      <c r="K249" s="3">
        <v>51</v>
      </c>
      <c r="L249" s="3">
        <v>80</v>
      </c>
      <c r="M249" s="3">
        <v>57</v>
      </c>
      <c r="N249" t="s">
        <v>78</v>
      </c>
      <c r="O249" t="s">
        <v>1181</v>
      </c>
      <c r="P249" s="4" t="s">
        <v>1182</v>
      </c>
      <c r="Q249" t="s">
        <v>1183</v>
      </c>
      <c r="R249" s="8">
        <f t="shared" si="12"/>
        <v>188</v>
      </c>
      <c r="S249" t="str">
        <f t="shared" si="13"/>
        <v>Pass</v>
      </c>
      <c r="T249" t="str">
        <f t="shared" si="14"/>
        <v>B</v>
      </c>
      <c r="U249">
        <f t="shared" si="15"/>
        <v>0</v>
      </c>
    </row>
    <row r="250" spans="1:21">
      <c r="A250" t="s">
        <v>1184</v>
      </c>
      <c r="B250" t="s">
        <v>1185</v>
      </c>
      <c r="C250" t="s">
        <v>29</v>
      </c>
      <c r="D250" t="s">
        <v>43</v>
      </c>
      <c r="E250" t="s">
        <v>44</v>
      </c>
      <c r="F250" t="s">
        <v>45</v>
      </c>
      <c r="G250" s="5">
        <v>46059</v>
      </c>
      <c r="H250" s="5">
        <v>46160</v>
      </c>
      <c r="I250" s="3">
        <v>96</v>
      </c>
      <c r="J250" s="4">
        <v>2.4500000000000002</v>
      </c>
      <c r="K250" s="3">
        <v>66</v>
      </c>
      <c r="L250" s="3">
        <v>96</v>
      </c>
      <c r="M250" s="3">
        <v>37</v>
      </c>
      <c r="N250" t="s">
        <v>23</v>
      </c>
      <c r="O250" t="s">
        <v>1186</v>
      </c>
      <c r="P250" s="4" t="s">
        <v>1187</v>
      </c>
      <c r="Q250" t="s">
        <v>1188</v>
      </c>
      <c r="R250" s="8">
        <f t="shared" si="12"/>
        <v>199</v>
      </c>
      <c r="S250" t="str">
        <f t="shared" si="13"/>
        <v>Pass</v>
      </c>
      <c r="T250" t="str">
        <f t="shared" si="14"/>
        <v>B</v>
      </c>
      <c r="U250">
        <f t="shared" si="15"/>
        <v>0</v>
      </c>
    </row>
    <row r="251" spans="1:21">
      <c r="A251" t="s">
        <v>1189</v>
      </c>
      <c r="B251" t="s">
        <v>393</v>
      </c>
      <c r="C251" t="s">
        <v>29</v>
      </c>
      <c r="D251" t="s">
        <v>71</v>
      </c>
      <c r="E251" t="s">
        <v>72</v>
      </c>
      <c r="F251" t="s">
        <v>45</v>
      </c>
      <c r="G251" s="5">
        <v>45964</v>
      </c>
      <c r="H251" s="5">
        <v>46103</v>
      </c>
      <c r="I251" s="3">
        <v>56</v>
      </c>
      <c r="J251" s="4">
        <v>3.98</v>
      </c>
      <c r="K251" s="3">
        <v>90</v>
      </c>
      <c r="L251" s="3">
        <v>80</v>
      </c>
      <c r="M251" s="3">
        <v>91</v>
      </c>
      <c r="N251" t="s">
        <v>23</v>
      </c>
      <c r="O251" t="s">
        <v>1190</v>
      </c>
      <c r="P251" s="4" t="s">
        <v>1191</v>
      </c>
      <c r="Q251" t="s">
        <v>1192</v>
      </c>
      <c r="R251" s="8">
        <f t="shared" si="12"/>
        <v>261</v>
      </c>
      <c r="S251" t="str">
        <f t="shared" si="13"/>
        <v>Pass</v>
      </c>
      <c r="T251" t="str">
        <f t="shared" si="14"/>
        <v>A</v>
      </c>
      <c r="U251">
        <f t="shared" si="15"/>
        <v>0</v>
      </c>
    </row>
    <row r="252" spans="1:21">
      <c r="A252" t="s">
        <v>1193</v>
      </c>
      <c r="B252" t="s">
        <v>1194</v>
      </c>
      <c r="C252" t="s">
        <v>19</v>
      </c>
      <c r="D252" t="s">
        <v>59</v>
      </c>
      <c r="E252" t="s">
        <v>60</v>
      </c>
      <c r="F252" t="s">
        <v>84</v>
      </c>
      <c r="G252" s="5">
        <v>45947</v>
      </c>
      <c r="H252" s="5">
        <v>46020</v>
      </c>
      <c r="I252" s="3">
        <v>75</v>
      </c>
      <c r="J252" s="4">
        <v>3.11</v>
      </c>
      <c r="K252" s="3">
        <v>41</v>
      </c>
      <c r="L252" s="3">
        <v>70</v>
      </c>
      <c r="M252" s="3">
        <v>37</v>
      </c>
      <c r="N252" t="s">
        <v>32</v>
      </c>
      <c r="O252" t="s">
        <v>1195</v>
      </c>
      <c r="P252" s="4" t="s">
        <v>1196</v>
      </c>
      <c r="Q252" t="s">
        <v>1197</v>
      </c>
      <c r="R252" s="8">
        <f t="shared" si="12"/>
        <v>148</v>
      </c>
      <c r="S252" t="str">
        <f t="shared" si="13"/>
        <v>Fail</v>
      </c>
      <c r="T252" t="str">
        <f t="shared" si="14"/>
        <v>C</v>
      </c>
      <c r="U252">
        <f t="shared" si="15"/>
        <v>0</v>
      </c>
    </row>
    <row r="253" spans="1:21">
      <c r="A253" t="s">
        <v>1198</v>
      </c>
      <c r="B253" t="s">
        <v>1199</v>
      </c>
      <c r="C253" t="s">
        <v>29</v>
      </c>
      <c r="D253" t="s">
        <v>20</v>
      </c>
      <c r="E253" t="s">
        <v>21</v>
      </c>
      <c r="F253" t="s">
        <v>193</v>
      </c>
      <c r="G253" s="5">
        <v>45964</v>
      </c>
      <c r="H253" s="5">
        <v>46064</v>
      </c>
      <c r="I253" s="3">
        <v>72</v>
      </c>
      <c r="J253" s="4">
        <v>2.97</v>
      </c>
      <c r="K253" s="3">
        <v>90</v>
      </c>
      <c r="L253" s="3">
        <v>42</v>
      </c>
      <c r="M253" s="3">
        <v>58</v>
      </c>
      <c r="N253" t="s">
        <v>23</v>
      </c>
      <c r="O253" t="s">
        <v>1200</v>
      </c>
      <c r="P253" s="4" t="s">
        <v>1201</v>
      </c>
      <c r="Q253" t="s">
        <v>1202</v>
      </c>
      <c r="R253" s="8">
        <f t="shared" si="12"/>
        <v>190</v>
      </c>
      <c r="S253" t="str">
        <f t="shared" si="13"/>
        <v>Pass</v>
      </c>
      <c r="T253" t="str">
        <f t="shared" si="14"/>
        <v>B</v>
      </c>
      <c r="U253">
        <f t="shared" si="15"/>
        <v>0</v>
      </c>
    </row>
    <row r="254" spans="1:21">
      <c r="A254" t="s">
        <v>1203</v>
      </c>
      <c r="B254" t="s">
        <v>1204</v>
      </c>
      <c r="C254" t="s">
        <v>29</v>
      </c>
      <c r="D254" t="s">
        <v>20</v>
      </c>
      <c r="E254" t="s">
        <v>21</v>
      </c>
      <c r="F254" t="s">
        <v>45</v>
      </c>
      <c r="G254" s="5">
        <v>45982</v>
      </c>
      <c r="H254" s="5">
        <v>46097</v>
      </c>
      <c r="I254" s="3">
        <v>92</v>
      </c>
      <c r="J254" s="4">
        <v>1.86</v>
      </c>
      <c r="K254" s="3">
        <v>84</v>
      </c>
      <c r="L254" s="3">
        <v>80</v>
      </c>
      <c r="M254" s="3">
        <v>48</v>
      </c>
      <c r="N254" t="s">
        <v>23</v>
      </c>
      <c r="O254" t="s">
        <v>1205</v>
      </c>
      <c r="P254" s="4" t="s">
        <v>1206</v>
      </c>
      <c r="Q254" t="s">
        <v>1207</v>
      </c>
      <c r="R254" s="8">
        <f t="shared" si="12"/>
        <v>212</v>
      </c>
      <c r="S254" t="str">
        <f t="shared" si="13"/>
        <v>Pass</v>
      </c>
      <c r="T254" t="str">
        <f t="shared" si="14"/>
        <v>A</v>
      </c>
      <c r="U254">
        <f t="shared" si="15"/>
        <v>0</v>
      </c>
    </row>
    <row r="255" spans="1:21">
      <c r="A255" t="s">
        <v>1208</v>
      </c>
      <c r="B255" t="s">
        <v>1209</v>
      </c>
      <c r="C255" t="s">
        <v>19</v>
      </c>
      <c r="D255" t="s">
        <v>20</v>
      </c>
      <c r="E255" t="s">
        <v>21</v>
      </c>
      <c r="F255" t="s">
        <v>53</v>
      </c>
      <c r="G255" s="5">
        <v>45910</v>
      </c>
      <c r="H255" s="5">
        <v>45991</v>
      </c>
      <c r="I255" s="3">
        <v>58</v>
      </c>
      <c r="J255" s="4">
        <v>2.31</v>
      </c>
      <c r="K255" s="3">
        <v>54</v>
      </c>
      <c r="L255" s="3">
        <v>37</v>
      </c>
      <c r="M255" s="3">
        <v>97</v>
      </c>
      <c r="N255" t="s">
        <v>23</v>
      </c>
      <c r="O255" t="s">
        <v>1210</v>
      </c>
      <c r="P255" s="4" t="s">
        <v>1211</v>
      </c>
      <c r="Q255" t="s">
        <v>1212</v>
      </c>
      <c r="R255" s="8">
        <f t="shared" si="12"/>
        <v>188</v>
      </c>
      <c r="S255" t="str">
        <f t="shared" si="13"/>
        <v>Pass</v>
      </c>
      <c r="T255" t="str">
        <f t="shared" si="14"/>
        <v>B</v>
      </c>
      <c r="U255">
        <f t="shared" si="15"/>
        <v>0</v>
      </c>
    </row>
    <row r="256" spans="1:21">
      <c r="A256" t="s">
        <v>1213</v>
      </c>
      <c r="B256" t="s">
        <v>1214</v>
      </c>
      <c r="C256" t="s">
        <v>29</v>
      </c>
      <c r="D256" t="s">
        <v>51</v>
      </c>
      <c r="E256" t="s">
        <v>52</v>
      </c>
      <c r="F256" t="s">
        <v>111</v>
      </c>
      <c r="G256" s="5">
        <v>45946</v>
      </c>
      <c r="H256" s="5">
        <v>46057</v>
      </c>
      <c r="I256" s="3">
        <v>58</v>
      </c>
      <c r="J256" s="4">
        <v>1.85</v>
      </c>
      <c r="K256" s="3">
        <v>77</v>
      </c>
      <c r="L256" s="3">
        <v>53</v>
      </c>
      <c r="M256" s="3">
        <v>44</v>
      </c>
      <c r="N256" t="s">
        <v>32</v>
      </c>
      <c r="O256" t="s">
        <v>1215</v>
      </c>
      <c r="P256" s="4" t="s">
        <v>1216</v>
      </c>
      <c r="Q256" t="s">
        <v>1217</v>
      </c>
      <c r="R256" s="8">
        <f t="shared" si="12"/>
        <v>174</v>
      </c>
      <c r="S256" t="str">
        <f t="shared" si="13"/>
        <v>Pass</v>
      </c>
      <c r="T256" t="str">
        <f t="shared" si="14"/>
        <v>B</v>
      </c>
      <c r="U256">
        <f t="shared" si="15"/>
        <v>0</v>
      </c>
    </row>
    <row r="257" spans="1:21">
      <c r="A257" t="s">
        <v>1218</v>
      </c>
      <c r="B257" t="s">
        <v>1219</v>
      </c>
      <c r="C257" t="s">
        <v>19</v>
      </c>
      <c r="D257" t="s">
        <v>30</v>
      </c>
      <c r="E257" t="s">
        <v>31</v>
      </c>
      <c r="F257" t="s">
        <v>193</v>
      </c>
      <c r="G257" s="5">
        <v>45987</v>
      </c>
      <c r="H257" s="5">
        <v>46095</v>
      </c>
      <c r="I257" s="3">
        <v>75</v>
      </c>
      <c r="J257" s="4">
        <v>2.1</v>
      </c>
      <c r="K257" s="3">
        <v>50</v>
      </c>
      <c r="L257" s="3">
        <v>90</v>
      </c>
      <c r="M257" s="3">
        <v>92</v>
      </c>
      <c r="N257" t="s">
        <v>23</v>
      </c>
      <c r="O257" t="s">
        <v>1220</v>
      </c>
      <c r="P257" s="4" t="s">
        <v>1221</v>
      </c>
      <c r="Q257" t="s">
        <v>1222</v>
      </c>
      <c r="R257" s="8">
        <f t="shared" si="12"/>
        <v>232</v>
      </c>
      <c r="S257" t="str">
        <f t="shared" si="13"/>
        <v>Pass</v>
      </c>
      <c r="T257" t="str">
        <f t="shared" si="14"/>
        <v>A</v>
      </c>
      <c r="U257">
        <f t="shared" si="15"/>
        <v>0</v>
      </c>
    </row>
    <row r="258" spans="1:21">
      <c r="A258" t="s">
        <v>1223</v>
      </c>
      <c r="B258" t="s">
        <v>981</v>
      </c>
      <c r="C258" t="s">
        <v>19</v>
      </c>
      <c r="D258" t="s">
        <v>20</v>
      </c>
      <c r="E258" t="s">
        <v>21</v>
      </c>
      <c r="F258" t="s">
        <v>111</v>
      </c>
      <c r="G258" s="5">
        <v>46051</v>
      </c>
      <c r="H258" s="5">
        <v>46143</v>
      </c>
      <c r="I258" s="3">
        <v>79</v>
      </c>
      <c r="J258" s="4">
        <v>2.48</v>
      </c>
      <c r="K258" s="3">
        <v>84</v>
      </c>
      <c r="L258" s="3">
        <v>72</v>
      </c>
      <c r="M258" s="3">
        <v>46</v>
      </c>
      <c r="N258" t="s">
        <v>23</v>
      </c>
      <c r="O258" t="s">
        <v>1224</v>
      </c>
      <c r="P258" s="4" t="s">
        <v>1225</v>
      </c>
      <c r="Q258" t="s">
        <v>1226</v>
      </c>
      <c r="R258" s="8">
        <f t="shared" ref="R258:R296" si="16">K258+L258+M258</f>
        <v>202</v>
      </c>
      <c r="S258" t="str">
        <f t="shared" ref="S258:S296" si="17">IF(R258&gt;=$W$7,"Pass","Fail")</f>
        <v>Pass</v>
      </c>
      <c r="T258" t="str">
        <f t="shared" ref="T258:T309" si="18">IF(R258&gt;=200,"A",IF(R258&gt;=150,"B",IF(R258&gt;=100,"C",IF(R258&gt;=50,"D"))))</f>
        <v>A</v>
      </c>
      <c r="U258">
        <f t="shared" ref="U258:U321" si="19">COUNTIF(C257:C551,E258)</f>
        <v>0</v>
      </c>
    </row>
    <row r="259" spans="1:21">
      <c r="A259" t="s">
        <v>1227</v>
      </c>
      <c r="B259" t="s">
        <v>1228</v>
      </c>
      <c r="C259" t="s">
        <v>19</v>
      </c>
      <c r="D259" t="s">
        <v>20</v>
      </c>
      <c r="E259" t="s">
        <v>21</v>
      </c>
      <c r="F259" t="s">
        <v>111</v>
      </c>
      <c r="G259" s="5">
        <v>45923</v>
      </c>
      <c r="H259" s="5">
        <v>46035</v>
      </c>
      <c r="I259" s="3">
        <v>83</v>
      </c>
      <c r="J259" s="4">
        <v>1.83</v>
      </c>
      <c r="K259" s="3">
        <v>53</v>
      </c>
      <c r="L259" s="3">
        <v>66</v>
      </c>
      <c r="M259" s="3">
        <v>38</v>
      </c>
      <c r="N259" t="s">
        <v>23</v>
      </c>
      <c r="O259" t="s">
        <v>1229</v>
      </c>
      <c r="P259" s="4" t="s">
        <v>1230</v>
      </c>
      <c r="Q259" t="s">
        <v>1231</v>
      </c>
      <c r="R259" s="8">
        <f t="shared" si="16"/>
        <v>157</v>
      </c>
      <c r="S259" t="str">
        <f t="shared" si="17"/>
        <v>Pass</v>
      </c>
      <c r="T259" t="str">
        <f t="shared" si="18"/>
        <v>B</v>
      </c>
      <c r="U259">
        <f t="shared" si="19"/>
        <v>0</v>
      </c>
    </row>
    <row r="260" spans="1:21">
      <c r="A260" t="s">
        <v>1232</v>
      </c>
      <c r="B260" t="s">
        <v>1233</v>
      </c>
      <c r="C260" t="s">
        <v>19</v>
      </c>
      <c r="D260" t="s">
        <v>59</v>
      </c>
      <c r="E260" t="s">
        <v>60</v>
      </c>
      <c r="F260" t="s">
        <v>111</v>
      </c>
      <c r="G260" s="5">
        <v>46008</v>
      </c>
      <c r="H260" s="5">
        <v>46099</v>
      </c>
      <c r="I260" s="3">
        <v>81</v>
      </c>
      <c r="J260" s="4">
        <v>2.88</v>
      </c>
      <c r="K260" s="3">
        <v>64</v>
      </c>
      <c r="L260" s="3">
        <v>79</v>
      </c>
      <c r="M260" s="3">
        <v>99</v>
      </c>
      <c r="N260" t="s">
        <v>23</v>
      </c>
      <c r="O260" t="s">
        <v>1234</v>
      </c>
      <c r="P260" s="4" t="s">
        <v>1235</v>
      </c>
      <c r="Q260" t="s">
        <v>1236</v>
      </c>
      <c r="R260" s="8">
        <f t="shared" si="16"/>
        <v>242</v>
      </c>
      <c r="S260" t="str">
        <f t="shared" si="17"/>
        <v>Pass</v>
      </c>
      <c r="T260" t="str">
        <f t="shared" si="18"/>
        <v>A</v>
      </c>
      <c r="U260">
        <f t="shared" si="19"/>
        <v>0</v>
      </c>
    </row>
    <row r="261" spans="1:21">
      <c r="A261" t="s">
        <v>1237</v>
      </c>
      <c r="B261" t="s">
        <v>915</v>
      </c>
      <c r="C261" t="s">
        <v>29</v>
      </c>
      <c r="D261" t="s">
        <v>59</v>
      </c>
      <c r="E261" t="s">
        <v>60</v>
      </c>
      <c r="F261" t="s">
        <v>193</v>
      </c>
      <c r="G261" s="5">
        <v>45909</v>
      </c>
      <c r="H261" s="5">
        <v>46016</v>
      </c>
      <c r="I261" s="3">
        <v>56</v>
      </c>
      <c r="J261" s="4">
        <v>2.5</v>
      </c>
      <c r="K261" s="3">
        <v>100</v>
      </c>
      <c r="L261" s="3">
        <v>48</v>
      </c>
      <c r="M261" s="3">
        <v>39</v>
      </c>
      <c r="N261" t="s">
        <v>23</v>
      </c>
      <c r="O261" t="s">
        <v>1238</v>
      </c>
      <c r="P261" s="4" t="s">
        <v>1239</v>
      </c>
      <c r="Q261" t="s">
        <v>1240</v>
      </c>
      <c r="R261" s="8">
        <f t="shared" si="16"/>
        <v>187</v>
      </c>
      <c r="S261" t="str">
        <f t="shared" si="17"/>
        <v>Pass</v>
      </c>
      <c r="T261" t="str">
        <f t="shared" si="18"/>
        <v>B</v>
      </c>
      <c r="U261">
        <f t="shared" si="19"/>
        <v>0</v>
      </c>
    </row>
    <row r="262" spans="1:21">
      <c r="A262" t="s">
        <v>1241</v>
      </c>
      <c r="B262" t="s">
        <v>1242</v>
      </c>
      <c r="C262" t="s">
        <v>29</v>
      </c>
      <c r="D262" t="s">
        <v>51</v>
      </c>
      <c r="E262" t="s">
        <v>52</v>
      </c>
      <c r="F262" t="s">
        <v>45</v>
      </c>
      <c r="G262" s="5">
        <v>46058</v>
      </c>
      <c r="H262" s="5">
        <v>46189</v>
      </c>
      <c r="I262" s="3">
        <v>100</v>
      </c>
      <c r="J262" s="4">
        <v>1.87</v>
      </c>
      <c r="K262" s="3">
        <v>100</v>
      </c>
      <c r="L262" s="3">
        <v>56</v>
      </c>
      <c r="M262" s="3">
        <v>85</v>
      </c>
      <c r="N262" t="s">
        <v>23</v>
      </c>
      <c r="O262" t="s">
        <v>1243</v>
      </c>
      <c r="P262" s="4" t="s">
        <v>1244</v>
      </c>
      <c r="Q262" t="s">
        <v>1245</v>
      </c>
      <c r="R262" s="8">
        <f t="shared" si="16"/>
        <v>241</v>
      </c>
      <c r="S262" t="str">
        <f t="shared" si="17"/>
        <v>Pass</v>
      </c>
      <c r="T262" t="str">
        <f t="shared" si="18"/>
        <v>A</v>
      </c>
      <c r="U262">
        <f t="shared" si="19"/>
        <v>0</v>
      </c>
    </row>
    <row r="263" spans="1:21">
      <c r="A263" t="s">
        <v>1246</v>
      </c>
      <c r="B263" t="s">
        <v>251</v>
      </c>
      <c r="C263" t="s">
        <v>29</v>
      </c>
      <c r="D263" t="s">
        <v>59</v>
      </c>
      <c r="E263" t="s">
        <v>60</v>
      </c>
      <c r="F263" t="s">
        <v>111</v>
      </c>
      <c r="G263" s="5">
        <v>46042</v>
      </c>
      <c r="H263" s="5">
        <v>46181</v>
      </c>
      <c r="I263" s="3">
        <v>71</v>
      </c>
      <c r="J263" s="4">
        <v>3.25</v>
      </c>
      <c r="K263" s="3">
        <v>59</v>
      </c>
      <c r="L263" s="3">
        <v>65</v>
      </c>
      <c r="M263" s="3">
        <v>42</v>
      </c>
      <c r="N263" t="s">
        <v>23</v>
      </c>
      <c r="O263" t="s">
        <v>1247</v>
      </c>
      <c r="P263" s="4" t="s">
        <v>1248</v>
      </c>
      <c r="Q263" t="s">
        <v>1249</v>
      </c>
      <c r="R263" s="8">
        <f t="shared" si="16"/>
        <v>166</v>
      </c>
      <c r="S263" t="str">
        <f t="shared" si="17"/>
        <v>Pass</v>
      </c>
      <c r="T263" t="str">
        <f t="shared" si="18"/>
        <v>B</v>
      </c>
      <c r="U263">
        <f t="shared" si="19"/>
        <v>0</v>
      </c>
    </row>
    <row r="264" spans="1:21">
      <c r="A264" t="s">
        <v>1250</v>
      </c>
      <c r="B264" t="s">
        <v>1251</v>
      </c>
      <c r="C264" t="s">
        <v>29</v>
      </c>
      <c r="D264" t="s">
        <v>43</v>
      </c>
      <c r="E264" t="s">
        <v>44</v>
      </c>
      <c r="F264" t="s">
        <v>84</v>
      </c>
      <c r="G264" s="5">
        <v>45901</v>
      </c>
      <c r="H264" s="5">
        <v>46025</v>
      </c>
      <c r="I264" s="3">
        <v>60</v>
      </c>
      <c r="J264" s="4">
        <v>2.4500000000000002</v>
      </c>
      <c r="K264" s="3">
        <v>82</v>
      </c>
      <c r="L264" s="3">
        <v>96</v>
      </c>
      <c r="M264" s="3">
        <v>55</v>
      </c>
      <c r="N264" t="s">
        <v>23</v>
      </c>
      <c r="O264" t="s">
        <v>1252</v>
      </c>
      <c r="P264" s="4" t="s">
        <v>1253</v>
      </c>
      <c r="Q264" t="s">
        <v>1254</v>
      </c>
      <c r="R264" s="8">
        <f t="shared" si="16"/>
        <v>233</v>
      </c>
      <c r="S264" t="str">
        <f t="shared" si="17"/>
        <v>Pass</v>
      </c>
      <c r="T264" t="str">
        <f t="shared" si="18"/>
        <v>A</v>
      </c>
      <c r="U264">
        <f t="shared" si="19"/>
        <v>0</v>
      </c>
    </row>
    <row r="265" spans="1:21">
      <c r="A265" t="s">
        <v>1255</v>
      </c>
      <c r="B265" t="s">
        <v>1256</v>
      </c>
      <c r="C265" t="s">
        <v>29</v>
      </c>
      <c r="D265" t="s">
        <v>59</v>
      </c>
      <c r="E265" t="s">
        <v>60</v>
      </c>
      <c r="F265" t="s">
        <v>193</v>
      </c>
      <c r="G265" s="5">
        <v>45979</v>
      </c>
      <c r="H265" s="5">
        <v>46099</v>
      </c>
      <c r="I265" s="3">
        <v>85</v>
      </c>
      <c r="J265" s="4">
        <v>2.88</v>
      </c>
      <c r="K265" s="3">
        <v>82</v>
      </c>
      <c r="L265" s="3">
        <v>68</v>
      </c>
      <c r="M265" s="3">
        <v>41</v>
      </c>
      <c r="N265" t="s">
        <v>23</v>
      </c>
      <c r="O265" t="s">
        <v>1257</v>
      </c>
      <c r="P265" s="4" t="s">
        <v>1258</v>
      </c>
      <c r="Q265" t="s">
        <v>1259</v>
      </c>
      <c r="R265" s="8">
        <f t="shared" si="16"/>
        <v>191</v>
      </c>
      <c r="S265" t="str">
        <f t="shared" si="17"/>
        <v>Pass</v>
      </c>
      <c r="T265" t="str">
        <f t="shared" si="18"/>
        <v>B</v>
      </c>
      <c r="U265">
        <f t="shared" si="19"/>
        <v>0</v>
      </c>
    </row>
    <row r="266" spans="1:21">
      <c r="A266" t="s">
        <v>1260</v>
      </c>
      <c r="B266" t="s">
        <v>569</v>
      </c>
      <c r="C266" t="s">
        <v>19</v>
      </c>
      <c r="D266" t="s">
        <v>51</v>
      </c>
      <c r="E266" t="s">
        <v>52</v>
      </c>
      <c r="F266" t="s">
        <v>22</v>
      </c>
      <c r="G266" s="5">
        <v>46015</v>
      </c>
      <c r="H266" s="5">
        <v>46090</v>
      </c>
      <c r="I266" s="3">
        <v>71</v>
      </c>
      <c r="J266" s="4">
        <v>2.77</v>
      </c>
      <c r="K266" s="3">
        <v>56</v>
      </c>
      <c r="L266" s="3">
        <v>63</v>
      </c>
      <c r="M266" s="3">
        <v>64</v>
      </c>
      <c r="N266" t="s">
        <v>23</v>
      </c>
      <c r="O266" t="s">
        <v>1261</v>
      </c>
      <c r="P266" s="4" t="s">
        <v>1262</v>
      </c>
      <c r="Q266" t="s">
        <v>1263</v>
      </c>
      <c r="R266" s="8">
        <f t="shared" si="16"/>
        <v>183</v>
      </c>
      <c r="S266" t="str">
        <f t="shared" si="17"/>
        <v>Pass</v>
      </c>
      <c r="T266" t="str">
        <f t="shared" si="18"/>
        <v>B</v>
      </c>
      <c r="U266">
        <f t="shared" si="19"/>
        <v>0</v>
      </c>
    </row>
    <row r="267" spans="1:21">
      <c r="A267" t="s">
        <v>1264</v>
      </c>
      <c r="B267" t="s">
        <v>151</v>
      </c>
      <c r="C267" t="s">
        <v>19</v>
      </c>
      <c r="D267" t="s">
        <v>30</v>
      </c>
      <c r="E267" t="s">
        <v>31</v>
      </c>
      <c r="F267" t="s">
        <v>53</v>
      </c>
      <c r="G267" s="5">
        <v>46051</v>
      </c>
      <c r="H267" s="5">
        <v>46150</v>
      </c>
      <c r="I267" s="3">
        <v>90</v>
      </c>
      <c r="J267" s="4">
        <v>1.93</v>
      </c>
      <c r="K267" s="3">
        <v>64</v>
      </c>
      <c r="L267" s="3">
        <v>88</v>
      </c>
      <c r="M267" s="3">
        <v>98</v>
      </c>
      <c r="N267" t="s">
        <v>23</v>
      </c>
      <c r="O267" t="s">
        <v>1265</v>
      </c>
      <c r="P267" s="4" t="s">
        <v>1266</v>
      </c>
      <c r="Q267" t="s">
        <v>1267</v>
      </c>
      <c r="R267" s="8">
        <f t="shared" si="16"/>
        <v>250</v>
      </c>
      <c r="S267" t="str">
        <f t="shared" si="17"/>
        <v>Pass</v>
      </c>
      <c r="T267" t="str">
        <f t="shared" si="18"/>
        <v>A</v>
      </c>
      <c r="U267">
        <f t="shared" si="19"/>
        <v>0</v>
      </c>
    </row>
    <row r="268" spans="1:21">
      <c r="A268" t="s">
        <v>1268</v>
      </c>
      <c r="B268" t="s">
        <v>1003</v>
      </c>
      <c r="C268" t="s">
        <v>29</v>
      </c>
      <c r="D268" t="s">
        <v>20</v>
      </c>
      <c r="E268" t="s">
        <v>21</v>
      </c>
      <c r="F268" t="s">
        <v>22</v>
      </c>
      <c r="G268" s="5">
        <v>45911</v>
      </c>
      <c r="H268" s="5">
        <v>46035</v>
      </c>
      <c r="I268" s="3">
        <v>60</v>
      </c>
      <c r="J268" s="4">
        <v>3.97</v>
      </c>
      <c r="K268" s="3">
        <v>67</v>
      </c>
      <c r="L268" s="3">
        <v>60</v>
      </c>
      <c r="M268" s="3">
        <v>48</v>
      </c>
      <c r="N268" t="s">
        <v>32</v>
      </c>
      <c r="O268" t="s">
        <v>1269</v>
      </c>
      <c r="P268" s="4" t="s">
        <v>1270</v>
      </c>
      <c r="Q268" t="s">
        <v>1271</v>
      </c>
      <c r="R268" s="8">
        <f t="shared" si="16"/>
        <v>175</v>
      </c>
      <c r="S268" t="str">
        <f t="shared" si="17"/>
        <v>Pass</v>
      </c>
      <c r="T268" t="str">
        <f t="shared" si="18"/>
        <v>B</v>
      </c>
      <c r="U268">
        <f t="shared" si="19"/>
        <v>0</v>
      </c>
    </row>
    <row r="269" spans="1:21">
      <c r="A269" t="s">
        <v>1272</v>
      </c>
      <c r="B269" t="s">
        <v>109</v>
      </c>
      <c r="C269" t="s">
        <v>29</v>
      </c>
      <c r="D269" t="s">
        <v>59</v>
      </c>
      <c r="E269" t="s">
        <v>60</v>
      </c>
      <c r="F269" t="s">
        <v>45</v>
      </c>
      <c r="G269" s="5">
        <v>46002</v>
      </c>
      <c r="H269" s="5">
        <v>46142</v>
      </c>
      <c r="I269" s="3">
        <v>75</v>
      </c>
      <c r="J269" s="4">
        <v>3.68</v>
      </c>
      <c r="K269" s="3">
        <v>73</v>
      </c>
      <c r="L269" s="3">
        <v>93</v>
      </c>
      <c r="M269" s="3">
        <v>31</v>
      </c>
      <c r="N269" t="s">
        <v>32</v>
      </c>
      <c r="O269" t="s">
        <v>1273</v>
      </c>
      <c r="P269" s="4" t="s">
        <v>1274</v>
      </c>
      <c r="Q269" t="s">
        <v>1275</v>
      </c>
      <c r="R269" s="8">
        <f t="shared" si="16"/>
        <v>197</v>
      </c>
      <c r="S269" t="str">
        <f t="shared" si="17"/>
        <v>Pass</v>
      </c>
      <c r="T269" t="str">
        <f t="shared" si="18"/>
        <v>B</v>
      </c>
      <c r="U269">
        <f t="shared" si="19"/>
        <v>0</v>
      </c>
    </row>
    <row r="270" spans="1:21">
      <c r="A270" t="s">
        <v>1276</v>
      </c>
      <c r="B270" t="s">
        <v>990</v>
      </c>
      <c r="C270" t="s">
        <v>19</v>
      </c>
      <c r="D270" t="s">
        <v>43</v>
      </c>
      <c r="E270" t="s">
        <v>44</v>
      </c>
      <c r="F270" t="s">
        <v>53</v>
      </c>
      <c r="G270" s="5">
        <v>45939</v>
      </c>
      <c r="H270" s="5">
        <v>46027</v>
      </c>
      <c r="I270" s="3">
        <v>91</v>
      </c>
      <c r="J270" s="4">
        <v>3.09</v>
      </c>
      <c r="K270" s="3">
        <v>88</v>
      </c>
      <c r="L270" s="3">
        <v>47</v>
      </c>
      <c r="M270" s="3">
        <v>43</v>
      </c>
      <c r="N270" t="s">
        <v>23</v>
      </c>
      <c r="O270" t="s">
        <v>1277</v>
      </c>
      <c r="P270" s="4" t="s">
        <v>1278</v>
      </c>
      <c r="Q270" t="s">
        <v>1279</v>
      </c>
      <c r="R270" s="8">
        <f t="shared" si="16"/>
        <v>178</v>
      </c>
      <c r="S270" t="str">
        <f t="shared" si="17"/>
        <v>Pass</v>
      </c>
      <c r="T270" t="str">
        <f t="shared" si="18"/>
        <v>B</v>
      </c>
      <c r="U270">
        <f t="shared" si="19"/>
        <v>0</v>
      </c>
    </row>
    <row r="271" spans="1:21">
      <c r="A271" t="s">
        <v>1280</v>
      </c>
      <c r="B271" t="s">
        <v>1281</v>
      </c>
      <c r="C271" t="s">
        <v>19</v>
      </c>
      <c r="D271" t="s">
        <v>59</v>
      </c>
      <c r="E271" t="s">
        <v>60</v>
      </c>
      <c r="F271" t="s">
        <v>84</v>
      </c>
      <c r="G271" s="5">
        <v>45999</v>
      </c>
      <c r="H271" s="5">
        <v>46131</v>
      </c>
      <c r="I271" s="3">
        <v>91</v>
      </c>
      <c r="J271" s="4">
        <v>3.14</v>
      </c>
      <c r="K271" s="3">
        <v>42</v>
      </c>
      <c r="L271" s="3">
        <v>57</v>
      </c>
      <c r="M271" s="3">
        <v>65</v>
      </c>
      <c r="N271" t="s">
        <v>23</v>
      </c>
      <c r="O271" t="s">
        <v>1282</v>
      </c>
      <c r="P271" s="4" t="s">
        <v>1283</v>
      </c>
      <c r="Q271" t="s">
        <v>1284</v>
      </c>
      <c r="R271" s="8">
        <f t="shared" si="16"/>
        <v>164</v>
      </c>
      <c r="S271" t="str">
        <f t="shared" si="17"/>
        <v>Pass</v>
      </c>
      <c r="T271" t="str">
        <f t="shared" si="18"/>
        <v>B</v>
      </c>
      <c r="U271">
        <f t="shared" si="19"/>
        <v>0</v>
      </c>
    </row>
    <row r="272" spans="1:21">
      <c r="A272" t="s">
        <v>1285</v>
      </c>
      <c r="B272" t="s">
        <v>1008</v>
      </c>
      <c r="C272" t="s">
        <v>29</v>
      </c>
      <c r="D272" t="s">
        <v>59</v>
      </c>
      <c r="E272" t="s">
        <v>60</v>
      </c>
      <c r="F272" t="s">
        <v>84</v>
      </c>
      <c r="G272" s="5">
        <v>46077</v>
      </c>
      <c r="H272" s="5">
        <v>46177</v>
      </c>
      <c r="I272" s="3">
        <v>58</v>
      </c>
      <c r="J272" s="4">
        <v>3.44</v>
      </c>
      <c r="K272" s="3">
        <v>98</v>
      </c>
      <c r="L272" s="3">
        <v>69</v>
      </c>
      <c r="M272" s="3">
        <v>77</v>
      </c>
      <c r="N272" t="s">
        <v>23</v>
      </c>
      <c r="O272" t="s">
        <v>1286</v>
      </c>
      <c r="P272" s="4" t="s">
        <v>1287</v>
      </c>
      <c r="Q272" t="s">
        <v>1288</v>
      </c>
      <c r="R272" s="8">
        <f t="shared" si="16"/>
        <v>244</v>
      </c>
      <c r="S272" t="str">
        <f t="shared" si="17"/>
        <v>Pass</v>
      </c>
      <c r="T272" t="str">
        <f t="shared" si="18"/>
        <v>A</v>
      </c>
      <c r="U272">
        <f t="shared" si="19"/>
        <v>0</v>
      </c>
    </row>
    <row r="273" spans="1:21">
      <c r="A273" t="s">
        <v>1289</v>
      </c>
      <c r="B273" t="s">
        <v>298</v>
      </c>
      <c r="C273" t="s">
        <v>19</v>
      </c>
      <c r="D273" t="s">
        <v>71</v>
      </c>
      <c r="E273" t="s">
        <v>72</v>
      </c>
      <c r="F273" t="s">
        <v>111</v>
      </c>
      <c r="G273" s="5">
        <v>45926</v>
      </c>
      <c r="H273" s="5">
        <v>46025</v>
      </c>
      <c r="I273" s="3">
        <v>63</v>
      </c>
      <c r="J273" s="4">
        <v>2.46</v>
      </c>
      <c r="K273" s="3">
        <v>87</v>
      </c>
      <c r="L273" s="3">
        <v>91</v>
      </c>
      <c r="M273" s="3">
        <v>71</v>
      </c>
      <c r="N273" t="s">
        <v>23</v>
      </c>
      <c r="O273" t="s">
        <v>1290</v>
      </c>
      <c r="P273" s="4" t="s">
        <v>1291</v>
      </c>
      <c r="Q273" t="s">
        <v>1292</v>
      </c>
      <c r="R273" s="8">
        <f t="shared" si="16"/>
        <v>249</v>
      </c>
      <c r="S273" t="str">
        <f t="shared" si="17"/>
        <v>Pass</v>
      </c>
      <c r="T273" t="str">
        <f t="shared" si="18"/>
        <v>A</v>
      </c>
      <c r="U273">
        <f t="shared" si="19"/>
        <v>0</v>
      </c>
    </row>
    <row r="274" spans="1:21">
      <c r="A274" t="s">
        <v>1293</v>
      </c>
      <c r="B274" t="s">
        <v>1294</v>
      </c>
      <c r="C274" t="s">
        <v>29</v>
      </c>
      <c r="D274" t="s">
        <v>59</v>
      </c>
      <c r="E274" t="s">
        <v>60</v>
      </c>
      <c r="F274" t="s">
        <v>22</v>
      </c>
      <c r="G274" s="5">
        <v>46005</v>
      </c>
      <c r="H274" s="5">
        <v>46137</v>
      </c>
      <c r="I274" s="3">
        <v>88</v>
      </c>
      <c r="J274" s="4">
        <v>3.71</v>
      </c>
      <c r="K274" s="3">
        <v>92</v>
      </c>
      <c r="L274" s="3">
        <v>42</v>
      </c>
      <c r="M274" s="3">
        <v>95</v>
      </c>
      <c r="N274" t="s">
        <v>32</v>
      </c>
      <c r="O274" t="s">
        <v>1295</v>
      </c>
      <c r="P274" s="4" t="s">
        <v>1296</v>
      </c>
      <c r="Q274" t="s">
        <v>1297</v>
      </c>
      <c r="R274" s="8">
        <f t="shared" si="16"/>
        <v>229</v>
      </c>
      <c r="S274" t="str">
        <f t="shared" si="17"/>
        <v>Pass</v>
      </c>
      <c r="T274" t="str">
        <f t="shared" si="18"/>
        <v>A</v>
      </c>
      <c r="U274">
        <f t="shared" si="19"/>
        <v>0</v>
      </c>
    </row>
    <row r="275" spans="1:21">
      <c r="A275" t="s">
        <v>1298</v>
      </c>
      <c r="B275" t="s">
        <v>1299</v>
      </c>
      <c r="C275" t="s">
        <v>19</v>
      </c>
      <c r="D275" t="s">
        <v>20</v>
      </c>
      <c r="E275" t="s">
        <v>21</v>
      </c>
      <c r="F275" t="s">
        <v>45</v>
      </c>
      <c r="G275" s="5">
        <v>46046</v>
      </c>
      <c r="H275" s="5">
        <v>46119</v>
      </c>
      <c r="I275" s="3">
        <v>66</v>
      </c>
      <c r="J275" s="4">
        <v>2.2200000000000002</v>
      </c>
      <c r="K275" s="3">
        <v>93</v>
      </c>
      <c r="L275" s="3">
        <v>60</v>
      </c>
      <c r="M275" s="3">
        <v>37</v>
      </c>
      <c r="N275" t="s">
        <v>23</v>
      </c>
      <c r="O275" t="s">
        <v>1300</v>
      </c>
      <c r="P275" s="4" t="s">
        <v>1301</v>
      </c>
      <c r="Q275" t="s">
        <v>1302</v>
      </c>
      <c r="R275" s="8">
        <f t="shared" si="16"/>
        <v>190</v>
      </c>
      <c r="S275" t="str">
        <f t="shared" si="17"/>
        <v>Pass</v>
      </c>
      <c r="T275" t="str">
        <f t="shared" si="18"/>
        <v>B</v>
      </c>
      <c r="U275">
        <f t="shared" si="19"/>
        <v>0</v>
      </c>
    </row>
    <row r="276" spans="1:21">
      <c r="A276" t="s">
        <v>1303</v>
      </c>
      <c r="B276" t="s">
        <v>1304</v>
      </c>
      <c r="C276" t="s">
        <v>29</v>
      </c>
      <c r="D276" t="s">
        <v>51</v>
      </c>
      <c r="E276" t="s">
        <v>52</v>
      </c>
      <c r="F276" t="s">
        <v>84</v>
      </c>
      <c r="G276" s="5">
        <v>46019</v>
      </c>
      <c r="H276" s="5">
        <v>46153</v>
      </c>
      <c r="I276" s="3">
        <v>80</v>
      </c>
      <c r="J276" s="4">
        <v>3.2</v>
      </c>
      <c r="K276" s="3">
        <v>47</v>
      </c>
      <c r="L276" s="3">
        <v>38</v>
      </c>
      <c r="M276" s="3">
        <v>60</v>
      </c>
      <c r="N276" t="s">
        <v>23</v>
      </c>
      <c r="O276" t="s">
        <v>1305</v>
      </c>
      <c r="P276" s="4" t="s">
        <v>1306</v>
      </c>
      <c r="Q276" t="s">
        <v>1307</v>
      </c>
      <c r="R276" s="8">
        <f t="shared" si="16"/>
        <v>145</v>
      </c>
      <c r="S276" t="str">
        <f t="shared" si="17"/>
        <v>Fail</v>
      </c>
      <c r="T276" t="str">
        <f t="shared" si="18"/>
        <v>C</v>
      </c>
      <c r="U276">
        <f t="shared" si="19"/>
        <v>0</v>
      </c>
    </row>
    <row r="277" spans="1:21">
      <c r="A277" t="s">
        <v>1308</v>
      </c>
      <c r="B277" t="s">
        <v>679</v>
      </c>
      <c r="C277" t="s">
        <v>19</v>
      </c>
      <c r="D277" t="s">
        <v>30</v>
      </c>
      <c r="E277" t="s">
        <v>1309</v>
      </c>
      <c r="F277" t="s">
        <v>45</v>
      </c>
      <c r="G277" s="5">
        <v>45990</v>
      </c>
      <c r="H277" s="5">
        <v>46104</v>
      </c>
      <c r="I277" s="3">
        <v>65</v>
      </c>
      <c r="J277" s="4">
        <v>3.64</v>
      </c>
      <c r="K277" s="3">
        <v>56</v>
      </c>
      <c r="L277" s="3">
        <v>46</v>
      </c>
      <c r="M277" s="3">
        <v>66</v>
      </c>
      <c r="N277" t="s">
        <v>23</v>
      </c>
      <c r="O277" t="s">
        <v>1310</v>
      </c>
      <c r="P277" s="4" t="s">
        <v>1311</v>
      </c>
      <c r="Q277" t="s">
        <v>1312</v>
      </c>
      <c r="R277" s="8">
        <f t="shared" si="16"/>
        <v>168</v>
      </c>
      <c r="S277" t="str">
        <f t="shared" si="17"/>
        <v>Pass</v>
      </c>
      <c r="T277" t="str">
        <f t="shared" si="18"/>
        <v>B</v>
      </c>
      <c r="U277">
        <f t="shared" si="19"/>
        <v>0</v>
      </c>
    </row>
    <row r="278" spans="1:21">
      <c r="A278" t="s">
        <v>1313</v>
      </c>
      <c r="B278" t="s">
        <v>1314</v>
      </c>
      <c r="C278" t="s">
        <v>29</v>
      </c>
      <c r="D278" t="s">
        <v>20</v>
      </c>
      <c r="E278" t="s">
        <v>21</v>
      </c>
      <c r="F278" t="s">
        <v>111</v>
      </c>
      <c r="G278" s="5">
        <v>45958</v>
      </c>
      <c r="H278" s="5">
        <v>46054</v>
      </c>
      <c r="I278" s="3">
        <v>72</v>
      </c>
      <c r="J278" s="4">
        <v>3.23</v>
      </c>
      <c r="K278" s="3">
        <v>72</v>
      </c>
      <c r="L278" s="3">
        <v>37</v>
      </c>
      <c r="M278" s="3">
        <v>31</v>
      </c>
      <c r="N278" t="s">
        <v>23</v>
      </c>
      <c r="O278" t="s">
        <v>1315</v>
      </c>
      <c r="P278" s="4" t="s">
        <v>1316</v>
      </c>
      <c r="Q278" t="s">
        <v>1317</v>
      </c>
      <c r="R278" s="8">
        <f t="shared" si="16"/>
        <v>140</v>
      </c>
      <c r="S278" t="str">
        <f t="shared" si="17"/>
        <v>Fail</v>
      </c>
      <c r="T278" t="str">
        <f t="shared" si="18"/>
        <v>C</v>
      </c>
      <c r="U278">
        <f t="shared" si="19"/>
        <v>0</v>
      </c>
    </row>
    <row r="279" spans="1:21">
      <c r="A279" t="s">
        <v>1318</v>
      </c>
      <c r="B279" t="s">
        <v>1319</v>
      </c>
      <c r="C279" t="s">
        <v>29</v>
      </c>
      <c r="D279" t="s">
        <v>20</v>
      </c>
      <c r="E279" t="s">
        <v>21</v>
      </c>
      <c r="F279" t="s">
        <v>84</v>
      </c>
      <c r="G279" s="5">
        <v>46056</v>
      </c>
      <c r="H279" s="5">
        <v>46165</v>
      </c>
      <c r="I279" s="3">
        <v>100</v>
      </c>
      <c r="J279" s="4">
        <v>3.93</v>
      </c>
      <c r="K279" s="3">
        <v>81</v>
      </c>
      <c r="L279" s="3">
        <v>70</v>
      </c>
      <c r="M279" s="3">
        <v>84</v>
      </c>
      <c r="N279" t="s">
        <v>78</v>
      </c>
      <c r="O279" t="s">
        <v>1320</v>
      </c>
      <c r="P279" s="4" t="s">
        <v>1321</v>
      </c>
      <c r="Q279" t="s">
        <v>1322</v>
      </c>
      <c r="R279" s="8">
        <f t="shared" si="16"/>
        <v>235</v>
      </c>
      <c r="S279" t="str">
        <f t="shared" si="17"/>
        <v>Pass</v>
      </c>
      <c r="T279" t="str">
        <f t="shared" si="18"/>
        <v>A</v>
      </c>
      <c r="U279">
        <f t="shared" si="19"/>
        <v>0</v>
      </c>
    </row>
    <row r="280" spans="1:21">
      <c r="A280" t="s">
        <v>1323</v>
      </c>
      <c r="B280" t="s">
        <v>1035</v>
      </c>
      <c r="C280" t="s">
        <v>29</v>
      </c>
      <c r="D280" t="s">
        <v>59</v>
      </c>
      <c r="E280" t="s">
        <v>60</v>
      </c>
      <c r="F280" t="s">
        <v>84</v>
      </c>
      <c r="G280" s="5">
        <v>46074</v>
      </c>
      <c r="H280" s="5">
        <v>46210</v>
      </c>
      <c r="I280" s="3">
        <v>94</v>
      </c>
      <c r="J280" s="4">
        <v>2.67</v>
      </c>
      <c r="K280" s="3">
        <v>46</v>
      </c>
      <c r="L280" s="3">
        <v>35</v>
      </c>
      <c r="M280" s="3">
        <v>95</v>
      </c>
      <c r="N280" t="s">
        <v>78</v>
      </c>
      <c r="O280" t="s">
        <v>1324</v>
      </c>
      <c r="P280" s="4" t="s">
        <v>1325</v>
      </c>
      <c r="Q280" t="s">
        <v>1326</v>
      </c>
      <c r="R280" s="8">
        <f t="shared" si="16"/>
        <v>176</v>
      </c>
      <c r="S280" t="str">
        <f t="shared" si="17"/>
        <v>Pass</v>
      </c>
      <c r="T280" t="str">
        <f t="shared" si="18"/>
        <v>B</v>
      </c>
      <c r="U280">
        <f t="shared" si="19"/>
        <v>0</v>
      </c>
    </row>
    <row r="281" spans="1:21">
      <c r="A281" t="s">
        <v>1327</v>
      </c>
      <c r="B281" t="s">
        <v>981</v>
      </c>
      <c r="C281" t="s">
        <v>19</v>
      </c>
      <c r="D281" t="s">
        <v>51</v>
      </c>
      <c r="E281" t="s">
        <v>52</v>
      </c>
      <c r="F281" t="s">
        <v>111</v>
      </c>
      <c r="G281" s="5">
        <v>45928</v>
      </c>
      <c r="H281" s="5">
        <v>46059</v>
      </c>
      <c r="I281" s="3">
        <v>59</v>
      </c>
      <c r="J281" s="4">
        <v>2.54</v>
      </c>
      <c r="K281" s="3">
        <v>57</v>
      </c>
      <c r="L281" s="3">
        <v>76</v>
      </c>
      <c r="M281" s="3">
        <v>65</v>
      </c>
      <c r="N281" t="s">
        <v>23</v>
      </c>
      <c r="O281" t="s">
        <v>1328</v>
      </c>
      <c r="P281" s="4" t="s">
        <v>1329</v>
      </c>
      <c r="Q281" t="s">
        <v>1330</v>
      </c>
      <c r="R281" s="8">
        <f t="shared" si="16"/>
        <v>198</v>
      </c>
      <c r="S281" t="str">
        <f t="shared" si="17"/>
        <v>Pass</v>
      </c>
      <c r="T281" t="str">
        <f t="shared" si="18"/>
        <v>B</v>
      </c>
      <c r="U281">
        <f t="shared" si="19"/>
        <v>0</v>
      </c>
    </row>
    <row r="282" spans="1:21">
      <c r="A282" t="s">
        <v>1331</v>
      </c>
      <c r="B282" t="s">
        <v>770</v>
      </c>
      <c r="C282" t="s">
        <v>29</v>
      </c>
      <c r="D282" t="s">
        <v>30</v>
      </c>
      <c r="E282" t="s">
        <v>31</v>
      </c>
      <c r="F282" t="s">
        <v>22</v>
      </c>
      <c r="G282" s="5">
        <v>45915</v>
      </c>
      <c r="H282" s="5">
        <v>46036</v>
      </c>
      <c r="I282" s="3">
        <v>97</v>
      </c>
      <c r="J282" s="4">
        <v>2.5</v>
      </c>
      <c r="K282" s="3">
        <v>48</v>
      </c>
      <c r="L282" s="3">
        <v>38</v>
      </c>
      <c r="M282" s="3">
        <v>93</v>
      </c>
      <c r="N282" t="s">
        <v>78</v>
      </c>
      <c r="O282" t="s">
        <v>1332</v>
      </c>
      <c r="P282" s="4" t="s">
        <v>1333</v>
      </c>
      <c r="Q282" t="s">
        <v>1334</v>
      </c>
      <c r="R282" s="8">
        <f t="shared" si="16"/>
        <v>179</v>
      </c>
      <c r="S282" t="str">
        <f t="shared" si="17"/>
        <v>Pass</v>
      </c>
      <c r="T282" t="str">
        <f t="shared" si="18"/>
        <v>B</v>
      </c>
      <c r="U282">
        <f t="shared" si="19"/>
        <v>0</v>
      </c>
    </row>
    <row r="283" spans="1:21">
      <c r="A283" t="s">
        <v>1335</v>
      </c>
      <c r="B283" t="s">
        <v>203</v>
      </c>
      <c r="C283" t="s">
        <v>19</v>
      </c>
      <c r="D283" t="s">
        <v>71</v>
      </c>
      <c r="E283" t="s">
        <v>72</v>
      </c>
      <c r="F283" t="s">
        <v>193</v>
      </c>
      <c r="G283" s="5">
        <v>46050</v>
      </c>
      <c r="H283" s="5">
        <v>46144</v>
      </c>
      <c r="I283" s="3">
        <v>76</v>
      </c>
      <c r="J283" s="4">
        <v>3.4</v>
      </c>
      <c r="K283" s="3">
        <v>54</v>
      </c>
      <c r="L283" s="3">
        <v>95</v>
      </c>
      <c r="M283" s="3">
        <v>75</v>
      </c>
      <c r="N283" t="s">
        <v>23</v>
      </c>
      <c r="O283" t="s">
        <v>1336</v>
      </c>
      <c r="P283" s="4" t="s">
        <v>1337</v>
      </c>
      <c r="Q283" t="s">
        <v>1338</v>
      </c>
      <c r="R283" s="8">
        <f t="shared" si="16"/>
        <v>224</v>
      </c>
      <c r="S283" t="str">
        <f t="shared" si="17"/>
        <v>Pass</v>
      </c>
      <c r="T283" t="str">
        <f t="shared" si="18"/>
        <v>A</v>
      </c>
      <c r="U283">
        <f t="shared" si="19"/>
        <v>0</v>
      </c>
    </row>
    <row r="284" spans="1:21">
      <c r="A284" t="s">
        <v>1339</v>
      </c>
      <c r="B284" t="s">
        <v>1340</v>
      </c>
      <c r="C284" t="s">
        <v>19</v>
      </c>
      <c r="D284" t="s">
        <v>43</v>
      </c>
      <c r="E284" t="s">
        <v>44</v>
      </c>
      <c r="F284" t="s">
        <v>53</v>
      </c>
      <c r="G284" s="5">
        <v>45933</v>
      </c>
      <c r="H284" s="5">
        <v>46036</v>
      </c>
      <c r="I284" s="3">
        <v>90</v>
      </c>
      <c r="J284" s="4">
        <v>3.48</v>
      </c>
      <c r="K284" s="3">
        <v>51</v>
      </c>
      <c r="L284" s="3">
        <v>77</v>
      </c>
      <c r="M284" s="3">
        <v>41</v>
      </c>
      <c r="N284" t="s">
        <v>23</v>
      </c>
      <c r="O284" t="s">
        <v>1341</v>
      </c>
      <c r="P284" s="4" t="s">
        <v>1342</v>
      </c>
      <c r="Q284" t="s">
        <v>1343</v>
      </c>
      <c r="R284" s="8">
        <f t="shared" si="16"/>
        <v>169</v>
      </c>
      <c r="S284" t="str">
        <f t="shared" si="17"/>
        <v>Pass</v>
      </c>
      <c r="T284" t="str">
        <f t="shared" si="18"/>
        <v>B</v>
      </c>
      <c r="U284">
        <f t="shared" si="19"/>
        <v>0</v>
      </c>
    </row>
    <row r="285" spans="1:21">
      <c r="A285" t="s">
        <v>1344</v>
      </c>
      <c r="B285" t="s">
        <v>953</v>
      </c>
      <c r="C285" t="s">
        <v>19</v>
      </c>
      <c r="D285" t="s">
        <v>51</v>
      </c>
      <c r="E285" t="s">
        <v>52</v>
      </c>
      <c r="F285" t="s">
        <v>84</v>
      </c>
      <c r="G285" s="5">
        <v>46050</v>
      </c>
      <c r="H285" s="5">
        <v>46157</v>
      </c>
      <c r="I285" s="3">
        <v>84</v>
      </c>
      <c r="J285" s="4">
        <v>3.67</v>
      </c>
      <c r="K285" s="3">
        <v>70</v>
      </c>
      <c r="L285" s="3">
        <v>41</v>
      </c>
      <c r="M285" s="3">
        <v>39</v>
      </c>
      <c r="N285" t="s">
        <v>23</v>
      </c>
      <c r="O285" t="s">
        <v>1345</v>
      </c>
      <c r="P285" s="4" t="s">
        <v>1346</v>
      </c>
      <c r="Q285" t="s">
        <v>1347</v>
      </c>
      <c r="R285" s="8">
        <f t="shared" si="16"/>
        <v>150</v>
      </c>
      <c r="S285" t="str">
        <f t="shared" si="17"/>
        <v>Pass</v>
      </c>
      <c r="T285" t="str">
        <f t="shared" si="18"/>
        <v>B</v>
      </c>
      <c r="U285">
        <f t="shared" si="19"/>
        <v>0</v>
      </c>
    </row>
    <row r="286" spans="1:21">
      <c r="A286" t="s">
        <v>1348</v>
      </c>
      <c r="B286" t="s">
        <v>1349</v>
      </c>
      <c r="C286" t="s">
        <v>19</v>
      </c>
      <c r="D286" t="s">
        <v>30</v>
      </c>
      <c r="E286" t="s">
        <v>31</v>
      </c>
      <c r="F286" t="s">
        <v>84</v>
      </c>
      <c r="G286" s="5">
        <v>46006</v>
      </c>
      <c r="H286" s="5">
        <v>46082</v>
      </c>
      <c r="I286" s="3">
        <v>64</v>
      </c>
      <c r="J286" s="4">
        <v>2.1</v>
      </c>
      <c r="K286" s="3">
        <v>52</v>
      </c>
      <c r="L286" s="3">
        <v>78</v>
      </c>
      <c r="M286" s="3">
        <v>82</v>
      </c>
      <c r="N286" t="s">
        <v>78</v>
      </c>
      <c r="O286" t="s">
        <v>1350</v>
      </c>
      <c r="P286" s="4" t="s">
        <v>1351</v>
      </c>
      <c r="Q286" t="s">
        <v>1352</v>
      </c>
      <c r="R286" s="8">
        <f t="shared" si="16"/>
        <v>212</v>
      </c>
      <c r="S286" t="str">
        <f t="shared" si="17"/>
        <v>Pass</v>
      </c>
      <c r="T286" t="str">
        <f t="shared" si="18"/>
        <v>A</v>
      </c>
      <c r="U286">
        <f t="shared" si="19"/>
        <v>0</v>
      </c>
    </row>
    <row r="287" spans="1:21">
      <c r="A287" t="s">
        <v>1353</v>
      </c>
      <c r="B287" t="s">
        <v>1354</v>
      </c>
      <c r="C287" t="s">
        <v>19</v>
      </c>
      <c r="D287" t="s">
        <v>43</v>
      </c>
      <c r="E287" t="s">
        <v>44</v>
      </c>
      <c r="F287" t="s">
        <v>22</v>
      </c>
      <c r="G287" s="5">
        <v>46058</v>
      </c>
      <c r="H287" s="5">
        <v>46183</v>
      </c>
      <c r="I287" s="3">
        <v>95</v>
      </c>
      <c r="J287" s="4">
        <v>2.74</v>
      </c>
      <c r="K287" s="3">
        <v>67</v>
      </c>
      <c r="L287" s="3">
        <v>96</v>
      </c>
      <c r="M287" s="3">
        <v>79</v>
      </c>
      <c r="N287" t="s">
        <v>23</v>
      </c>
      <c r="O287" t="s">
        <v>1355</v>
      </c>
      <c r="P287" s="4" t="s">
        <v>1356</v>
      </c>
      <c r="Q287" t="s">
        <v>1357</v>
      </c>
      <c r="R287" s="8">
        <f t="shared" si="16"/>
        <v>242</v>
      </c>
      <c r="S287" t="str">
        <f t="shared" si="17"/>
        <v>Pass</v>
      </c>
      <c r="T287" t="str">
        <f t="shared" si="18"/>
        <v>A</v>
      </c>
      <c r="U287">
        <f t="shared" si="19"/>
        <v>0</v>
      </c>
    </row>
    <row r="288" spans="1:21">
      <c r="A288" t="s">
        <v>1358</v>
      </c>
      <c r="B288" t="s">
        <v>1359</v>
      </c>
      <c r="C288" t="s">
        <v>29</v>
      </c>
      <c r="D288" t="s">
        <v>51</v>
      </c>
      <c r="E288" t="s">
        <v>52</v>
      </c>
      <c r="F288" t="s">
        <v>45</v>
      </c>
      <c r="G288" s="5">
        <v>45949</v>
      </c>
      <c r="H288" s="5">
        <v>46021</v>
      </c>
      <c r="I288" s="3">
        <v>98</v>
      </c>
      <c r="J288" s="4">
        <v>1.81</v>
      </c>
      <c r="K288" s="3">
        <v>86</v>
      </c>
      <c r="L288" s="3">
        <v>66</v>
      </c>
      <c r="M288" s="3">
        <v>58</v>
      </c>
      <c r="N288" t="s">
        <v>23</v>
      </c>
      <c r="O288" t="s">
        <v>1360</v>
      </c>
      <c r="P288" s="4" t="s">
        <v>1361</v>
      </c>
      <c r="Q288" t="s">
        <v>1362</v>
      </c>
      <c r="R288" s="8">
        <f t="shared" si="16"/>
        <v>210</v>
      </c>
      <c r="S288" t="str">
        <f t="shared" si="17"/>
        <v>Pass</v>
      </c>
      <c r="T288" t="str">
        <f t="shared" si="18"/>
        <v>A</v>
      </c>
      <c r="U288">
        <f t="shared" si="19"/>
        <v>0</v>
      </c>
    </row>
    <row r="289" spans="1:21">
      <c r="A289" t="s">
        <v>1363</v>
      </c>
      <c r="B289" t="s">
        <v>1364</v>
      </c>
      <c r="C289" t="s">
        <v>29</v>
      </c>
      <c r="D289" t="s">
        <v>59</v>
      </c>
      <c r="E289" t="s">
        <v>60</v>
      </c>
      <c r="F289" t="s">
        <v>45</v>
      </c>
      <c r="G289" s="5">
        <v>46051</v>
      </c>
      <c r="H289" s="5">
        <v>46160</v>
      </c>
      <c r="I289" s="3">
        <v>65</v>
      </c>
      <c r="J289" s="4">
        <v>1.94</v>
      </c>
      <c r="K289" s="3">
        <v>42</v>
      </c>
      <c r="L289" s="3">
        <v>73</v>
      </c>
      <c r="M289" s="3">
        <v>67</v>
      </c>
      <c r="N289" t="s">
        <v>23</v>
      </c>
      <c r="O289" t="s">
        <v>1365</v>
      </c>
      <c r="P289" s="4" t="s">
        <v>1366</v>
      </c>
      <c r="Q289" t="s">
        <v>1367</v>
      </c>
      <c r="R289" s="8">
        <f t="shared" si="16"/>
        <v>182</v>
      </c>
      <c r="S289" t="str">
        <f t="shared" si="17"/>
        <v>Pass</v>
      </c>
      <c r="T289" t="str">
        <f t="shared" si="18"/>
        <v>B</v>
      </c>
      <c r="U289">
        <f t="shared" si="19"/>
        <v>0</v>
      </c>
    </row>
    <row r="290" spans="1:21">
      <c r="A290" t="s">
        <v>1368</v>
      </c>
      <c r="B290" t="s">
        <v>1369</v>
      </c>
      <c r="C290" t="s">
        <v>19</v>
      </c>
      <c r="D290" t="s">
        <v>59</v>
      </c>
      <c r="E290" t="s">
        <v>60</v>
      </c>
      <c r="F290" t="s">
        <v>111</v>
      </c>
      <c r="G290" s="5">
        <v>45935</v>
      </c>
      <c r="H290" s="5">
        <v>46048</v>
      </c>
      <c r="I290" s="3">
        <v>86</v>
      </c>
      <c r="J290" s="4">
        <v>2.59</v>
      </c>
      <c r="K290" s="3">
        <v>52</v>
      </c>
      <c r="L290" s="3">
        <v>56</v>
      </c>
      <c r="M290" s="3">
        <v>81</v>
      </c>
      <c r="N290" t="s">
        <v>23</v>
      </c>
      <c r="O290" t="s">
        <v>1370</v>
      </c>
      <c r="P290" s="4" t="s">
        <v>1371</v>
      </c>
      <c r="Q290" t="s">
        <v>1372</v>
      </c>
      <c r="R290" s="8">
        <f t="shared" si="16"/>
        <v>189</v>
      </c>
      <c r="S290" t="str">
        <f t="shared" si="17"/>
        <v>Pass</v>
      </c>
      <c r="T290" t="str">
        <f t="shared" si="18"/>
        <v>B</v>
      </c>
      <c r="U290">
        <f t="shared" si="19"/>
        <v>0</v>
      </c>
    </row>
    <row r="291" spans="1:21">
      <c r="A291" t="s">
        <v>1373</v>
      </c>
      <c r="B291" t="s">
        <v>232</v>
      </c>
      <c r="C291" t="s">
        <v>29</v>
      </c>
      <c r="D291" t="s">
        <v>30</v>
      </c>
      <c r="E291" t="s">
        <v>31</v>
      </c>
      <c r="F291" t="s">
        <v>45</v>
      </c>
      <c r="G291" s="5">
        <v>45944</v>
      </c>
      <c r="H291" s="5">
        <v>46029</v>
      </c>
      <c r="I291" s="3">
        <v>78</v>
      </c>
      <c r="J291" s="4">
        <v>3.36</v>
      </c>
      <c r="K291" s="3">
        <v>90</v>
      </c>
      <c r="L291" s="3">
        <v>39</v>
      </c>
      <c r="M291" s="3">
        <v>78</v>
      </c>
      <c r="N291" t="s">
        <v>78</v>
      </c>
      <c r="O291" t="s">
        <v>1374</v>
      </c>
      <c r="P291" s="4" t="s">
        <v>1375</v>
      </c>
      <c r="Q291" t="s">
        <v>1376</v>
      </c>
      <c r="R291" s="8">
        <f t="shared" si="16"/>
        <v>207</v>
      </c>
      <c r="S291" t="str">
        <f t="shared" si="17"/>
        <v>Pass</v>
      </c>
      <c r="T291" t="str">
        <f t="shared" si="18"/>
        <v>A</v>
      </c>
      <c r="U291">
        <f t="shared" si="19"/>
        <v>0</v>
      </c>
    </row>
    <row r="292" spans="1:21">
      <c r="A292" t="s">
        <v>1377</v>
      </c>
      <c r="B292" t="s">
        <v>981</v>
      </c>
      <c r="C292" t="s">
        <v>29</v>
      </c>
      <c r="D292" t="s">
        <v>30</v>
      </c>
      <c r="E292" t="s">
        <v>31</v>
      </c>
      <c r="F292" t="s">
        <v>193</v>
      </c>
      <c r="G292" s="5">
        <v>46070</v>
      </c>
      <c r="H292" s="5">
        <v>46153</v>
      </c>
      <c r="I292" s="3">
        <v>96</v>
      </c>
      <c r="J292" s="4">
        <v>3.64</v>
      </c>
      <c r="K292" s="3">
        <v>43</v>
      </c>
      <c r="L292" s="3">
        <v>49</v>
      </c>
      <c r="M292" s="3">
        <v>83</v>
      </c>
      <c r="N292" t="s">
        <v>23</v>
      </c>
      <c r="O292" t="s">
        <v>1378</v>
      </c>
      <c r="P292" s="4" t="s">
        <v>1379</v>
      </c>
      <c r="Q292" t="s">
        <v>1380</v>
      </c>
      <c r="R292" s="8">
        <f t="shared" si="16"/>
        <v>175</v>
      </c>
      <c r="S292" t="str">
        <f t="shared" si="17"/>
        <v>Pass</v>
      </c>
      <c r="T292" t="str">
        <f t="shared" si="18"/>
        <v>B</v>
      </c>
      <c r="U292">
        <f t="shared" si="19"/>
        <v>0</v>
      </c>
    </row>
    <row r="293" spans="1:21">
      <c r="A293" t="s">
        <v>1381</v>
      </c>
      <c r="B293" t="s">
        <v>698</v>
      </c>
      <c r="C293" t="s">
        <v>19</v>
      </c>
      <c r="D293" t="s">
        <v>71</v>
      </c>
      <c r="E293" t="s">
        <v>72</v>
      </c>
      <c r="F293" t="s">
        <v>22</v>
      </c>
      <c r="G293" s="5">
        <v>45953</v>
      </c>
      <c r="H293" s="5">
        <v>46024</v>
      </c>
      <c r="I293" s="3">
        <v>74</v>
      </c>
      <c r="J293" s="4">
        <v>2.73</v>
      </c>
      <c r="K293" s="3">
        <v>46</v>
      </c>
      <c r="L293" s="3">
        <v>69</v>
      </c>
      <c r="M293" s="3">
        <v>47</v>
      </c>
      <c r="N293" t="s">
        <v>23</v>
      </c>
      <c r="O293" t="s">
        <v>1382</v>
      </c>
      <c r="P293" s="4" t="s">
        <v>1383</v>
      </c>
      <c r="Q293" t="s">
        <v>1384</v>
      </c>
      <c r="R293" s="8">
        <f t="shared" si="16"/>
        <v>162</v>
      </c>
      <c r="S293" t="str">
        <f t="shared" si="17"/>
        <v>Pass</v>
      </c>
      <c r="T293" t="str">
        <f t="shared" si="18"/>
        <v>B</v>
      </c>
      <c r="U293">
        <f t="shared" si="19"/>
        <v>0</v>
      </c>
    </row>
    <row r="294" spans="1:21">
      <c r="A294" t="s">
        <v>1385</v>
      </c>
      <c r="B294" t="s">
        <v>1386</v>
      </c>
      <c r="C294" t="s">
        <v>29</v>
      </c>
      <c r="D294" t="s">
        <v>51</v>
      </c>
      <c r="E294" t="s">
        <v>52</v>
      </c>
      <c r="F294" t="s">
        <v>193</v>
      </c>
      <c r="G294" s="5">
        <v>45928</v>
      </c>
      <c r="H294" s="5">
        <v>46061</v>
      </c>
      <c r="I294" s="3">
        <v>67</v>
      </c>
      <c r="J294" s="4">
        <v>3.14</v>
      </c>
      <c r="K294" s="3">
        <v>89</v>
      </c>
      <c r="L294" s="3">
        <v>68</v>
      </c>
      <c r="M294" s="3">
        <v>96</v>
      </c>
      <c r="N294" t="s">
        <v>78</v>
      </c>
      <c r="O294" t="s">
        <v>1387</v>
      </c>
      <c r="P294" s="4" t="s">
        <v>1388</v>
      </c>
      <c r="Q294" t="s">
        <v>1389</v>
      </c>
      <c r="R294" s="8">
        <f t="shared" si="16"/>
        <v>253</v>
      </c>
      <c r="S294" t="str">
        <f t="shared" si="17"/>
        <v>Pass</v>
      </c>
      <c r="T294" t="str">
        <f t="shared" si="18"/>
        <v>A</v>
      </c>
      <c r="U294">
        <f t="shared" si="19"/>
        <v>0</v>
      </c>
    </row>
    <row r="295" spans="1:21">
      <c r="A295" t="s">
        <v>1390</v>
      </c>
      <c r="B295" t="s">
        <v>1391</v>
      </c>
      <c r="C295" t="s">
        <v>29</v>
      </c>
      <c r="D295" t="s">
        <v>43</v>
      </c>
      <c r="E295" t="s">
        <v>44</v>
      </c>
      <c r="F295" t="s">
        <v>45</v>
      </c>
      <c r="G295" s="5">
        <v>46028</v>
      </c>
      <c r="H295" s="5">
        <v>46124</v>
      </c>
      <c r="I295" s="3">
        <v>99</v>
      </c>
      <c r="J295" s="4">
        <v>3.85</v>
      </c>
      <c r="K295" s="3">
        <v>61</v>
      </c>
      <c r="L295" s="3">
        <v>65</v>
      </c>
      <c r="M295" s="3">
        <v>30</v>
      </c>
      <c r="N295" t="s">
        <v>23</v>
      </c>
      <c r="O295" t="s">
        <v>1392</v>
      </c>
      <c r="P295" s="4" t="s">
        <v>1393</v>
      </c>
      <c r="Q295" t="s">
        <v>1394</v>
      </c>
      <c r="R295" s="8">
        <f t="shared" si="16"/>
        <v>156</v>
      </c>
      <c r="S295" t="str">
        <f t="shared" si="17"/>
        <v>Pass</v>
      </c>
      <c r="T295" t="str">
        <f t="shared" si="18"/>
        <v>B</v>
      </c>
      <c r="U295">
        <f t="shared" si="19"/>
        <v>0</v>
      </c>
    </row>
    <row r="296" spans="1:21">
      <c r="A296" t="s">
        <v>1395</v>
      </c>
      <c r="B296" t="s">
        <v>262</v>
      </c>
      <c r="C296" t="s">
        <v>19</v>
      </c>
      <c r="D296" t="s">
        <v>20</v>
      </c>
      <c r="E296" t="s">
        <v>21</v>
      </c>
      <c r="F296" t="s">
        <v>193</v>
      </c>
      <c r="G296" s="5">
        <v>46031</v>
      </c>
      <c r="H296" s="5">
        <v>46110</v>
      </c>
      <c r="I296" s="3">
        <v>61</v>
      </c>
      <c r="J296" s="4">
        <v>3.79</v>
      </c>
      <c r="K296" s="3">
        <v>81</v>
      </c>
      <c r="L296" s="3">
        <v>64</v>
      </c>
      <c r="M296" s="3">
        <v>88</v>
      </c>
      <c r="N296" t="s">
        <v>78</v>
      </c>
      <c r="O296" t="s">
        <v>1396</v>
      </c>
      <c r="P296" s="4" t="s">
        <v>1397</v>
      </c>
      <c r="Q296" t="s">
        <v>1398</v>
      </c>
      <c r="R296" s="8">
        <f t="shared" si="16"/>
        <v>233</v>
      </c>
      <c r="S296" t="str">
        <f t="shared" si="17"/>
        <v>Pass</v>
      </c>
      <c r="T296" t="str">
        <f t="shared" si="18"/>
        <v>A</v>
      </c>
      <c r="U296">
        <f t="shared" si="19"/>
        <v>0</v>
      </c>
    </row>
    <row r="297" spans="1:21">
      <c r="I297" s="3">
        <v>0</v>
      </c>
      <c r="J297" s="4"/>
      <c r="K297" s="3"/>
      <c r="L297" s="3"/>
      <c r="M297" s="3"/>
      <c r="T297" t="b">
        <f t="shared" si="18"/>
        <v>0</v>
      </c>
      <c r="U297">
        <f t="shared" si="19"/>
        <v>0</v>
      </c>
    </row>
    <row r="298" spans="1:21">
      <c r="I298" s="3">
        <v>0</v>
      </c>
      <c r="J298" s="4"/>
      <c r="K298" s="3"/>
      <c r="L298" s="3"/>
      <c r="M298" s="3"/>
      <c r="T298" t="b">
        <f t="shared" si="18"/>
        <v>0</v>
      </c>
      <c r="U298">
        <f t="shared" si="19"/>
        <v>0</v>
      </c>
    </row>
    <row r="299" spans="1:21">
      <c r="I299" s="3">
        <v>0</v>
      </c>
      <c r="J299" s="4"/>
      <c r="K299" s="3"/>
      <c r="L299" s="3"/>
      <c r="M299" s="3"/>
      <c r="T299" t="b">
        <f t="shared" si="18"/>
        <v>0</v>
      </c>
      <c r="U299">
        <f t="shared" si="19"/>
        <v>0</v>
      </c>
    </row>
    <row r="300" spans="1:21">
      <c r="I300" s="3">
        <v>0</v>
      </c>
      <c r="J300" s="4"/>
      <c r="K300" s="3"/>
      <c r="L300" s="3"/>
      <c r="M300" s="3"/>
      <c r="T300" t="b">
        <f t="shared" si="18"/>
        <v>0</v>
      </c>
      <c r="U300">
        <f t="shared" si="19"/>
        <v>0</v>
      </c>
    </row>
    <row r="301" spans="1:21">
      <c r="I301" s="3">
        <v>0</v>
      </c>
      <c r="J301" s="4"/>
      <c r="K301" s="3"/>
      <c r="L301" s="3"/>
      <c r="M301" s="3"/>
      <c r="T301" t="b">
        <f t="shared" si="18"/>
        <v>0</v>
      </c>
      <c r="U301">
        <f t="shared" si="19"/>
        <v>0</v>
      </c>
    </row>
    <row r="302" spans="1:21" ht="15">
      <c r="I302" s="3"/>
      <c r="M302" s="16" t="s">
        <v>1401</v>
      </c>
      <c r="N302" s="6"/>
      <c r="P302" s="6" t="s">
        <v>1419</v>
      </c>
      <c r="Q302" s="6"/>
      <c r="S302" s="7"/>
      <c r="T302" s="7" t="b">
        <f t="shared" si="18"/>
        <v>0</v>
      </c>
      <c r="U302">
        <f t="shared" si="19"/>
        <v>0</v>
      </c>
    </row>
    <row r="303" spans="1:21">
      <c r="I303" s="3"/>
      <c r="M303" s="15" t="s">
        <v>1402</v>
      </c>
      <c r="N303" s="3">
        <f>SUM(R2:R296)</f>
        <v>60111</v>
      </c>
      <c r="P303" s="4" t="s">
        <v>1420</v>
      </c>
      <c r="Q303" s="5">
        <f ca="1">TODAY()</f>
        <v>46244</v>
      </c>
      <c r="S303" s="7"/>
      <c r="T303" s="7" t="b">
        <f t="shared" si="18"/>
        <v>0</v>
      </c>
      <c r="U303">
        <f t="shared" si="19"/>
        <v>0</v>
      </c>
    </row>
    <row r="304" spans="1:21">
      <c r="I304" s="3"/>
      <c r="M304" s="15" t="s">
        <v>1403</v>
      </c>
      <c r="N304" s="3">
        <f>AVERAGE(R2:R296)</f>
        <v>203.76610169491525</v>
      </c>
      <c r="P304" t="s">
        <v>1421</v>
      </c>
      <c r="Q304" s="17">
        <f ca="1">NOW()</f>
        <v>46244.51539375</v>
      </c>
      <c r="S304" s="7"/>
      <c r="T304" s="7" t="b">
        <f t="shared" si="18"/>
        <v>0</v>
      </c>
      <c r="U304">
        <f t="shared" si="19"/>
        <v>0</v>
      </c>
    </row>
    <row r="305" spans="9:21">
      <c r="I305" s="3"/>
      <c r="M305" s="15" t="s">
        <v>1404</v>
      </c>
      <c r="N305" s="3">
        <f>MIN(R2:R296)</f>
        <v>121</v>
      </c>
      <c r="O305" t="s">
        <v>1405</v>
      </c>
      <c r="P305" s="4" t="s">
        <v>1422</v>
      </c>
      <c r="Q305">
        <f>YEAR(G2)</f>
        <v>2025</v>
      </c>
      <c r="S305" s="7"/>
      <c r="T305" s="7" t="b">
        <f t="shared" si="18"/>
        <v>0</v>
      </c>
      <c r="U305">
        <f t="shared" si="19"/>
        <v>0</v>
      </c>
    </row>
    <row r="306" spans="9:21">
      <c r="I306" s="3"/>
      <c r="M306" s="15" t="s">
        <v>1406</v>
      </c>
      <c r="N306" s="3">
        <f>MAX(R2:R296)</f>
        <v>285</v>
      </c>
      <c r="P306" t="s">
        <v>1423</v>
      </c>
      <c r="Q306">
        <f>MONTH(G2)</f>
        <v>10</v>
      </c>
      <c r="S306" s="7"/>
      <c r="T306" s="7" t="b">
        <f t="shared" si="18"/>
        <v>0</v>
      </c>
      <c r="U306">
        <f t="shared" si="19"/>
        <v>0</v>
      </c>
    </row>
    <row r="307" spans="9:21">
      <c r="I307" s="3"/>
      <c r="M307" s="15" t="s">
        <v>1407</v>
      </c>
      <c r="N307">
        <f>COUNT(R2:R296)</f>
        <v>295</v>
      </c>
      <c r="P307" s="4" t="s">
        <v>1424</v>
      </c>
      <c r="Q307">
        <f>DAY(G2)</f>
        <v>6</v>
      </c>
      <c r="S307" s="7"/>
      <c r="T307" s="7" t="b">
        <f t="shared" si="18"/>
        <v>0</v>
      </c>
      <c r="U307">
        <f t="shared" si="19"/>
        <v>0</v>
      </c>
    </row>
    <row r="308" spans="9:21">
      <c r="I308" s="3"/>
      <c r="M308" s="15" t="s">
        <v>1408</v>
      </c>
      <c r="N308">
        <f>COUNTA(R2:R29)</f>
        <v>28</v>
      </c>
      <c r="P308" s="4" t="s">
        <v>1425</v>
      </c>
      <c r="Q308" s="5">
        <f>DATE(2026,8,9)</f>
        <v>46243</v>
      </c>
      <c r="S308" s="7"/>
      <c r="T308" s="7" t="b">
        <f t="shared" si="18"/>
        <v>0</v>
      </c>
      <c r="U308">
        <f t="shared" si="19"/>
        <v>0</v>
      </c>
    </row>
    <row r="309" spans="9:21">
      <c r="I309" s="3"/>
      <c r="P309" s="4" t="s">
        <v>1426</v>
      </c>
      <c r="Q309">
        <f>NETWORKDAYS(G2,H2)</f>
        <v>60</v>
      </c>
      <c r="R309" s="8">
        <f>K309+L309+M309</f>
        <v>0</v>
      </c>
      <c r="S309" s="7" t="str">
        <f>IF(R309&gt;=$W$7,"Pass","Fail")</f>
        <v>Fail</v>
      </c>
      <c r="T309" s="7" t="b">
        <f t="shared" si="18"/>
        <v>0</v>
      </c>
      <c r="U309">
        <f t="shared" si="19"/>
        <v>0</v>
      </c>
    </row>
  </sheetData>
  <conditionalFormatting sqref="A2:A309">
    <cfRule type="expression" dxfId="9" priority="1">
      <formula>COUNTIF($A$2:$A$309,A2)&gt;1</formula>
    </cfRule>
  </conditionalFormatting>
  <conditionalFormatting sqref="J2:J309">
    <cfRule type="cellIs" dxfId="8" priority="3" operator="greaterThan">
      <formula>4</formula>
    </cfRule>
  </conditionalFormatting>
  <dataValidations count="2">
    <dataValidation type="decimal" sqref="J2:J309">
      <formula1>0</formula1>
      <formula2>4</formula2>
    </dataValidation>
    <dataValidation type="list" sqref="N2:N309 C2:D309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6"/>
  <sheetViews>
    <sheetView workbookViewId="0">
      <selection activeCell="I20" sqref="I20"/>
    </sheetView>
  </sheetViews>
  <sheetFormatPr defaultRowHeight="14.25"/>
  <cols>
    <col min="1" max="1" width="17.75" bestFit="1" customWidth="1"/>
    <col min="2" max="3" width="17.625" bestFit="1" customWidth="1"/>
    <col min="4" max="4" width="20.75" bestFit="1" customWidth="1"/>
    <col min="5" max="5" width="18.125" bestFit="1" customWidth="1"/>
    <col min="8" max="8" width="11.75" bestFit="1" customWidth="1"/>
    <col min="9" max="9" width="25.375" bestFit="1" customWidth="1"/>
  </cols>
  <sheetData>
    <row r="1" spans="1:9" s="12" customFormat="1" ht="15">
      <c r="A1" s="12" t="s">
        <v>1409</v>
      </c>
      <c r="B1" s="12" t="s">
        <v>1414</v>
      </c>
      <c r="C1" s="12" t="s">
        <v>1410</v>
      </c>
      <c r="D1" s="12" t="s">
        <v>1412</v>
      </c>
      <c r="E1" s="12" t="s">
        <v>1413</v>
      </c>
      <c r="F1" s="12" t="s">
        <v>1415</v>
      </c>
      <c r="G1" s="12" t="s">
        <v>1416</v>
      </c>
      <c r="H1" s="12" t="s">
        <v>1417</v>
      </c>
      <c r="I1" s="12" t="s">
        <v>1418</v>
      </c>
    </row>
    <row r="2" spans="1:9">
      <c r="A2" t="s">
        <v>1411</v>
      </c>
      <c r="B2" t="str">
        <f>TRIM(A2)</f>
        <v>amina Ali</v>
      </c>
      <c r="C2" t="str">
        <f>PROPER(A2)</f>
        <v xml:space="preserve">      Amina Ali</v>
      </c>
      <c r="D2" t="str">
        <f>UPPER(A2)</f>
        <v xml:space="preserve">      AMINA ALI</v>
      </c>
      <c r="E2" t="str">
        <f>LOWER(A2)</f>
        <v xml:space="preserve">      amina ali</v>
      </c>
      <c r="F2" t="str">
        <f>LEFT(A2)</f>
        <v xml:space="preserve"> </v>
      </c>
      <c r="G2" t="str">
        <f>RIGHT(A2)</f>
        <v>i</v>
      </c>
      <c r="H2" t="str">
        <f>MID(A2,1,5)</f>
        <v xml:space="preserve">     </v>
      </c>
      <c r="I2" t="str">
        <f>CONCATENATE("Magaceygu waa",A2)</f>
        <v>Magaceygu waa      amina Ali</v>
      </c>
    </row>
    <row r="3" spans="1:9">
      <c r="A3" t="s">
        <v>28</v>
      </c>
      <c r="B3" t="str">
        <f t="shared" ref="B3:B66" si="0">TRIM(A3)</f>
        <v>Yusuf Mohamud</v>
      </c>
      <c r="C3" t="str">
        <f t="shared" ref="C3:C66" si="1">PROPER(A3)</f>
        <v>Yusuf Mohamud</v>
      </c>
      <c r="D3" t="str">
        <f t="shared" ref="D3:D66" si="2">UPPER(A3)</f>
        <v>YUSUF MOHAMUD</v>
      </c>
      <c r="E3" t="str">
        <f t="shared" ref="E3:E66" si="3">LOWER(A3)</f>
        <v>yusuf mohamud</v>
      </c>
      <c r="F3" t="str">
        <f t="shared" ref="F3:F66" si="4">LEFT(A3)</f>
        <v>Y</v>
      </c>
      <c r="G3" t="str">
        <f t="shared" ref="G3:G66" si="5">RIGHT(A3)</f>
        <v>d</v>
      </c>
      <c r="H3" t="str">
        <f t="shared" ref="H3:H66" si="6">MID(A3,1,5)</f>
        <v>Yusuf</v>
      </c>
    </row>
    <row r="4" spans="1:9">
      <c r="A4" t="s">
        <v>37</v>
      </c>
      <c r="B4" t="str">
        <f t="shared" si="0"/>
        <v>Nimo Yusuf</v>
      </c>
      <c r="C4" t="str">
        <f t="shared" si="1"/>
        <v>Nimo Yusuf</v>
      </c>
      <c r="D4" t="str">
        <f t="shared" si="2"/>
        <v>NIMO YUSUF</v>
      </c>
      <c r="E4" t="str">
        <f t="shared" si="3"/>
        <v>nimo yusuf</v>
      </c>
      <c r="F4" t="str">
        <f t="shared" si="4"/>
        <v>N</v>
      </c>
      <c r="G4" t="str">
        <f t="shared" si="5"/>
        <v>f</v>
      </c>
      <c r="H4" t="str">
        <f t="shared" si="6"/>
        <v xml:space="preserve">Nimo </v>
      </c>
    </row>
    <row r="5" spans="1:9">
      <c r="A5" t="s">
        <v>42</v>
      </c>
      <c r="B5" t="str">
        <f t="shared" si="0"/>
        <v>Zahra Abdi</v>
      </c>
      <c r="C5" t="str">
        <f t="shared" si="1"/>
        <v>Zahra Abdi</v>
      </c>
      <c r="D5" t="str">
        <f t="shared" si="2"/>
        <v>ZAHRA ABDI</v>
      </c>
      <c r="E5" t="str">
        <f t="shared" si="3"/>
        <v>zahra abdi</v>
      </c>
      <c r="F5" t="str">
        <f t="shared" si="4"/>
        <v>Z</v>
      </c>
      <c r="G5" t="str">
        <f t="shared" si="5"/>
        <v>i</v>
      </c>
      <c r="H5" t="str">
        <f t="shared" si="6"/>
        <v>Zahra</v>
      </c>
    </row>
    <row r="6" spans="1:9">
      <c r="A6" t="s">
        <v>50</v>
      </c>
      <c r="B6" t="str">
        <f t="shared" si="0"/>
        <v>Maryan Abdi</v>
      </c>
      <c r="C6" t="str">
        <f t="shared" si="1"/>
        <v>Maryan Abdi</v>
      </c>
      <c r="D6" t="str">
        <f t="shared" si="2"/>
        <v>MARYAN ABDI</v>
      </c>
      <c r="E6" t="str">
        <f t="shared" si="3"/>
        <v>maryan abdi</v>
      </c>
      <c r="F6" t="str">
        <f t="shared" si="4"/>
        <v>M</v>
      </c>
      <c r="G6" t="str">
        <f t="shared" si="5"/>
        <v>i</v>
      </c>
      <c r="H6" t="str">
        <f t="shared" si="6"/>
        <v>Marya</v>
      </c>
    </row>
    <row r="7" spans="1:9">
      <c r="A7" t="s">
        <v>58</v>
      </c>
      <c r="B7" t="str">
        <f t="shared" si="0"/>
        <v>Zahra Mohamud</v>
      </c>
      <c r="C7" t="str">
        <f t="shared" si="1"/>
        <v>Zahra Mohamud</v>
      </c>
      <c r="D7" t="str">
        <f t="shared" si="2"/>
        <v>ZAHRA MOHAMUD</v>
      </c>
      <c r="E7" t="str">
        <f t="shared" si="3"/>
        <v>zahra mohamud</v>
      </c>
      <c r="F7" t="str">
        <f t="shared" si="4"/>
        <v>Z</v>
      </c>
      <c r="G7" t="str">
        <f t="shared" si="5"/>
        <v>d</v>
      </c>
      <c r="H7" t="str">
        <f t="shared" si="6"/>
        <v>Zahra</v>
      </c>
    </row>
    <row r="8" spans="1:9">
      <c r="A8" t="s">
        <v>58</v>
      </c>
      <c r="B8" t="str">
        <f t="shared" si="0"/>
        <v>Zahra Mohamud</v>
      </c>
      <c r="C8" t="str">
        <f t="shared" si="1"/>
        <v>Zahra Mohamud</v>
      </c>
      <c r="D8" t="str">
        <f t="shared" si="2"/>
        <v>ZAHRA MOHAMUD</v>
      </c>
      <c r="E8" t="str">
        <f t="shared" si="3"/>
        <v>zahra mohamud</v>
      </c>
      <c r="F8" t="str">
        <f t="shared" si="4"/>
        <v>Z</v>
      </c>
      <c r="G8" t="str">
        <f t="shared" si="5"/>
        <v>d</v>
      </c>
      <c r="H8" t="str">
        <f t="shared" si="6"/>
        <v>Zahra</v>
      </c>
    </row>
    <row r="9" spans="1:9">
      <c r="A9" t="s">
        <v>65</v>
      </c>
      <c r="B9" t="str">
        <f t="shared" si="0"/>
        <v>Hassan Farah</v>
      </c>
      <c r="C9" t="str">
        <f t="shared" si="1"/>
        <v>Hassan Farah</v>
      </c>
      <c r="D9" t="str">
        <f t="shared" si="2"/>
        <v>HASSAN FARAH</v>
      </c>
      <c r="E9" t="str">
        <f t="shared" si="3"/>
        <v>hassan farah</v>
      </c>
      <c r="F9" t="str">
        <f t="shared" si="4"/>
        <v>H</v>
      </c>
      <c r="G9" t="str">
        <f t="shared" si="5"/>
        <v>h</v>
      </c>
      <c r="H9" t="str">
        <f t="shared" si="6"/>
        <v>Hassa</v>
      </c>
    </row>
    <row r="10" spans="1:9">
      <c r="A10" t="s">
        <v>70</v>
      </c>
      <c r="B10" t="str">
        <f t="shared" si="0"/>
        <v>Zahra Samatar</v>
      </c>
      <c r="C10" t="str">
        <f t="shared" si="1"/>
        <v>Zahra Samatar</v>
      </c>
      <c r="D10" t="str">
        <f t="shared" si="2"/>
        <v>ZAHRA SAMATAR</v>
      </c>
      <c r="E10" t="str">
        <f t="shared" si="3"/>
        <v>zahra samatar</v>
      </c>
      <c r="F10" t="str">
        <f t="shared" si="4"/>
        <v>Z</v>
      </c>
      <c r="G10" t="str">
        <f t="shared" si="5"/>
        <v>r</v>
      </c>
      <c r="H10" t="str">
        <f t="shared" si="6"/>
        <v>Zahra</v>
      </c>
    </row>
    <row r="11" spans="1:9">
      <c r="A11" t="s">
        <v>77</v>
      </c>
      <c r="B11" t="str">
        <f t="shared" si="0"/>
        <v>Amina Nur</v>
      </c>
      <c r="C11" t="str">
        <f t="shared" si="1"/>
        <v>Amina Nur</v>
      </c>
      <c r="D11" t="str">
        <f t="shared" si="2"/>
        <v>AMINA NUR</v>
      </c>
      <c r="E11" t="str">
        <f t="shared" si="3"/>
        <v>amina nur</v>
      </c>
      <c r="F11" t="str">
        <f t="shared" si="4"/>
        <v>A</v>
      </c>
      <c r="G11" t="str">
        <f t="shared" si="5"/>
        <v>r</v>
      </c>
      <c r="H11" t="str">
        <f t="shared" si="6"/>
        <v>Amina</v>
      </c>
    </row>
    <row r="12" spans="1:9">
      <c r="A12" t="s">
        <v>83</v>
      </c>
      <c r="B12" t="str">
        <f t="shared" si="0"/>
        <v>Amina Samatar</v>
      </c>
      <c r="C12" t="str">
        <f t="shared" si="1"/>
        <v>Amina Samatar</v>
      </c>
      <c r="D12" t="str">
        <f t="shared" si="2"/>
        <v>AMINA SAMATAR</v>
      </c>
      <c r="E12" t="str">
        <f t="shared" si="3"/>
        <v>amina samatar</v>
      </c>
      <c r="F12" t="str">
        <f t="shared" si="4"/>
        <v>A</v>
      </c>
      <c r="G12" t="str">
        <f t="shared" si="5"/>
        <v>r</v>
      </c>
      <c r="H12" t="str">
        <f t="shared" si="6"/>
        <v>Amina</v>
      </c>
    </row>
    <row r="13" spans="1:9">
      <c r="A13" t="s">
        <v>89</v>
      </c>
      <c r="B13" t="str">
        <f t="shared" si="0"/>
        <v>Amina Aden</v>
      </c>
      <c r="C13" t="str">
        <f t="shared" si="1"/>
        <v>Amina Aden</v>
      </c>
      <c r="D13" t="str">
        <f t="shared" si="2"/>
        <v>AMINA ADEN</v>
      </c>
      <c r="E13" t="str">
        <f t="shared" si="3"/>
        <v>amina aden</v>
      </c>
      <c r="F13" t="str">
        <f t="shared" si="4"/>
        <v>A</v>
      </c>
      <c r="G13" t="str">
        <f t="shared" si="5"/>
        <v>n</v>
      </c>
      <c r="H13" t="str">
        <f t="shared" si="6"/>
        <v>Amina</v>
      </c>
    </row>
    <row r="14" spans="1:9">
      <c r="A14" t="s">
        <v>94</v>
      </c>
      <c r="B14" t="str">
        <f t="shared" si="0"/>
        <v>Sahra Mohamud</v>
      </c>
      <c r="C14" t="str">
        <f t="shared" si="1"/>
        <v>Sahra Mohamud</v>
      </c>
      <c r="D14" t="str">
        <f t="shared" si="2"/>
        <v>SAHRA MOHAMUD</v>
      </c>
      <c r="E14" t="str">
        <f t="shared" si="3"/>
        <v>sahra mohamud</v>
      </c>
      <c r="F14" t="str">
        <f t="shared" si="4"/>
        <v>S</v>
      </c>
      <c r="G14" t="str">
        <f t="shared" si="5"/>
        <v>d</v>
      </c>
      <c r="H14" t="str">
        <f t="shared" si="6"/>
        <v>Sahra</v>
      </c>
    </row>
    <row r="15" spans="1:9">
      <c r="A15" t="s">
        <v>99</v>
      </c>
      <c r="B15" t="str">
        <f t="shared" si="0"/>
        <v>FADUMO FARAH</v>
      </c>
      <c r="C15" t="str">
        <f t="shared" si="1"/>
        <v>Fadumo Farah</v>
      </c>
      <c r="D15" t="str">
        <f t="shared" si="2"/>
        <v>FADUMO FARAH</v>
      </c>
      <c r="E15" t="str">
        <f t="shared" si="3"/>
        <v>fadumo farah</v>
      </c>
      <c r="F15" t="str">
        <f t="shared" si="4"/>
        <v>F</v>
      </c>
      <c r="G15" t="str">
        <f t="shared" si="5"/>
        <v>H</v>
      </c>
      <c r="H15" t="str">
        <f t="shared" si="6"/>
        <v>FADUM</v>
      </c>
    </row>
    <row r="16" spans="1:9">
      <c r="A16" t="s">
        <v>104</v>
      </c>
      <c r="B16" t="str">
        <f t="shared" si="0"/>
        <v>Amina Mohamud</v>
      </c>
      <c r="C16" t="str">
        <f t="shared" si="1"/>
        <v>Amina Mohamud</v>
      </c>
      <c r="D16" t="str">
        <f t="shared" si="2"/>
        <v>AMINA MOHAMUD</v>
      </c>
      <c r="E16" t="str">
        <f t="shared" si="3"/>
        <v>amina mohamud</v>
      </c>
      <c r="F16" t="str">
        <f t="shared" si="4"/>
        <v>A</v>
      </c>
      <c r="G16" t="str">
        <f t="shared" si="5"/>
        <v>d</v>
      </c>
      <c r="H16" t="str">
        <f t="shared" si="6"/>
        <v>Amina</v>
      </c>
    </row>
    <row r="17" spans="1:8">
      <c r="A17" t="s">
        <v>109</v>
      </c>
      <c r="B17" t="str">
        <f t="shared" si="0"/>
        <v>Omar Hassan</v>
      </c>
      <c r="C17" t="str">
        <f t="shared" si="1"/>
        <v>Omar Hassan</v>
      </c>
      <c r="D17" t="str">
        <f t="shared" si="2"/>
        <v>OMAR HASSAN</v>
      </c>
      <c r="E17" t="str">
        <f t="shared" si="3"/>
        <v>omar hassan</v>
      </c>
      <c r="F17" t="str">
        <f t="shared" si="4"/>
        <v>O</v>
      </c>
      <c r="G17" t="str">
        <f t="shared" si="5"/>
        <v>n</v>
      </c>
      <c r="H17" t="str">
        <f t="shared" si="6"/>
        <v xml:space="preserve">Omar </v>
      </c>
    </row>
    <row r="18" spans="1:8">
      <c r="A18" t="s">
        <v>116</v>
      </c>
      <c r="B18" t="str">
        <f t="shared" si="0"/>
        <v>Yusuf Abdi</v>
      </c>
      <c r="C18" t="str">
        <f t="shared" si="1"/>
        <v>Yusuf Abdi</v>
      </c>
      <c r="D18" t="str">
        <f t="shared" si="2"/>
        <v>YUSUF ABDI</v>
      </c>
      <c r="E18" t="str">
        <f t="shared" si="3"/>
        <v>yusuf abdi</v>
      </c>
      <c r="F18" t="str">
        <f t="shared" si="4"/>
        <v>Y</v>
      </c>
      <c r="G18" t="str">
        <f t="shared" si="5"/>
        <v>i</v>
      </c>
      <c r="H18" t="str">
        <f t="shared" si="6"/>
        <v>Yusuf</v>
      </c>
    </row>
    <row r="19" spans="1:8">
      <c r="A19" t="s">
        <v>104</v>
      </c>
      <c r="B19" t="str">
        <f t="shared" si="0"/>
        <v>Amina Mohamud</v>
      </c>
      <c r="C19" t="str">
        <f t="shared" si="1"/>
        <v>Amina Mohamud</v>
      </c>
      <c r="D19" t="str">
        <f t="shared" si="2"/>
        <v>AMINA MOHAMUD</v>
      </c>
      <c r="E19" t="str">
        <f t="shared" si="3"/>
        <v>amina mohamud</v>
      </c>
      <c r="F19" t="str">
        <f t="shared" si="4"/>
        <v>A</v>
      </c>
      <c r="G19" t="str">
        <f t="shared" si="5"/>
        <v>d</v>
      </c>
      <c r="H19" t="str">
        <f t="shared" si="6"/>
        <v>Amina</v>
      </c>
    </row>
    <row r="20" spans="1:8">
      <c r="A20" t="s">
        <v>125</v>
      </c>
      <c r="B20" t="str">
        <f t="shared" si="0"/>
        <v>Amina Omar</v>
      </c>
      <c r="C20" t="str">
        <f t="shared" si="1"/>
        <v>Amina Omar</v>
      </c>
      <c r="D20" t="str">
        <f t="shared" si="2"/>
        <v>AMINA OMAR</v>
      </c>
      <c r="E20" t="str">
        <f t="shared" si="3"/>
        <v>amina omar</v>
      </c>
      <c r="F20" t="str">
        <f t="shared" si="4"/>
        <v>A</v>
      </c>
      <c r="G20" t="str">
        <f t="shared" si="5"/>
        <v>r</v>
      </c>
      <c r="H20" t="str">
        <f t="shared" si="6"/>
        <v>Amina</v>
      </c>
    </row>
    <row r="21" spans="1:8">
      <c r="A21" t="s">
        <v>65</v>
      </c>
      <c r="B21" t="str">
        <f t="shared" si="0"/>
        <v>Hassan Farah</v>
      </c>
      <c r="C21" t="str">
        <f t="shared" si="1"/>
        <v>Hassan Farah</v>
      </c>
      <c r="D21" t="str">
        <f t="shared" si="2"/>
        <v>HASSAN FARAH</v>
      </c>
      <c r="E21" t="str">
        <f t="shared" si="3"/>
        <v>hassan farah</v>
      </c>
      <c r="F21" t="str">
        <f t="shared" si="4"/>
        <v>H</v>
      </c>
      <c r="G21" t="str">
        <f t="shared" si="5"/>
        <v>h</v>
      </c>
      <c r="H21" t="str">
        <f t="shared" si="6"/>
        <v>Hassa</v>
      </c>
    </row>
    <row r="22" spans="1:8">
      <c r="A22" t="s">
        <v>65</v>
      </c>
      <c r="B22" t="str">
        <f t="shared" si="0"/>
        <v>Hassan Farah</v>
      </c>
      <c r="C22" t="str">
        <f t="shared" si="1"/>
        <v>Hassan Farah</v>
      </c>
      <c r="D22" t="str">
        <f t="shared" si="2"/>
        <v>HASSAN FARAH</v>
      </c>
      <c r="E22" t="str">
        <f t="shared" si="3"/>
        <v>hassan farah</v>
      </c>
      <c r="F22" t="str">
        <f t="shared" si="4"/>
        <v>H</v>
      </c>
      <c r="G22" t="str">
        <f t="shared" si="5"/>
        <v>h</v>
      </c>
      <c r="H22" t="str">
        <f t="shared" si="6"/>
        <v>Hassa</v>
      </c>
    </row>
    <row r="23" spans="1:8">
      <c r="A23" t="s">
        <v>135</v>
      </c>
      <c r="B23" t="str">
        <f t="shared" si="0"/>
        <v>Hodan Omar</v>
      </c>
      <c r="C23" t="str">
        <f t="shared" si="1"/>
        <v>Hodan Omar</v>
      </c>
      <c r="D23" t="str">
        <f t="shared" si="2"/>
        <v>HODAN OMAR</v>
      </c>
      <c r="E23" t="str">
        <f t="shared" si="3"/>
        <v>hodan omar</v>
      </c>
      <c r="F23" t="str">
        <f t="shared" si="4"/>
        <v>H</v>
      </c>
      <c r="G23" t="str">
        <f t="shared" si="5"/>
        <v>r</v>
      </c>
      <c r="H23" t="str">
        <f t="shared" si="6"/>
        <v>Hodan</v>
      </c>
    </row>
    <row r="24" spans="1:8">
      <c r="A24" t="s">
        <v>141</v>
      </c>
      <c r="B24" t="str">
        <f t="shared" si="0"/>
        <v>Hassan Abdi</v>
      </c>
      <c r="C24" t="str">
        <f t="shared" si="1"/>
        <v>Hassan Abdi</v>
      </c>
      <c r="D24" t="str">
        <f t="shared" si="2"/>
        <v>HASSAN ABDI</v>
      </c>
      <c r="E24" t="str">
        <f t="shared" si="3"/>
        <v>hassan abdi</v>
      </c>
      <c r="F24" t="str">
        <f t="shared" si="4"/>
        <v>H</v>
      </c>
      <c r="G24" t="str">
        <f t="shared" si="5"/>
        <v>i</v>
      </c>
      <c r="H24" t="str">
        <f t="shared" si="6"/>
        <v>Hassa</v>
      </c>
    </row>
    <row r="25" spans="1:8">
      <c r="A25" t="s">
        <v>146</v>
      </c>
      <c r="B25" t="str">
        <f t="shared" si="0"/>
        <v>Maryan Farah</v>
      </c>
      <c r="C25" t="str">
        <f t="shared" si="1"/>
        <v>Maryan Farah</v>
      </c>
      <c r="D25" t="str">
        <f t="shared" si="2"/>
        <v>MARYAN FARAH</v>
      </c>
      <c r="E25" t="str">
        <f t="shared" si="3"/>
        <v>maryan farah</v>
      </c>
      <c r="F25" t="str">
        <f t="shared" si="4"/>
        <v>M</v>
      </c>
      <c r="G25" t="str">
        <f t="shared" si="5"/>
        <v>h</v>
      </c>
      <c r="H25" t="str">
        <f t="shared" si="6"/>
        <v>Marya</v>
      </c>
    </row>
    <row r="26" spans="1:8">
      <c r="A26" t="s">
        <v>151</v>
      </c>
      <c r="B26" t="str">
        <f t="shared" si="0"/>
        <v>Amina Hassan</v>
      </c>
      <c r="C26" t="str">
        <f t="shared" si="1"/>
        <v>Amina Hassan</v>
      </c>
      <c r="D26" t="str">
        <f t="shared" si="2"/>
        <v>AMINA HASSAN</v>
      </c>
      <c r="E26" t="str">
        <f t="shared" si="3"/>
        <v>amina hassan</v>
      </c>
      <c r="F26" t="str">
        <f t="shared" si="4"/>
        <v>A</v>
      </c>
      <c r="G26" t="str">
        <f t="shared" si="5"/>
        <v>n</v>
      </c>
      <c r="H26" t="str">
        <f t="shared" si="6"/>
        <v>Amina</v>
      </c>
    </row>
    <row r="27" spans="1:8">
      <c r="A27" t="s">
        <v>157</v>
      </c>
      <c r="B27" t="str">
        <f t="shared" si="0"/>
        <v>Sahra Roble</v>
      </c>
      <c r="C27" t="str">
        <f t="shared" si="1"/>
        <v>Sahra Roble</v>
      </c>
      <c r="D27" t="str">
        <f t="shared" si="2"/>
        <v>SAHRA ROBLE</v>
      </c>
      <c r="E27" t="str">
        <f t="shared" si="3"/>
        <v>sahra roble</v>
      </c>
      <c r="F27" t="str">
        <f t="shared" si="4"/>
        <v>S</v>
      </c>
      <c r="G27" t="str">
        <f t="shared" si="5"/>
        <v>e</v>
      </c>
      <c r="H27" t="str">
        <f t="shared" si="6"/>
        <v>Sahra</v>
      </c>
    </row>
    <row r="28" spans="1:8">
      <c r="A28" t="s">
        <v>162</v>
      </c>
      <c r="B28" t="str">
        <f t="shared" si="0"/>
        <v>Hodan Ali</v>
      </c>
      <c r="C28" t="str">
        <f t="shared" si="1"/>
        <v>Hodan Ali</v>
      </c>
      <c r="D28" t="str">
        <f t="shared" si="2"/>
        <v>HODAN ALI</v>
      </c>
      <c r="E28" t="str">
        <f t="shared" si="3"/>
        <v>hodan ali</v>
      </c>
      <c r="F28" t="str">
        <f t="shared" si="4"/>
        <v>H</v>
      </c>
      <c r="G28" t="str">
        <f t="shared" si="5"/>
        <v>i</v>
      </c>
      <c r="H28" t="str">
        <f t="shared" si="6"/>
        <v>Hodan</v>
      </c>
    </row>
    <row r="29" spans="1:8">
      <c r="A29" t="s">
        <v>167</v>
      </c>
      <c r="B29" t="str">
        <f t="shared" si="0"/>
        <v>Zahra Omar</v>
      </c>
      <c r="C29" t="str">
        <f t="shared" si="1"/>
        <v>Zahra Omar</v>
      </c>
      <c r="D29" t="str">
        <f t="shared" si="2"/>
        <v>ZAHRA OMAR</v>
      </c>
      <c r="E29" t="str">
        <f t="shared" si="3"/>
        <v>zahra omar</v>
      </c>
      <c r="F29" t="str">
        <f t="shared" si="4"/>
        <v>Z</v>
      </c>
      <c r="G29" t="str">
        <f t="shared" si="5"/>
        <v>r</v>
      </c>
      <c r="H29" t="str">
        <f t="shared" si="6"/>
        <v>Zahra</v>
      </c>
    </row>
    <row r="30" spans="1:8">
      <c r="A30" t="s">
        <v>172</v>
      </c>
      <c r="B30" t="str">
        <f t="shared" si="0"/>
        <v>Amina Osman</v>
      </c>
      <c r="C30" t="str">
        <f t="shared" si="1"/>
        <v>Amina Osman</v>
      </c>
      <c r="D30" t="str">
        <f t="shared" si="2"/>
        <v>AMINA OSMAN</v>
      </c>
      <c r="E30" t="str">
        <f t="shared" si="3"/>
        <v>amina osman</v>
      </c>
      <c r="F30" t="str">
        <f t="shared" si="4"/>
        <v>A</v>
      </c>
      <c r="G30" t="str">
        <f t="shared" si="5"/>
        <v>n</v>
      </c>
      <c r="H30" t="str">
        <f t="shared" si="6"/>
        <v>Amina</v>
      </c>
    </row>
    <row r="31" spans="1:8">
      <c r="A31" t="s">
        <v>177</v>
      </c>
      <c r="B31" t="str">
        <f t="shared" si="0"/>
        <v>Nimo Mohamud</v>
      </c>
      <c r="C31" t="str">
        <f t="shared" si="1"/>
        <v>Nimo Mohamud</v>
      </c>
      <c r="D31" t="str">
        <f t="shared" si="2"/>
        <v>NIMO MOHAMUD</v>
      </c>
      <c r="E31" t="str">
        <f t="shared" si="3"/>
        <v>nimo mohamud</v>
      </c>
      <c r="F31" t="str">
        <f t="shared" si="4"/>
        <v>N</v>
      </c>
      <c r="G31" t="str">
        <f t="shared" si="5"/>
        <v>d</v>
      </c>
      <c r="H31" t="str">
        <f t="shared" si="6"/>
        <v xml:space="preserve">Nimo </v>
      </c>
    </row>
    <row r="32" spans="1:8">
      <c r="A32" t="s">
        <v>182</v>
      </c>
      <c r="B32" t="str">
        <f t="shared" si="0"/>
        <v>Maryan Ali</v>
      </c>
      <c r="C32" t="str">
        <f t="shared" si="1"/>
        <v>Maryan Ali</v>
      </c>
      <c r="D32" t="str">
        <f t="shared" si="2"/>
        <v>MARYAN ALI</v>
      </c>
      <c r="E32" t="str">
        <f t="shared" si="3"/>
        <v>maryan ali</v>
      </c>
      <c r="F32" t="str">
        <f t="shared" si="4"/>
        <v>M</v>
      </c>
      <c r="G32" t="str">
        <f t="shared" si="5"/>
        <v>i</v>
      </c>
      <c r="H32" t="str">
        <f t="shared" si="6"/>
        <v>Marya</v>
      </c>
    </row>
    <row r="33" spans="1:8">
      <c r="A33" t="s">
        <v>187</v>
      </c>
      <c r="B33" t="str">
        <f t="shared" si="0"/>
        <v>Amina Farah</v>
      </c>
      <c r="C33" t="str">
        <f t="shared" si="1"/>
        <v>Amina Farah</v>
      </c>
      <c r="D33" t="str">
        <f t="shared" si="2"/>
        <v>AMINA FARAH</v>
      </c>
      <c r="E33" t="str">
        <f t="shared" si="3"/>
        <v>amina farah</v>
      </c>
      <c r="F33" t="str">
        <f t="shared" si="4"/>
        <v>A</v>
      </c>
      <c r="G33" t="str">
        <f t="shared" si="5"/>
        <v>h</v>
      </c>
      <c r="H33" t="str">
        <f t="shared" si="6"/>
        <v>Amina</v>
      </c>
    </row>
    <row r="34" spans="1:8">
      <c r="A34" t="s">
        <v>192</v>
      </c>
      <c r="B34" t="str">
        <f t="shared" si="0"/>
        <v>Amina Jama</v>
      </c>
      <c r="C34" t="str">
        <f t="shared" si="1"/>
        <v>Amina Jama</v>
      </c>
      <c r="D34" t="str">
        <f t="shared" si="2"/>
        <v>AMINA JAMA</v>
      </c>
      <c r="E34" t="str">
        <f t="shared" si="3"/>
        <v>amina jama</v>
      </c>
      <c r="F34" t="str">
        <f t="shared" si="4"/>
        <v>A</v>
      </c>
      <c r="G34" t="str">
        <f t="shared" si="5"/>
        <v>a</v>
      </c>
      <c r="H34" t="str">
        <f t="shared" si="6"/>
        <v>Amina</v>
      </c>
    </row>
    <row r="35" spans="1:8">
      <c r="A35" t="s">
        <v>192</v>
      </c>
      <c r="B35" t="str">
        <f t="shared" si="0"/>
        <v>Amina Jama</v>
      </c>
      <c r="C35" t="str">
        <f t="shared" si="1"/>
        <v>Amina Jama</v>
      </c>
      <c r="D35" t="str">
        <f t="shared" si="2"/>
        <v>AMINA JAMA</v>
      </c>
      <c r="E35" t="str">
        <f t="shared" si="3"/>
        <v>amina jama</v>
      </c>
      <c r="F35" t="str">
        <f t="shared" si="4"/>
        <v>A</v>
      </c>
      <c r="G35" t="str">
        <f t="shared" si="5"/>
        <v>a</v>
      </c>
      <c r="H35" t="str">
        <f t="shared" si="6"/>
        <v>Amina</v>
      </c>
    </row>
    <row r="36" spans="1:8">
      <c r="A36" t="s">
        <v>198</v>
      </c>
      <c r="B36" t="str">
        <f t="shared" si="0"/>
        <v>Omar Roble</v>
      </c>
      <c r="C36" t="str">
        <f t="shared" si="1"/>
        <v>Omar Roble</v>
      </c>
      <c r="D36" t="str">
        <f t="shared" si="2"/>
        <v>OMAR ROBLE</v>
      </c>
      <c r="E36" t="str">
        <f t="shared" si="3"/>
        <v>omar roble</v>
      </c>
      <c r="F36" t="str">
        <f t="shared" si="4"/>
        <v>O</v>
      </c>
      <c r="G36" t="str">
        <f t="shared" si="5"/>
        <v>e</v>
      </c>
      <c r="H36" t="str">
        <f t="shared" si="6"/>
        <v xml:space="preserve">Omar </v>
      </c>
    </row>
    <row r="37" spans="1:8">
      <c r="A37" t="s">
        <v>203</v>
      </c>
      <c r="B37" t="str">
        <f t="shared" si="0"/>
        <v>Nimo Jama</v>
      </c>
      <c r="C37" t="str">
        <f t="shared" si="1"/>
        <v>Nimo Jama</v>
      </c>
      <c r="D37" t="str">
        <f t="shared" si="2"/>
        <v>NIMO JAMA</v>
      </c>
      <c r="E37" t="str">
        <f t="shared" si="3"/>
        <v>nimo jama</v>
      </c>
      <c r="F37" t="str">
        <f t="shared" si="4"/>
        <v>N</v>
      </c>
      <c r="G37" t="str">
        <f t="shared" si="5"/>
        <v>a</v>
      </c>
      <c r="H37" t="str">
        <f t="shared" si="6"/>
        <v xml:space="preserve">Nimo </v>
      </c>
    </row>
    <row r="38" spans="1:8">
      <c r="A38" t="s">
        <v>208</v>
      </c>
      <c r="B38" t="str">
        <f t="shared" si="0"/>
        <v>Ikram Yusuf</v>
      </c>
      <c r="C38" t="str">
        <f t="shared" si="1"/>
        <v>Ikram Yusuf</v>
      </c>
      <c r="D38" t="str">
        <f t="shared" si="2"/>
        <v>IKRAM YUSUF</v>
      </c>
      <c r="E38" t="str">
        <f t="shared" si="3"/>
        <v>ikram yusuf</v>
      </c>
      <c r="F38" t="str">
        <f t="shared" si="4"/>
        <v>I</v>
      </c>
      <c r="G38" t="str">
        <f t="shared" si="5"/>
        <v>f</v>
      </c>
      <c r="H38" t="str">
        <f t="shared" si="6"/>
        <v>Ikram</v>
      </c>
    </row>
    <row r="39" spans="1:8">
      <c r="A39" t="s">
        <v>208</v>
      </c>
      <c r="B39" t="str">
        <f t="shared" si="0"/>
        <v>Ikram Yusuf</v>
      </c>
      <c r="C39" t="str">
        <f t="shared" si="1"/>
        <v>Ikram Yusuf</v>
      </c>
      <c r="D39" t="str">
        <f t="shared" si="2"/>
        <v>IKRAM YUSUF</v>
      </c>
      <c r="E39" t="str">
        <f t="shared" si="3"/>
        <v>ikram yusuf</v>
      </c>
      <c r="F39" t="str">
        <f t="shared" si="4"/>
        <v>I</v>
      </c>
      <c r="G39" t="str">
        <f t="shared" si="5"/>
        <v>f</v>
      </c>
      <c r="H39" t="str">
        <f t="shared" si="6"/>
        <v>Ikram</v>
      </c>
    </row>
    <row r="40" spans="1:8">
      <c r="A40" t="s">
        <v>217</v>
      </c>
      <c r="B40" t="str">
        <f t="shared" si="0"/>
        <v>Khalid Sheikh</v>
      </c>
      <c r="C40" t="str">
        <f t="shared" si="1"/>
        <v>Khalid Sheikh</v>
      </c>
      <c r="D40" t="str">
        <f t="shared" si="2"/>
        <v>KHALID SHEIKH</v>
      </c>
      <c r="E40" t="str">
        <f t="shared" si="3"/>
        <v>khalid sheikh</v>
      </c>
      <c r="F40" t="str">
        <f t="shared" si="4"/>
        <v>K</v>
      </c>
      <c r="G40" t="str">
        <f t="shared" si="5"/>
        <v>h</v>
      </c>
      <c r="H40" t="str">
        <f t="shared" si="6"/>
        <v>Khali</v>
      </c>
    </row>
    <row r="41" spans="1:8">
      <c r="A41" t="s">
        <v>222</v>
      </c>
      <c r="B41" t="str">
        <f t="shared" si="0"/>
        <v>Fadumo Muse</v>
      </c>
      <c r="C41" t="str">
        <f t="shared" si="1"/>
        <v>Fadumo Muse</v>
      </c>
      <c r="D41" t="str">
        <f t="shared" si="2"/>
        <v>FADUMO MUSE</v>
      </c>
      <c r="E41" t="str">
        <f t="shared" si="3"/>
        <v>fadumo muse</v>
      </c>
      <c r="F41" t="str">
        <f t="shared" si="4"/>
        <v>F</v>
      </c>
      <c r="G41" t="str">
        <f t="shared" si="5"/>
        <v>e</v>
      </c>
      <c r="H41" t="str">
        <f t="shared" si="6"/>
        <v>Fadum</v>
      </c>
    </row>
    <row r="42" spans="1:8">
      <c r="A42" t="s">
        <v>227</v>
      </c>
      <c r="B42" t="str">
        <f t="shared" si="0"/>
        <v>Nimo Samatar</v>
      </c>
      <c r="C42" t="str">
        <f t="shared" si="1"/>
        <v>Nimo Samatar</v>
      </c>
      <c r="D42" t="str">
        <f t="shared" si="2"/>
        <v>NIMO SAMATAR</v>
      </c>
      <c r="E42" t="str">
        <f t="shared" si="3"/>
        <v>nimo samatar</v>
      </c>
      <c r="F42" t="str">
        <f t="shared" si="4"/>
        <v>N</v>
      </c>
      <c r="G42" t="str">
        <f t="shared" si="5"/>
        <v>r</v>
      </c>
      <c r="H42" t="str">
        <f t="shared" si="6"/>
        <v xml:space="preserve">Nimo </v>
      </c>
    </row>
    <row r="43" spans="1:8">
      <c r="A43" t="s">
        <v>232</v>
      </c>
      <c r="B43" t="str">
        <f t="shared" si="0"/>
        <v>Abdi Warsame</v>
      </c>
      <c r="C43" t="str">
        <f t="shared" si="1"/>
        <v>Abdi Warsame</v>
      </c>
      <c r="D43" t="str">
        <f t="shared" si="2"/>
        <v>ABDI WARSAME</v>
      </c>
      <c r="E43" t="str">
        <f t="shared" si="3"/>
        <v>abdi warsame</v>
      </c>
      <c r="F43" t="str">
        <f t="shared" si="4"/>
        <v>A</v>
      </c>
      <c r="G43" t="str">
        <f t="shared" si="5"/>
        <v>e</v>
      </c>
      <c r="H43" t="str">
        <f t="shared" si="6"/>
        <v xml:space="preserve">Abdi </v>
      </c>
    </row>
    <row r="44" spans="1:8">
      <c r="A44" t="s">
        <v>237</v>
      </c>
      <c r="B44" t="str">
        <f t="shared" si="0"/>
        <v>Ahmed Dahir</v>
      </c>
      <c r="C44" t="str">
        <f t="shared" si="1"/>
        <v>Ahmed Dahir</v>
      </c>
      <c r="D44" t="str">
        <f t="shared" si="2"/>
        <v>AHMED DAHIR</v>
      </c>
      <c r="E44" t="str">
        <f t="shared" si="3"/>
        <v>ahmed dahir</v>
      </c>
      <c r="F44" t="str">
        <f t="shared" si="4"/>
        <v>A</v>
      </c>
      <c r="G44" t="str">
        <f t="shared" si="5"/>
        <v>r</v>
      </c>
      <c r="H44" t="str">
        <f t="shared" si="6"/>
        <v>Ahmed</v>
      </c>
    </row>
    <row r="45" spans="1:8">
      <c r="A45" t="s">
        <v>241</v>
      </c>
      <c r="B45" t="str">
        <f t="shared" si="0"/>
        <v>Ikram Mohamud</v>
      </c>
      <c r="C45" t="str">
        <f t="shared" si="1"/>
        <v>Ikram Mohamud</v>
      </c>
      <c r="D45" t="str">
        <f t="shared" si="2"/>
        <v>IKRAM MOHAMUD</v>
      </c>
      <c r="E45" t="str">
        <f t="shared" si="3"/>
        <v>ikram mohamud</v>
      </c>
      <c r="F45" t="str">
        <f t="shared" si="4"/>
        <v>I</v>
      </c>
      <c r="G45" t="str">
        <f t="shared" si="5"/>
        <v>d</v>
      </c>
      <c r="H45" t="str">
        <f t="shared" si="6"/>
        <v>Ikram</v>
      </c>
    </row>
    <row r="46" spans="1:8">
      <c r="A46" t="s">
        <v>246</v>
      </c>
      <c r="B46" t="str">
        <f t="shared" si="0"/>
        <v>Ikram Samatar</v>
      </c>
      <c r="C46" t="str">
        <f t="shared" si="1"/>
        <v>Ikram Samatar</v>
      </c>
      <c r="D46" t="str">
        <f t="shared" si="2"/>
        <v>IKRAM SAMATAR</v>
      </c>
      <c r="E46" t="str">
        <f t="shared" si="3"/>
        <v>ikram samatar</v>
      </c>
      <c r="F46" t="str">
        <f t="shared" si="4"/>
        <v>I</v>
      </c>
      <c r="G46" t="str">
        <f t="shared" si="5"/>
        <v>r</v>
      </c>
      <c r="H46" t="str">
        <f t="shared" si="6"/>
        <v>Ikram</v>
      </c>
    </row>
    <row r="47" spans="1:8">
      <c r="A47" t="s">
        <v>251</v>
      </c>
      <c r="B47" t="str">
        <f t="shared" si="0"/>
        <v>Omar Warsame</v>
      </c>
      <c r="C47" t="str">
        <f t="shared" si="1"/>
        <v>Omar Warsame</v>
      </c>
      <c r="D47" t="str">
        <f t="shared" si="2"/>
        <v>OMAR WARSAME</v>
      </c>
      <c r="E47" t="str">
        <f t="shared" si="3"/>
        <v>omar warsame</v>
      </c>
      <c r="F47" t="str">
        <f t="shared" si="4"/>
        <v>O</v>
      </c>
      <c r="G47" t="str">
        <f t="shared" si="5"/>
        <v>e</v>
      </c>
      <c r="H47" t="str">
        <f t="shared" si="6"/>
        <v xml:space="preserve">Omar </v>
      </c>
    </row>
    <row r="48" spans="1:8">
      <c r="A48" t="s">
        <v>251</v>
      </c>
      <c r="B48" t="str">
        <f t="shared" si="0"/>
        <v>Omar Warsame</v>
      </c>
      <c r="C48" t="str">
        <f t="shared" si="1"/>
        <v>Omar Warsame</v>
      </c>
      <c r="D48" t="str">
        <f t="shared" si="2"/>
        <v>OMAR WARSAME</v>
      </c>
      <c r="E48" t="str">
        <f t="shared" si="3"/>
        <v>omar warsame</v>
      </c>
      <c r="F48" t="str">
        <f t="shared" si="4"/>
        <v>O</v>
      </c>
      <c r="G48" t="str">
        <f t="shared" si="5"/>
        <v>e</v>
      </c>
      <c r="H48" t="str">
        <f t="shared" si="6"/>
        <v xml:space="preserve">Omar </v>
      </c>
    </row>
    <row r="49" spans="1:8">
      <c r="A49" t="s">
        <v>251</v>
      </c>
      <c r="B49" t="str">
        <f t="shared" si="0"/>
        <v>Omar Warsame</v>
      </c>
      <c r="C49" t="str">
        <f t="shared" si="1"/>
        <v>Omar Warsame</v>
      </c>
      <c r="D49" t="str">
        <f t="shared" si="2"/>
        <v>OMAR WARSAME</v>
      </c>
      <c r="E49" t="str">
        <f t="shared" si="3"/>
        <v>omar warsame</v>
      </c>
      <c r="F49" t="str">
        <f t="shared" si="4"/>
        <v>O</v>
      </c>
      <c r="G49" t="str">
        <f t="shared" si="5"/>
        <v>e</v>
      </c>
      <c r="H49" t="str">
        <f t="shared" si="6"/>
        <v xml:space="preserve">Omar </v>
      </c>
    </row>
    <row r="50" spans="1:8">
      <c r="A50" t="s">
        <v>257</v>
      </c>
      <c r="B50" t="str">
        <f t="shared" si="0"/>
        <v>Nasra Mohamud</v>
      </c>
      <c r="C50" t="str">
        <f t="shared" si="1"/>
        <v>Nasra Mohamud</v>
      </c>
      <c r="D50" t="str">
        <f t="shared" si="2"/>
        <v>NASRA MOHAMUD</v>
      </c>
      <c r="E50" t="str">
        <f t="shared" si="3"/>
        <v>nasra mohamud</v>
      </c>
      <c r="F50" t="str">
        <f t="shared" si="4"/>
        <v>N</v>
      </c>
      <c r="G50" t="str">
        <f t="shared" si="5"/>
        <v>d</v>
      </c>
      <c r="H50" t="str">
        <f t="shared" si="6"/>
        <v>Nasra</v>
      </c>
    </row>
    <row r="51" spans="1:8">
      <c r="A51" t="s">
        <v>262</v>
      </c>
      <c r="B51" t="str">
        <f t="shared" si="0"/>
        <v>Amina Dahir</v>
      </c>
      <c r="C51" t="str">
        <f t="shared" si="1"/>
        <v>Amina Dahir</v>
      </c>
      <c r="D51" t="str">
        <f t="shared" si="2"/>
        <v>AMINA DAHIR</v>
      </c>
      <c r="E51" t="str">
        <f t="shared" si="3"/>
        <v>amina dahir</v>
      </c>
      <c r="F51" t="str">
        <f t="shared" si="4"/>
        <v>A</v>
      </c>
      <c r="G51" t="str">
        <f t="shared" si="5"/>
        <v>r</v>
      </c>
      <c r="H51" t="str">
        <f t="shared" si="6"/>
        <v>Amina</v>
      </c>
    </row>
    <row r="52" spans="1:8">
      <c r="A52" t="s">
        <v>267</v>
      </c>
      <c r="B52" t="str">
        <f t="shared" si="0"/>
        <v>Mahad Ali</v>
      </c>
      <c r="C52" t="str">
        <f t="shared" si="1"/>
        <v>Mahad Ali</v>
      </c>
      <c r="D52" t="str">
        <f t="shared" si="2"/>
        <v>MAHAD ALI</v>
      </c>
      <c r="E52" t="str">
        <f t="shared" si="3"/>
        <v>mahad ali</v>
      </c>
      <c r="F52" t="str">
        <f t="shared" si="4"/>
        <v>M</v>
      </c>
      <c r="G52" t="str">
        <f t="shared" si="5"/>
        <v>i</v>
      </c>
      <c r="H52" t="str">
        <f t="shared" si="6"/>
        <v>Mahad</v>
      </c>
    </row>
    <row r="53" spans="1:8">
      <c r="A53" t="s">
        <v>273</v>
      </c>
      <c r="B53" t="str">
        <f t="shared" si="0"/>
        <v>Ikram Abdi</v>
      </c>
      <c r="C53" t="str">
        <f t="shared" si="1"/>
        <v>Ikram Abdi</v>
      </c>
      <c r="D53" t="str">
        <f t="shared" si="2"/>
        <v>IKRAM ABDI</v>
      </c>
      <c r="E53" t="str">
        <f t="shared" si="3"/>
        <v>ikram abdi</v>
      </c>
      <c r="F53" t="str">
        <f t="shared" si="4"/>
        <v>I</v>
      </c>
      <c r="G53" t="str">
        <f t="shared" si="5"/>
        <v>i</v>
      </c>
      <c r="H53" t="str">
        <f t="shared" si="6"/>
        <v>Ikram</v>
      </c>
    </row>
    <row r="54" spans="1:8">
      <c r="A54" t="s">
        <v>278</v>
      </c>
      <c r="B54" t="str">
        <f t="shared" si="0"/>
        <v>Ali Yusuf</v>
      </c>
      <c r="C54" t="str">
        <f t="shared" si="1"/>
        <v>Ali Yusuf</v>
      </c>
      <c r="D54" t="str">
        <f t="shared" si="2"/>
        <v>ALI YUSUF</v>
      </c>
      <c r="E54" t="str">
        <f t="shared" si="3"/>
        <v>ali yusuf</v>
      </c>
      <c r="F54" t="str">
        <f t="shared" si="4"/>
        <v>A</v>
      </c>
      <c r="G54" t="str">
        <f t="shared" si="5"/>
        <v>f</v>
      </c>
      <c r="H54" t="str">
        <f t="shared" si="6"/>
        <v>Ali Y</v>
      </c>
    </row>
    <row r="55" spans="1:8">
      <c r="A55" t="s">
        <v>283</v>
      </c>
      <c r="B55" t="str">
        <f t="shared" si="0"/>
        <v>Fadumo Dualeh</v>
      </c>
      <c r="C55" t="str">
        <f t="shared" si="1"/>
        <v>Fadumo Dualeh</v>
      </c>
      <c r="D55" t="str">
        <f t="shared" si="2"/>
        <v>FADUMO DUALEH</v>
      </c>
      <c r="E55" t="str">
        <f t="shared" si="3"/>
        <v>fadumo dualeh</v>
      </c>
      <c r="F55" t="str">
        <f t="shared" si="4"/>
        <v>F</v>
      </c>
      <c r="G55" t="str">
        <f t="shared" si="5"/>
        <v>h</v>
      </c>
      <c r="H55" t="str">
        <f t="shared" si="6"/>
        <v>Fadum</v>
      </c>
    </row>
    <row r="56" spans="1:8">
      <c r="A56" t="s">
        <v>288</v>
      </c>
      <c r="B56" t="str">
        <f t="shared" si="0"/>
        <v>MARYAN SHEIKH</v>
      </c>
      <c r="C56" t="str">
        <f t="shared" si="1"/>
        <v>Maryan Sheikh</v>
      </c>
      <c r="D56" t="str">
        <f t="shared" si="2"/>
        <v>MARYAN SHEIKH</v>
      </c>
      <c r="E56" t="str">
        <f t="shared" si="3"/>
        <v>maryan sheikh</v>
      </c>
      <c r="F56" t="str">
        <f t="shared" si="4"/>
        <v>M</v>
      </c>
      <c r="G56" t="str">
        <f t="shared" si="5"/>
        <v>H</v>
      </c>
      <c r="H56" t="str">
        <f t="shared" si="6"/>
        <v>MARYA</v>
      </c>
    </row>
    <row r="57" spans="1:8">
      <c r="A57" t="s">
        <v>293</v>
      </c>
      <c r="B57" t="str">
        <f t="shared" si="0"/>
        <v>Maryan Aden</v>
      </c>
      <c r="C57" t="str">
        <f t="shared" si="1"/>
        <v>Maryan Aden</v>
      </c>
      <c r="D57" t="str">
        <f t="shared" si="2"/>
        <v>MARYAN ADEN</v>
      </c>
      <c r="E57" t="str">
        <f t="shared" si="3"/>
        <v>maryan aden</v>
      </c>
      <c r="F57" t="str">
        <f t="shared" si="4"/>
        <v>M</v>
      </c>
      <c r="G57" t="str">
        <f t="shared" si="5"/>
        <v>n</v>
      </c>
      <c r="H57" t="str">
        <f t="shared" si="6"/>
        <v>Marya</v>
      </c>
    </row>
    <row r="58" spans="1:8">
      <c r="A58" t="s">
        <v>298</v>
      </c>
      <c r="B58" t="str">
        <f t="shared" si="0"/>
        <v>Sahra Farah</v>
      </c>
      <c r="C58" t="str">
        <f t="shared" si="1"/>
        <v>Sahra Farah</v>
      </c>
      <c r="D58" t="str">
        <f t="shared" si="2"/>
        <v>SAHRA FARAH</v>
      </c>
      <c r="E58" t="str">
        <f t="shared" si="3"/>
        <v>sahra farah</v>
      </c>
      <c r="F58" t="str">
        <f t="shared" si="4"/>
        <v>S</v>
      </c>
      <c r="G58" t="str">
        <f t="shared" si="5"/>
        <v>h</v>
      </c>
      <c r="H58" t="str">
        <f t="shared" si="6"/>
        <v>Sahra</v>
      </c>
    </row>
    <row r="59" spans="1:8">
      <c r="A59" t="s">
        <v>303</v>
      </c>
      <c r="B59" t="str">
        <f t="shared" si="0"/>
        <v>Ali Dahir</v>
      </c>
      <c r="C59" t="str">
        <f t="shared" si="1"/>
        <v>Ali Dahir</v>
      </c>
      <c r="D59" t="str">
        <f t="shared" si="2"/>
        <v>ALI DAHIR</v>
      </c>
      <c r="E59" t="str">
        <f t="shared" si="3"/>
        <v>ali dahir</v>
      </c>
      <c r="F59" t="str">
        <f t="shared" si="4"/>
        <v>A</v>
      </c>
      <c r="G59" t="str">
        <f t="shared" si="5"/>
        <v>r</v>
      </c>
      <c r="H59" t="str">
        <f t="shared" si="6"/>
        <v>Ali D</v>
      </c>
    </row>
    <row r="60" spans="1:8">
      <c r="A60" t="s">
        <v>308</v>
      </c>
      <c r="B60" t="str">
        <f t="shared" si="0"/>
        <v>Zahra Aden</v>
      </c>
      <c r="C60" t="str">
        <f t="shared" si="1"/>
        <v>Zahra Aden</v>
      </c>
      <c r="D60" t="str">
        <f t="shared" si="2"/>
        <v>ZAHRA ADEN</v>
      </c>
      <c r="E60" t="str">
        <f t="shared" si="3"/>
        <v>zahra aden</v>
      </c>
      <c r="F60" t="str">
        <f t="shared" si="4"/>
        <v>Z</v>
      </c>
      <c r="G60" t="str">
        <f t="shared" si="5"/>
        <v>n</v>
      </c>
      <c r="H60" t="str">
        <f t="shared" si="6"/>
        <v>Zahra</v>
      </c>
    </row>
    <row r="61" spans="1:8">
      <c r="A61" t="s">
        <v>313</v>
      </c>
      <c r="B61" t="str">
        <f t="shared" si="0"/>
        <v>Ali Dualeh</v>
      </c>
      <c r="C61" t="str">
        <f t="shared" si="1"/>
        <v>Ali Dualeh</v>
      </c>
      <c r="D61" t="str">
        <f t="shared" si="2"/>
        <v>ALI DUALEH</v>
      </c>
      <c r="E61" t="str">
        <f t="shared" si="3"/>
        <v>ali dualeh</v>
      </c>
      <c r="F61" t="str">
        <f t="shared" si="4"/>
        <v>A</v>
      </c>
      <c r="G61" t="str">
        <f t="shared" si="5"/>
        <v>h</v>
      </c>
      <c r="H61" t="str">
        <f t="shared" si="6"/>
        <v>Ali D</v>
      </c>
    </row>
    <row r="62" spans="1:8">
      <c r="A62" t="s">
        <v>313</v>
      </c>
      <c r="B62" t="str">
        <f t="shared" si="0"/>
        <v>Ali Dualeh</v>
      </c>
      <c r="C62" t="str">
        <f t="shared" si="1"/>
        <v>Ali Dualeh</v>
      </c>
      <c r="D62" t="str">
        <f t="shared" si="2"/>
        <v>ALI DUALEH</v>
      </c>
      <c r="E62" t="str">
        <f t="shared" si="3"/>
        <v>ali dualeh</v>
      </c>
      <c r="F62" t="str">
        <f t="shared" si="4"/>
        <v>A</v>
      </c>
      <c r="G62" t="str">
        <f t="shared" si="5"/>
        <v>h</v>
      </c>
      <c r="H62" t="str">
        <f t="shared" si="6"/>
        <v>Ali D</v>
      </c>
    </row>
    <row r="63" spans="1:8">
      <c r="A63" t="s">
        <v>318</v>
      </c>
      <c r="B63" t="str">
        <f t="shared" si="0"/>
        <v>Mohamed Mohamud</v>
      </c>
      <c r="C63" t="str">
        <f t="shared" si="1"/>
        <v>Mohamed Mohamud</v>
      </c>
      <c r="D63" t="str">
        <f t="shared" si="2"/>
        <v>MOHAMED MOHAMUD</v>
      </c>
      <c r="E63" t="str">
        <f t="shared" si="3"/>
        <v>mohamed mohamud</v>
      </c>
      <c r="F63" t="str">
        <f t="shared" si="4"/>
        <v>M</v>
      </c>
      <c r="G63" t="str">
        <f t="shared" si="5"/>
        <v>d</v>
      </c>
      <c r="H63" t="str">
        <f t="shared" si="6"/>
        <v>Moham</v>
      </c>
    </row>
    <row r="64" spans="1:8">
      <c r="A64" t="s">
        <v>323</v>
      </c>
      <c r="B64" t="str">
        <f t="shared" si="0"/>
        <v>Sahra Dahir</v>
      </c>
      <c r="C64" t="str">
        <f t="shared" si="1"/>
        <v>Sahra Dahir</v>
      </c>
      <c r="D64" t="str">
        <f t="shared" si="2"/>
        <v>SAHRA DAHIR</v>
      </c>
      <c r="E64" t="str">
        <f t="shared" si="3"/>
        <v>sahra dahir</v>
      </c>
      <c r="F64" t="str">
        <f t="shared" si="4"/>
        <v>S</v>
      </c>
      <c r="G64" t="str">
        <f t="shared" si="5"/>
        <v>r</v>
      </c>
      <c r="H64" t="str">
        <f t="shared" si="6"/>
        <v>Sahra</v>
      </c>
    </row>
    <row r="65" spans="1:8">
      <c r="A65" t="s">
        <v>329</v>
      </c>
      <c r="B65" t="str">
        <f t="shared" si="0"/>
        <v>Mohamed Isse</v>
      </c>
      <c r="C65" t="str">
        <f t="shared" si="1"/>
        <v>Mohamed Isse</v>
      </c>
      <c r="D65" t="str">
        <f t="shared" si="2"/>
        <v>MOHAMED ISSE</v>
      </c>
      <c r="E65" t="str">
        <f t="shared" si="3"/>
        <v>mohamed isse</v>
      </c>
      <c r="F65" t="str">
        <f t="shared" si="4"/>
        <v>M</v>
      </c>
      <c r="G65" t="str">
        <f t="shared" si="5"/>
        <v>e</v>
      </c>
      <c r="H65" t="str">
        <f t="shared" si="6"/>
        <v>Moham</v>
      </c>
    </row>
    <row r="66" spans="1:8">
      <c r="A66" t="s">
        <v>303</v>
      </c>
      <c r="B66" t="str">
        <f t="shared" si="0"/>
        <v>Ali Dahir</v>
      </c>
      <c r="C66" t="str">
        <f t="shared" si="1"/>
        <v>Ali Dahir</v>
      </c>
      <c r="D66" t="str">
        <f t="shared" si="2"/>
        <v>ALI DAHIR</v>
      </c>
      <c r="E66" t="str">
        <f t="shared" si="3"/>
        <v>ali dahir</v>
      </c>
      <c r="F66" t="str">
        <f t="shared" si="4"/>
        <v>A</v>
      </c>
      <c r="G66" t="str">
        <f t="shared" si="5"/>
        <v>r</v>
      </c>
      <c r="H66" t="str">
        <f t="shared" si="6"/>
        <v>Ali D</v>
      </c>
    </row>
    <row r="67" spans="1:8">
      <c r="A67" t="s">
        <v>338</v>
      </c>
      <c r="B67" t="str">
        <f t="shared" ref="B67:B130" si="7">TRIM(A67)</f>
        <v>Ikram Dahir</v>
      </c>
      <c r="C67" t="str">
        <f t="shared" ref="C67:C130" si="8">PROPER(A67)</f>
        <v>Ikram Dahir</v>
      </c>
      <c r="D67" t="str">
        <f t="shared" ref="D67:D130" si="9">UPPER(A67)</f>
        <v>IKRAM DAHIR</v>
      </c>
      <c r="E67" t="str">
        <f t="shared" ref="E67:E130" si="10">LOWER(A67)</f>
        <v>ikram dahir</v>
      </c>
      <c r="F67" t="str">
        <f t="shared" ref="F67:F130" si="11">LEFT(A67)</f>
        <v>I</v>
      </c>
      <c r="G67" t="str">
        <f t="shared" ref="G67:G130" si="12">RIGHT(A67)</f>
        <v>r</v>
      </c>
      <c r="H67" t="str">
        <f t="shared" ref="H67:H130" si="13">MID(A67,1,5)</f>
        <v>Ikram</v>
      </c>
    </row>
    <row r="68" spans="1:8">
      <c r="A68" t="s">
        <v>343</v>
      </c>
      <c r="B68" t="str">
        <f t="shared" si="7"/>
        <v>Ikram Omar</v>
      </c>
      <c r="C68" t="str">
        <f t="shared" si="8"/>
        <v>Ikram Omar</v>
      </c>
      <c r="D68" t="str">
        <f t="shared" si="9"/>
        <v>IKRAM OMAR</v>
      </c>
      <c r="E68" t="str">
        <f t="shared" si="10"/>
        <v>ikram omar</v>
      </c>
      <c r="F68" t="str">
        <f t="shared" si="11"/>
        <v>I</v>
      </c>
      <c r="G68" t="str">
        <f t="shared" si="12"/>
        <v>r</v>
      </c>
      <c r="H68" t="str">
        <f t="shared" si="13"/>
        <v>Ikram</v>
      </c>
    </row>
    <row r="69" spans="1:8">
      <c r="A69" t="s">
        <v>348</v>
      </c>
      <c r="B69" t="str">
        <f t="shared" si="7"/>
        <v>Ifrah Muse</v>
      </c>
      <c r="C69" t="str">
        <f t="shared" si="8"/>
        <v>Ifrah Muse</v>
      </c>
      <c r="D69" t="str">
        <f t="shared" si="9"/>
        <v>IFRAH MUSE</v>
      </c>
      <c r="E69" t="str">
        <f t="shared" si="10"/>
        <v>ifrah muse</v>
      </c>
      <c r="F69" t="str">
        <f t="shared" si="11"/>
        <v>I</v>
      </c>
      <c r="G69" t="str">
        <f t="shared" si="12"/>
        <v>e</v>
      </c>
      <c r="H69" t="str">
        <f t="shared" si="13"/>
        <v>Ifrah</v>
      </c>
    </row>
    <row r="70" spans="1:8">
      <c r="A70" t="s">
        <v>353</v>
      </c>
      <c r="B70" t="str">
        <f t="shared" si="7"/>
        <v>Amina Isse</v>
      </c>
      <c r="C70" t="str">
        <f t="shared" si="8"/>
        <v>Amina Isse</v>
      </c>
      <c r="D70" t="str">
        <f t="shared" si="9"/>
        <v>AMINA ISSE</v>
      </c>
      <c r="E70" t="str">
        <f t="shared" si="10"/>
        <v>amina isse</v>
      </c>
      <c r="F70" t="str">
        <f t="shared" si="11"/>
        <v>A</v>
      </c>
      <c r="G70" t="str">
        <f t="shared" si="12"/>
        <v>e</v>
      </c>
      <c r="H70" t="str">
        <f t="shared" si="13"/>
        <v>Amina</v>
      </c>
    </row>
    <row r="71" spans="1:8">
      <c r="A71" t="s">
        <v>358</v>
      </c>
      <c r="B71" t="str">
        <f t="shared" si="7"/>
        <v>Omar Abdi</v>
      </c>
      <c r="C71" t="str">
        <f t="shared" si="8"/>
        <v>Omar Abdi</v>
      </c>
      <c r="D71" t="str">
        <f t="shared" si="9"/>
        <v>OMAR ABDI</v>
      </c>
      <c r="E71" t="str">
        <f t="shared" si="10"/>
        <v>omar abdi</v>
      </c>
      <c r="F71" t="str">
        <f t="shared" si="11"/>
        <v>O</v>
      </c>
      <c r="G71" t="str">
        <f t="shared" si="12"/>
        <v>i</v>
      </c>
      <c r="H71" t="str">
        <f t="shared" si="13"/>
        <v xml:space="preserve">Omar </v>
      </c>
    </row>
    <row r="72" spans="1:8">
      <c r="A72" t="s">
        <v>363</v>
      </c>
      <c r="B72" t="str">
        <f t="shared" si="7"/>
        <v>Yusuf Farah</v>
      </c>
      <c r="C72" t="str">
        <f t="shared" si="8"/>
        <v>Yusuf Farah</v>
      </c>
      <c r="D72" t="str">
        <f t="shared" si="9"/>
        <v>YUSUF FARAH</v>
      </c>
      <c r="E72" t="str">
        <f t="shared" si="10"/>
        <v>yusuf farah</v>
      </c>
      <c r="F72" t="str">
        <f t="shared" si="11"/>
        <v>Y</v>
      </c>
      <c r="G72" t="str">
        <f t="shared" si="12"/>
        <v>h</v>
      </c>
      <c r="H72" t="str">
        <f t="shared" si="13"/>
        <v>Yusuf</v>
      </c>
    </row>
    <row r="73" spans="1:8">
      <c r="A73" t="s">
        <v>368</v>
      </c>
      <c r="B73" t="str">
        <f t="shared" si="7"/>
        <v>Zahra Sheikh</v>
      </c>
      <c r="C73" t="str">
        <f t="shared" si="8"/>
        <v>Zahra Sheikh</v>
      </c>
      <c r="D73" t="str">
        <f t="shared" si="9"/>
        <v>ZAHRA SHEIKH</v>
      </c>
      <c r="E73" t="str">
        <f t="shared" si="10"/>
        <v>zahra sheikh</v>
      </c>
      <c r="F73" t="str">
        <f t="shared" si="11"/>
        <v>Z</v>
      </c>
      <c r="G73" t="str">
        <f t="shared" si="12"/>
        <v>h</v>
      </c>
      <c r="H73" t="str">
        <f t="shared" si="13"/>
        <v>Zahra</v>
      </c>
    </row>
    <row r="74" spans="1:8">
      <c r="A74" t="s">
        <v>373</v>
      </c>
      <c r="B74" t="str">
        <f t="shared" si="7"/>
        <v>Ifrah Dualeh</v>
      </c>
      <c r="C74" t="str">
        <f t="shared" si="8"/>
        <v>Ifrah Dualeh</v>
      </c>
      <c r="D74" t="str">
        <f t="shared" si="9"/>
        <v>IFRAH DUALEH</v>
      </c>
      <c r="E74" t="str">
        <f t="shared" si="10"/>
        <v>ifrah dualeh</v>
      </c>
      <c r="F74" t="str">
        <f t="shared" si="11"/>
        <v>I</v>
      </c>
      <c r="G74" t="str">
        <f t="shared" si="12"/>
        <v>h</v>
      </c>
      <c r="H74" t="str">
        <f t="shared" si="13"/>
        <v>Ifrah</v>
      </c>
    </row>
    <row r="75" spans="1:8">
      <c r="A75" t="s">
        <v>378</v>
      </c>
      <c r="B75" t="str">
        <f t="shared" si="7"/>
        <v>Omar Muse</v>
      </c>
      <c r="C75" t="str">
        <f t="shared" si="8"/>
        <v>Omar Muse</v>
      </c>
      <c r="D75" t="str">
        <f t="shared" si="9"/>
        <v>OMAR MUSE</v>
      </c>
      <c r="E75" t="str">
        <f t="shared" si="10"/>
        <v>omar muse</v>
      </c>
      <c r="F75" t="str">
        <f t="shared" si="11"/>
        <v>O</v>
      </c>
      <c r="G75" t="str">
        <f t="shared" si="12"/>
        <v>e</v>
      </c>
      <c r="H75" t="str">
        <f t="shared" si="13"/>
        <v xml:space="preserve">Omar </v>
      </c>
    </row>
    <row r="76" spans="1:8">
      <c r="A76" t="s">
        <v>378</v>
      </c>
      <c r="B76" t="str">
        <f t="shared" si="7"/>
        <v>Omar Muse</v>
      </c>
      <c r="C76" t="str">
        <f t="shared" si="8"/>
        <v>Omar Muse</v>
      </c>
      <c r="D76" t="str">
        <f t="shared" si="9"/>
        <v>OMAR MUSE</v>
      </c>
      <c r="E76" t="str">
        <f t="shared" si="10"/>
        <v>omar muse</v>
      </c>
      <c r="F76" t="str">
        <f t="shared" si="11"/>
        <v>O</v>
      </c>
      <c r="G76" t="str">
        <f t="shared" si="12"/>
        <v>e</v>
      </c>
      <c r="H76" t="str">
        <f t="shared" si="13"/>
        <v xml:space="preserve">Omar </v>
      </c>
    </row>
    <row r="77" spans="1:8">
      <c r="A77" t="s">
        <v>383</v>
      </c>
      <c r="B77" t="str">
        <f t="shared" si="7"/>
        <v>Hassan Ibrahim</v>
      </c>
      <c r="C77" t="str">
        <f t="shared" si="8"/>
        <v>Hassan Ibrahim</v>
      </c>
      <c r="D77" t="str">
        <f t="shared" si="9"/>
        <v>HASSAN IBRAHIM</v>
      </c>
      <c r="E77" t="str">
        <f t="shared" si="10"/>
        <v>hassan ibrahim</v>
      </c>
      <c r="F77" t="str">
        <f t="shared" si="11"/>
        <v>H</v>
      </c>
      <c r="G77" t="str">
        <f t="shared" si="12"/>
        <v>m</v>
      </c>
      <c r="H77" t="str">
        <f t="shared" si="13"/>
        <v>Hassa</v>
      </c>
    </row>
    <row r="78" spans="1:8">
      <c r="A78" t="s">
        <v>388</v>
      </c>
      <c r="B78" t="str">
        <f t="shared" si="7"/>
        <v>Hassan Nur</v>
      </c>
      <c r="C78" t="str">
        <f t="shared" si="8"/>
        <v>Hassan Nur</v>
      </c>
      <c r="D78" t="str">
        <f t="shared" si="9"/>
        <v>HASSAN NUR</v>
      </c>
      <c r="E78" t="str">
        <f t="shared" si="10"/>
        <v>hassan nur</v>
      </c>
      <c r="F78" t="str">
        <f t="shared" si="11"/>
        <v>H</v>
      </c>
      <c r="G78" t="str">
        <f t="shared" si="12"/>
        <v>r</v>
      </c>
      <c r="H78" t="str">
        <f t="shared" si="13"/>
        <v>Hassa</v>
      </c>
    </row>
    <row r="79" spans="1:8">
      <c r="A79" t="s">
        <v>393</v>
      </c>
      <c r="B79" t="str">
        <f t="shared" si="7"/>
        <v>Abdi Sheikh</v>
      </c>
      <c r="C79" t="str">
        <f t="shared" si="8"/>
        <v>Abdi Sheikh</v>
      </c>
      <c r="D79" t="str">
        <f t="shared" si="9"/>
        <v>ABDI SHEIKH</v>
      </c>
      <c r="E79" t="str">
        <f t="shared" si="10"/>
        <v>abdi sheikh</v>
      </c>
      <c r="F79" t="str">
        <f t="shared" si="11"/>
        <v>A</v>
      </c>
      <c r="G79" t="str">
        <f t="shared" si="12"/>
        <v>h</v>
      </c>
      <c r="H79" t="str">
        <f t="shared" si="13"/>
        <v xml:space="preserve">Abdi </v>
      </c>
    </row>
    <row r="80" spans="1:8">
      <c r="A80" t="s">
        <v>398</v>
      </c>
      <c r="B80" t="str">
        <f t="shared" si="7"/>
        <v>Hassan Yusuf</v>
      </c>
      <c r="C80" t="str">
        <f t="shared" si="8"/>
        <v>Hassan Yusuf</v>
      </c>
      <c r="D80" t="str">
        <f t="shared" si="9"/>
        <v>HASSAN YUSUF</v>
      </c>
      <c r="E80" t="str">
        <f t="shared" si="10"/>
        <v>hassan yusuf</v>
      </c>
      <c r="F80" t="str">
        <f t="shared" si="11"/>
        <v>H</v>
      </c>
      <c r="G80" t="str">
        <f t="shared" si="12"/>
        <v>f</v>
      </c>
      <c r="H80" t="str">
        <f t="shared" si="13"/>
        <v>Hassa</v>
      </c>
    </row>
    <row r="81" spans="1:8">
      <c r="A81" t="s">
        <v>404</v>
      </c>
      <c r="B81" t="str">
        <f t="shared" si="7"/>
        <v>Amina Abdi</v>
      </c>
      <c r="C81" t="str">
        <f t="shared" si="8"/>
        <v>Amina Abdi</v>
      </c>
      <c r="D81" t="str">
        <f t="shared" si="9"/>
        <v>AMINA ABDI</v>
      </c>
      <c r="E81" t="str">
        <f t="shared" si="10"/>
        <v>amina abdi</v>
      </c>
      <c r="F81" t="str">
        <f t="shared" si="11"/>
        <v>A</v>
      </c>
      <c r="G81" t="str">
        <f t="shared" si="12"/>
        <v>i</v>
      </c>
      <c r="H81" t="str">
        <f t="shared" si="13"/>
        <v>Amina</v>
      </c>
    </row>
    <row r="82" spans="1:8">
      <c r="A82" t="s">
        <v>409</v>
      </c>
      <c r="B82" t="str">
        <f t="shared" si="7"/>
        <v>Maryan Muse</v>
      </c>
      <c r="C82" t="str">
        <f t="shared" si="8"/>
        <v>Maryan Muse</v>
      </c>
      <c r="D82" t="str">
        <f t="shared" si="9"/>
        <v>MARYAN MUSE</v>
      </c>
      <c r="E82" t="str">
        <f t="shared" si="10"/>
        <v>maryan muse</v>
      </c>
      <c r="F82" t="str">
        <f t="shared" si="11"/>
        <v>M</v>
      </c>
      <c r="G82" t="str">
        <f t="shared" si="12"/>
        <v>e</v>
      </c>
      <c r="H82" t="str">
        <f t="shared" si="13"/>
        <v>Marya</v>
      </c>
    </row>
    <row r="83" spans="1:8">
      <c r="A83" t="s">
        <v>414</v>
      </c>
      <c r="B83" t="str">
        <f t="shared" si="7"/>
        <v>Abdi Mohamud</v>
      </c>
      <c r="C83" t="str">
        <f t="shared" si="8"/>
        <v>Abdi Mohamud</v>
      </c>
      <c r="D83" t="str">
        <f t="shared" si="9"/>
        <v>ABDI MOHAMUD</v>
      </c>
      <c r="E83" t="str">
        <f t="shared" si="10"/>
        <v>abdi mohamud</v>
      </c>
      <c r="F83" t="str">
        <f t="shared" si="11"/>
        <v>A</v>
      </c>
      <c r="G83" t="str">
        <f t="shared" si="12"/>
        <v>d</v>
      </c>
      <c r="H83" t="str">
        <f t="shared" si="13"/>
        <v xml:space="preserve">Abdi </v>
      </c>
    </row>
    <row r="84" spans="1:8">
      <c r="A84" t="s">
        <v>420</v>
      </c>
      <c r="B84" t="str">
        <f t="shared" si="7"/>
        <v>Mohamed Ibrahim</v>
      </c>
      <c r="C84" t="str">
        <f t="shared" si="8"/>
        <v>Mohamed Ibrahim</v>
      </c>
      <c r="D84" t="str">
        <f t="shared" si="9"/>
        <v>MOHAMED IBRAHIM</v>
      </c>
      <c r="E84" t="str">
        <f t="shared" si="10"/>
        <v>mohamed ibrahim</v>
      </c>
      <c r="F84" t="str">
        <f t="shared" si="11"/>
        <v>M</v>
      </c>
      <c r="G84" t="str">
        <f t="shared" si="12"/>
        <v>m</v>
      </c>
      <c r="H84" t="str">
        <f t="shared" si="13"/>
        <v>Moham</v>
      </c>
    </row>
    <row r="85" spans="1:8">
      <c r="A85" t="s">
        <v>425</v>
      </c>
      <c r="B85" t="str">
        <f t="shared" si="7"/>
        <v>Ikram Dualeh</v>
      </c>
      <c r="C85" t="str">
        <f t="shared" si="8"/>
        <v>Ikram Dualeh</v>
      </c>
      <c r="D85" t="str">
        <f t="shared" si="9"/>
        <v>IKRAM DUALEH</v>
      </c>
      <c r="E85" t="str">
        <f t="shared" si="10"/>
        <v>ikram dualeh</v>
      </c>
      <c r="F85" t="str">
        <f t="shared" si="11"/>
        <v>I</v>
      </c>
      <c r="G85" t="str">
        <f t="shared" si="12"/>
        <v>h</v>
      </c>
      <c r="H85" t="str">
        <f t="shared" si="13"/>
        <v>Ikram</v>
      </c>
    </row>
    <row r="86" spans="1:8">
      <c r="A86" t="s">
        <v>430</v>
      </c>
      <c r="B86" t="str">
        <f t="shared" si="7"/>
        <v>Hodan Aden</v>
      </c>
      <c r="C86" t="str">
        <f t="shared" si="8"/>
        <v>Hodan Aden</v>
      </c>
      <c r="D86" t="str">
        <f t="shared" si="9"/>
        <v>HODAN ADEN</v>
      </c>
      <c r="E86" t="str">
        <f t="shared" si="10"/>
        <v>hodan aden</v>
      </c>
      <c r="F86" t="str">
        <f t="shared" si="11"/>
        <v>H</v>
      </c>
      <c r="G86" t="str">
        <f t="shared" si="12"/>
        <v>n</v>
      </c>
      <c r="H86" t="str">
        <f t="shared" si="13"/>
        <v>Hodan</v>
      </c>
    </row>
    <row r="87" spans="1:8">
      <c r="A87" t="s">
        <v>435</v>
      </c>
      <c r="B87" t="str">
        <f t="shared" si="7"/>
        <v>Nasra Muse</v>
      </c>
      <c r="C87" t="str">
        <f t="shared" si="8"/>
        <v>Nasra Muse</v>
      </c>
      <c r="D87" t="str">
        <f t="shared" si="9"/>
        <v>NASRA MUSE</v>
      </c>
      <c r="E87" t="str">
        <f t="shared" si="10"/>
        <v>nasra muse</v>
      </c>
      <c r="F87" t="str">
        <f t="shared" si="11"/>
        <v>N</v>
      </c>
      <c r="G87" t="str">
        <f t="shared" si="12"/>
        <v>e</v>
      </c>
      <c r="H87" t="str">
        <f t="shared" si="13"/>
        <v>Nasra</v>
      </c>
    </row>
    <row r="88" spans="1:8">
      <c r="A88" t="s">
        <v>441</v>
      </c>
      <c r="B88" t="str">
        <f t="shared" si="7"/>
        <v>Hassan Samatar</v>
      </c>
      <c r="C88" t="str">
        <f t="shared" si="8"/>
        <v>Hassan Samatar</v>
      </c>
      <c r="D88" t="str">
        <f t="shared" si="9"/>
        <v>HASSAN SAMATAR</v>
      </c>
      <c r="E88" t="str">
        <f t="shared" si="10"/>
        <v>hassan samatar</v>
      </c>
      <c r="F88" t="str">
        <f t="shared" si="11"/>
        <v>H</v>
      </c>
      <c r="G88" t="str">
        <f t="shared" si="12"/>
        <v>r</v>
      </c>
      <c r="H88" t="str">
        <f t="shared" si="13"/>
        <v>Hassa</v>
      </c>
    </row>
    <row r="89" spans="1:8">
      <c r="A89" t="s">
        <v>441</v>
      </c>
      <c r="B89" t="str">
        <f t="shared" si="7"/>
        <v>Hassan Samatar</v>
      </c>
      <c r="C89" t="str">
        <f t="shared" si="8"/>
        <v>Hassan Samatar</v>
      </c>
      <c r="D89" t="str">
        <f t="shared" si="9"/>
        <v>HASSAN SAMATAR</v>
      </c>
      <c r="E89" t="str">
        <f t="shared" si="10"/>
        <v>hassan samatar</v>
      </c>
      <c r="F89" t="str">
        <f t="shared" si="11"/>
        <v>H</v>
      </c>
      <c r="G89" t="str">
        <f t="shared" si="12"/>
        <v>r</v>
      </c>
      <c r="H89" t="str">
        <f t="shared" si="13"/>
        <v>Hassa</v>
      </c>
    </row>
    <row r="90" spans="1:8">
      <c r="A90" t="s">
        <v>104</v>
      </c>
      <c r="B90" t="str">
        <f t="shared" si="7"/>
        <v>Amina Mohamud</v>
      </c>
      <c r="C90" t="str">
        <f t="shared" si="8"/>
        <v>Amina Mohamud</v>
      </c>
      <c r="D90" t="str">
        <f t="shared" si="9"/>
        <v>AMINA MOHAMUD</v>
      </c>
      <c r="E90" t="str">
        <f t="shared" si="10"/>
        <v>amina mohamud</v>
      </c>
      <c r="F90" t="str">
        <f t="shared" si="11"/>
        <v>A</v>
      </c>
      <c r="G90" t="str">
        <f t="shared" si="12"/>
        <v>d</v>
      </c>
      <c r="H90" t="str">
        <f t="shared" si="13"/>
        <v>Amina</v>
      </c>
    </row>
    <row r="91" spans="1:8">
      <c r="A91" t="s">
        <v>450</v>
      </c>
      <c r="B91" t="str">
        <f t="shared" si="7"/>
        <v>Abdi Omar</v>
      </c>
      <c r="C91" t="str">
        <f t="shared" si="8"/>
        <v>Abdi Omar</v>
      </c>
      <c r="D91" t="str">
        <f t="shared" si="9"/>
        <v>ABDI OMAR</v>
      </c>
      <c r="E91" t="str">
        <f t="shared" si="10"/>
        <v>abdi omar</v>
      </c>
      <c r="F91" t="str">
        <f t="shared" si="11"/>
        <v>A</v>
      </c>
      <c r="G91" t="str">
        <f t="shared" si="12"/>
        <v>r</v>
      </c>
      <c r="H91" t="str">
        <f t="shared" si="13"/>
        <v xml:space="preserve">Abdi </v>
      </c>
    </row>
    <row r="92" spans="1:8">
      <c r="A92" t="s">
        <v>455</v>
      </c>
      <c r="B92" t="str">
        <f t="shared" si="7"/>
        <v>Nimo Dahir</v>
      </c>
      <c r="C92" t="str">
        <f t="shared" si="8"/>
        <v>Nimo Dahir</v>
      </c>
      <c r="D92" t="str">
        <f t="shared" si="9"/>
        <v>NIMO DAHIR</v>
      </c>
      <c r="E92" t="str">
        <f t="shared" si="10"/>
        <v>nimo dahir</v>
      </c>
      <c r="F92" t="str">
        <f t="shared" si="11"/>
        <v>N</v>
      </c>
      <c r="G92" t="str">
        <f t="shared" si="12"/>
        <v>r</v>
      </c>
      <c r="H92" t="str">
        <f t="shared" si="13"/>
        <v xml:space="preserve">Nimo </v>
      </c>
    </row>
    <row r="93" spans="1:8">
      <c r="A93" t="s">
        <v>460</v>
      </c>
      <c r="B93" t="str">
        <f t="shared" si="7"/>
        <v>Khalid Ibrahim</v>
      </c>
      <c r="C93" t="str">
        <f t="shared" si="8"/>
        <v>Khalid Ibrahim</v>
      </c>
      <c r="D93" t="str">
        <f t="shared" si="9"/>
        <v>KHALID IBRAHIM</v>
      </c>
      <c r="E93" t="str">
        <f t="shared" si="10"/>
        <v>khalid ibrahim</v>
      </c>
      <c r="F93" t="str">
        <f t="shared" si="11"/>
        <v>K</v>
      </c>
      <c r="G93" t="str">
        <f t="shared" si="12"/>
        <v>m</v>
      </c>
      <c r="H93" t="str">
        <f t="shared" si="13"/>
        <v>Khali</v>
      </c>
    </row>
    <row r="94" spans="1:8">
      <c r="A94" t="s">
        <v>465</v>
      </c>
      <c r="B94" t="str">
        <f t="shared" si="7"/>
        <v>Amina Ibrahim</v>
      </c>
      <c r="C94" t="str">
        <f t="shared" si="8"/>
        <v>Amina Ibrahim</v>
      </c>
      <c r="D94" t="str">
        <f t="shared" si="9"/>
        <v>AMINA IBRAHIM</v>
      </c>
      <c r="E94" t="str">
        <f t="shared" si="10"/>
        <v>amina ibrahim</v>
      </c>
      <c r="F94" t="str">
        <f t="shared" si="11"/>
        <v>A</v>
      </c>
      <c r="G94" t="str">
        <f t="shared" si="12"/>
        <v>m</v>
      </c>
      <c r="H94" t="str">
        <f t="shared" si="13"/>
        <v>Amina</v>
      </c>
    </row>
    <row r="95" spans="1:8">
      <c r="A95" t="s">
        <v>18</v>
      </c>
      <c r="B95" t="str">
        <f t="shared" si="7"/>
        <v>Amina Ali</v>
      </c>
      <c r="C95" t="str">
        <f t="shared" si="8"/>
        <v>Amina Ali</v>
      </c>
      <c r="D95" t="str">
        <f t="shared" si="9"/>
        <v>AMINA ALI</v>
      </c>
      <c r="E95" t="str">
        <f t="shared" si="10"/>
        <v>amina ali</v>
      </c>
      <c r="F95" t="str">
        <f t="shared" si="11"/>
        <v>A</v>
      </c>
      <c r="G95" t="str">
        <f t="shared" si="12"/>
        <v>i</v>
      </c>
      <c r="H95" t="str">
        <f t="shared" si="13"/>
        <v>Amina</v>
      </c>
    </row>
    <row r="96" spans="1:8">
      <c r="A96" t="s">
        <v>474</v>
      </c>
      <c r="B96" t="str">
        <f t="shared" si="7"/>
        <v>Ifrah Ibrahim</v>
      </c>
      <c r="C96" t="str">
        <f t="shared" si="8"/>
        <v>Ifrah Ibrahim</v>
      </c>
      <c r="D96" t="str">
        <f t="shared" si="9"/>
        <v>IFRAH IBRAHIM</v>
      </c>
      <c r="E96" t="str">
        <f t="shared" si="10"/>
        <v>ifrah ibrahim</v>
      </c>
      <c r="F96" t="str">
        <f t="shared" si="11"/>
        <v>I</v>
      </c>
      <c r="G96" t="str">
        <f t="shared" si="12"/>
        <v>m</v>
      </c>
      <c r="H96" t="str">
        <f t="shared" si="13"/>
        <v>Ifrah</v>
      </c>
    </row>
    <row r="97" spans="1:8">
      <c r="A97" t="s">
        <v>478</v>
      </c>
      <c r="B97" t="str">
        <f t="shared" si="7"/>
        <v>AHMED OMAR</v>
      </c>
      <c r="C97" t="str">
        <f t="shared" si="8"/>
        <v>Ahmed Omar</v>
      </c>
      <c r="D97" t="str">
        <f t="shared" si="9"/>
        <v>AHMED OMAR</v>
      </c>
      <c r="E97" t="str">
        <f t="shared" si="10"/>
        <v>ahmed omar</v>
      </c>
      <c r="F97" t="str">
        <f t="shared" si="11"/>
        <v>A</v>
      </c>
      <c r="G97" t="str">
        <f t="shared" si="12"/>
        <v>R</v>
      </c>
      <c r="H97" t="str">
        <f t="shared" si="13"/>
        <v>AHMED</v>
      </c>
    </row>
    <row r="98" spans="1:8">
      <c r="A98" t="s">
        <v>483</v>
      </c>
      <c r="B98" t="str">
        <f t="shared" si="7"/>
        <v>Mohamed Nur</v>
      </c>
      <c r="C98" t="str">
        <f t="shared" si="8"/>
        <v>Mohamed Nur</v>
      </c>
      <c r="D98" t="str">
        <f t="shared" si="9"/>
        <v>MOHAMED NUR</v>
      </c>
      <c r="E98" t="str">
        <f t="shared" si="10"/>
        <v>mohamed nur</v>
      </c>
      <c r="F98" t="str">
        <f t="shared" si="11"/>
        <v>M</v>
      </c>
      <c r="G98" t="str">
        <f t="shared" si="12"/>
        <v>r</v>
      </c>
      <c r="H98" t="str">
        <f t="shared" si="13"/>
        <v>Moham</v>
      </c>
    </row>
    <row r="99" spans="1:8">
      <c r="A99" t="s">
        <v>404</v>
      </c>
      <c r="B99" t="str">
        <f t="shared" si="7"/>
        <v>Amina Abdi</v>
      </c>
      <c r="C99" t="str">
        <f t="shared" si="8"/>
        <v>Amina Abdi</v>
      </c>
      <c r="D99" t="str">
        <f t="shared" si="9"/>
        <v>AMINA ABDI</v>
      </c>
      <c r="E99" t="str">
        <f t="shared" si="10"/>
        <v>amina abdi</v>
      </c>
      <c r="F99" t="str">
        <f t="shared" si="11"/>
        <v>A</v>
      </c>
      <c r="G99" t="str">
        <f t="shared" si="12"/>
        <v>i</v>
      </c>
      <c r="H99" t="str">
        <f t="shared" si="13"/>
        <v>Amina</v>
      </c>
    </row>
    <row r="100" spans="1:8">
      <c r="A100" t="s">
        <v>492</v>
      </c>
      <c r="B100" t="str">
        <f t="shared" si="7"/>
        <v>Ali Osman</v>
      </c>
      <c r="C100" t="str">
        <f t="shared" si="8"/>
        <v>Ali Osman</v>
      </c>
      <c r="D100" t="str">
        <f t="shared" si="9"/>
        <v>ALI OSMAN</v>
      </c>
      <c r="E100" t="str">
        <f t="shared" si="10"/>
        <v>ali osman</v>
      </c>
      <c r="F100" t="str">
        <f t="shared" si="11"/>
        <v>A</v>
      </c>
      <c r="G100" t="str">
        <f t="shared" si="12"/>
        <v>n</v>
      </c>
      <c r="H100" t="str">
        <f t="shared" si="13"/>
        <v>Ali O</v>
      </c>
    </row>
    <row r="101" spans="1:8">
      <c r="A101" t="s">
        <v>70</v>
      </c>
      <c r="B101" t="str">
        <f t="shared" si="7"/>
        <v>Zahra Samatar</v>
      </c>
      <c r="C101" t="str">
        <f t="shared" si="8"/>
        <v>Zahra Samatar</v>
      </c>
      <c r="D101" t="str">
        <f t="shared" si="9"/>
        <v>ZAHRA SAMATAR</v>
      </c>
      <c r="E101" t="str">
        <f t="shared" si="10"/>
        <v>zahra samatar</v>
      </c>
      <c r="F101" t="str">
        <f t="shared" si="11"/>
        <v>Z</v>
      </c>
      <c r="G101" t="str">
        <f t="shared" si="12"/>
        <v>r</v>
      </c>
      <c r="H101" t="str">
        <f t="shared" si="13"/>
        <v>Zahra</v>
      </c>
    </row>
    <row r="102" spans="1:8">
      <c r="A102" t="s">
        <v>70</v>
      </c>
      <c r="B102" t="str">
        <f t="shared" si="7"/>
        <v>Zahra Samatar</v>
      </c>
      <c r="C102" t="str">
        <f t="shared" si="8"/>
        <v>Zahra Samatar</v>
      </c>
      <c r="D102" t="str">
        <f t="shared" si="9"/>
        <v>ZAHRA SAMATAR</v>
      </c>
      <c r="E102" t="str">
        <f t="shared" si="10"/>
        <v>zahra samatar</v>
      </c>
      <c r="F102" t="str">
        <f t="shared" si="11"/>
        <v>Z</v>
      </c>
      <c r="G102" t="str">
        <f t="shared" si="12"/>
        <v>r</v>
      </c>
      <c r="H102" t="str">
        <f t="shared" si="13"/>
        <v>Zahra</v>
      </c>
    </row>
    <row r="103" spans="1:8">
      <c r="A103" t="s">
        <v>262</v>
      </c>
      <c r="B103" t="str">
        <f t="shared" si="7"/>
        <v>Amina Dahir</v>
      </c>
      <c r="C103" t="str">
        <f t="shared" si="8"/>
        <v>Amina Dahir</v>
      </c>
      <c r="D103" t="str">
        <f t="shared" si="9"/>
        <v>AMINA DAHIR</v>
      </c>
      <c r="E103" t="str">
        <f t="shared" si="10"/>
        <v>amina dahir</v>
      </c>
      <c r="F103" t="str">
        <f t="shared" si="11"/>
        <v>A</v>
      </c>
      <c r="G103" t="str">
        <f t="shared" si="12"/>
        <v>r</v>
      </c>
      <c r="H103" t="str">
        <f t="shared" si="13"/>
        <v>Amina</v>
      </c>
    </row>
    <row r="104" spans="1:8">
      <c r="A104" t="s">
        <v>505</v>
      </c>
      <c r="B104" t="str">
        <f t="shared" si="7"/>
        <v>Maryan Sheikh</v>
      </c>
      <c r="C104" t="str">
        <f t="shared" si="8"/>
        <v>Maryan Sheikh</v>
      </c>
      <c r="D104" t="str">
        <f t="shared" si="9"/>
        <v>MARYAN SHEIKH</v>
      </c>
      <c r="E104" t="str">
        <f t="shared" si="10"/>
        <v>maryan sheikh</v>
      </c>
      <c r="F104" t="str">
        <f t="shared" si="11"/>
        <v>M</v>
      </c>
      <c r="G104" t="str">
        <f t="shared" si="12"/>
        <v>h</v>
      </c>
      <c r="H104" t="str">
        <f t="shared" si="13"/>
        <v>Marya</v>
      </c>
    </row>
    <row r="105" spans="1:8">
      <c r="A105" t="s">
        <v>510</v>
      </c>
      <c r="B105" t="str">
        <f t="shared" si="7"/>
        <v>Abdi Dahir</v>
      </c>
      <c r="C105" t="str">
        <f t="shared" si="8"/>
        <v>Abdi Dahir</v>
      </c>
      <c r="D105" t="str">
        <f t="shared" si="9"/>
        <v>ABDI DAHIR</v>
      </c>
      <c r="E105" t="str">
        <f t="shared" si="10"/>
        <v>abdi dahir</v>
      </c>
      <c r="F105" t="str">
        <f t="shared" si="11"/>
        <v>A</v>
      </c>
      <c r="G105" t="str">
        <f t="shared" si="12"/>
        <v>r</v>
      </c>
      <c r="H105" t="str">
        <f t="shared" si="13"/>
        <v xml:space="preserve">Abdi </v>
      </c>
    </row>
    <row r="106" spans="1:8">
      <c r="A106" t="s">
        <v>515</v>
      </c>
      <c r="B106" t="str">
        <f t="shared" si="7"/>
        <v>Nasra Aden</v>
      </c>
      <c r="C106" t="str">
        <f t="shared" si="8"/>
        <v>Nasra Aden</v>
      </c>
      <c r="D106" t="str">
        <f t="shared" si="9"/>
        <v>NASRA ADEN</v>
      </c>
      <c r="E106" t="str">
        <f t="shared" si="10"/>
        <v>nasra aden</v>
      </c>
      <c r="F106" t="str">
        <f t="shared" si="11"/>
        <v>N</v>
      </c>
      <c r="G106" t="str">
        <f t="shared" si="12"/>
        <v>n</v>
      </c>
      <c r="H106" t="str">
        <f t="shared" si="13"/>
        <v>Nasra</v>
      </c>
    </row>
    <row r="107" spans="1:8">
      <c r="A107" t="s">
        <v>520</v>
      </c>
      <c r="B107" t="str">
        <f t="shared" si="7"/>
        <v>Nimo Dualeh</v>
      </c>
      <c r="C107" t="str">
        <f t="shared" si="8"/>
        <v>Nimo Dualeh</v>
      </c>
      <c r="D107" t="str">
        <f t="shared" si="9"/>
        <v>NIMO DUALEH</v>
      </c>
      <c r="E107" t="str">
        <f t="shared" si="10"/>
        <v>nimo dualeh</v>
      </c>
      <c r="F107" t="str">
        <f t="shared" si="11"/>
        <v>N</v>
      </c>
      <c r="G107" t="str">
        <f t="shared" si="12"/>
        <v>h</v>
      </c>
      <c r="H107" t="str">
        <f t="shared" si="13"/>
        <v xml:space="preserve">Nimo </v>
      </c>
    </row>
    <row r="108" spans="1:8">
      <c r="A108" t="s">
        <v>525</v>
      </c>
      <c r="B108" t="str">
        <f t="shared" si="7"/>
        <v>Hodan Mohamud</v>
      </c>
      <c r="C108" t="str">
        <f t="shared" si="8"/>
        <v>Hodan Mohamud</v>
      </c>
      <c r="D108" t="str">
        <f t="shared" si="9"/>
        <v>HODAN MOHAMUD</v>
      </c>
      <c r="E108" t="str">
        <f t="shared" si="10"/>
        <v>hodan mohamud</v>
      </c>
      <c r="F108" t="str">
        <f t="shared" si="11"/>
        <v>H</v>
      </c>
      <c r="G108" t="str">
        <f t="shared" si="12"/>
        <v>d</v>
      </c>
      <c r="H108" t="str">
        <f t="shared" si="13"/>
        <v>Hodan</v>
      </c>
    </row>
    <row r="109" spans="1:8">
      <c r="A109" t="s">
        <v>530</v>
      </c>
      <c r="B109" t="str">
        <f t="shared" si="7"/>
        <v>Ahmed Dualeh</v>
      </c>
      <c r="C109" t="str">
        <f t="shared" si="8"/>
        <v>Ahmed Dualeh</v>
      </c>
      <c r="D109" t="str">
        <f t="shared" si="9"/>
        <v>AHMED DUALEH</v>
      </c>
      <c r="E109" t="str">
        <f t="shared" si="10"/>
        <v>ahmed dualeh</v>
      </c>
      <c r="F109" t="str">
        <f t="shared" si="11"/>
        <v>A</v>
      </c>
      <c r="G109" t="str">
        <f t="shared" si="12"/>
        <v>h</v>
      </c>
      <c r="H109" t="str">
        <f t="shared" si="13"/>
        <v>Ahmed</v>
      </c>
    </row>
    <row r="110" spans="1:8">
      <c r="A110" t="s">
        <v>535</v>
      </c>
      <c r="B110" t="str">
        <f t="shared" si="7"/>
        <v>Nimo Ali</v>
      </c>
      <c r="C110" t="str">
        <f t="shared" si="8"/>
        <v>Nimo Ali</v>
      </c>
      <c r="D110" t="str">
        <f t="shared" si="9"/>
        <v>NIMO ALI</v>
      </c>
      <c r="E110" t="str">
        <f t="shared" si="10"/>
        <v>nimo ali</v>
      </c>
      <c r="F110" t="str">
        <f t="shared" si="11"/>
        <v>N</v>
      </c>
      <c r="G110" t="str">
        <f t="shared" si="12"/>
        <v>i</v>
      </c>
      <c r="H110" t="str">
        <f t="shared" si="13"/>
        <v xml:space="preserve">Nimo </v>
      </c>
    </row>
    <row r="111" spans="1:8">
      <c r="A111" t="s">
        <v>541</v>
      </c>
      <c r="B111" t="str">
        <f t="shared" si="7"/>
        <v>Omar Isse</v>
      </c>
      <c r="C111" t="str">
        <f t="shared" si="8"/>
        <v>Omar Isse</v>
      </c>
      <c r="D111" t="str">
        <f t="shared" si="9"/>
        <v>OMAR ISSE</v>
      </c>
      <c r="E111" t="str">
        <f t="shared" si="10"/>
        <v>omar isse</v>
      </c>
      <c r="F111" t="str">
        <f t="shared" si="11"/>
        <v>O</v>
      </c>
      <c r="G111" t="str">
        <f t="shared" si="12"/>
        <v>e</v>
      </c>
      <c r="H111" t="str">
        <f t="shared" si="13"/>
        <v xml:space="preserve">Omar </v>
      </c>
    </row>
    <row r="112" spans="1:8">
      <c r="A112" t="s">
        <v>546</v>
      </c>
      <c r="B112" t="str">
        <f t="shared" si="7"/>
        <v>Omar Mohamud</v>
      </c>
      <c r="C112" t="str">
        <f t="shared" si="8"/>
        <v>Omar Mohamud</v>
      </c>
      <c r="D112" t="str">
        <f t="shared" si="9"/>
        <v>OMAR MOHAMUD</v>
      </c>
      <c r="E112" t="str">
        <f t="shared" si="10"/>
        <v>omar mohamud</v>
      </c>
      <c r="F112" t="str">
        <f t="shared" si="11"/>
        <v>O</v>
      </c>
      <c r="G112" t="str">
        <f t="shared" si="12"/>
        <v>d</v>
      </c>
      <c r="H112" t="str">
        <f t="shared" si="13"/>
        <v xml:space="preserve">Omar </v>
      </c>
    </row>
    <row r="113" spans="1:8">
      <c r="A113" t="s">
        <v>414</v>
      </c>
      <c r="B113" t="str">
        <f t="shared" si="7"/>
        <v>Abdi Mohamud</v>
      </c>
      <c r="C113" t="str">
        <f t="shared" si="8"/>
        <v>Abdi Mohamud</v>
      </c>
      <c r="D113" t="str">
        <f t="shared" si="9"/>
        <v>ABDI MOHAMUD</v>
      </c>
      <c r="E113" t="str">
        <f t="shared" si="10"/>
        <v>abdi mohamud</v>
      </c>
      <c r="F113" t="str">
        <f t="shared" si="11"/>
        <v>A</v>
      </c>
      <c r="G113" t="str">
        <f t="shared" si="12"/>
        <v>d</v>
      </c>
      <c r="H113" t="str">
        <f t="shared" si="13"/>
        <v xml:space="preserve">Abdi </v>
      </c>
    </row>
    <row r="114" spans="1:8">
      <c r="A114" t="s">
        <v>474</v>
      </c>
      <c r="B114" t="str">
        <f t="shared" si="7"/>
        <v>Ifrah Ibrahim</v>
      </c>
      <c r="C114" t="str">
        <f t="shared" si="8"/>
        <v>Ifrah Ibrahim</v>
      </c>
      <c r="D114" t="str">
        <f t="shared" si="9"/>
        <v>IFRAH IBRAHIM</v>
      </c>
      <c r="E114" t="str">
        <f t="shared" si="10"/>
        <v>ifrah ibrahim</v>
      </c>
      <c r="F114" t="str">
        <f t="shared" si="11"/>
        <v>I</v>
      </c>
      <c r="G114" t="str">
        <f t="shared" si="12"/>
        <v>m</v>
      </c>
      <c r="H114" t="str">
        <f t="shared" si="13"/>
        <v>Ifrah</v>
      </c>
    </row>
    <row r="115" spans="1:8">
      <c r="A115" t="s">
        <v>560</v>
      </c>
      <c r="B115" t="str">
        <f t="shared" si="7"/>
        <v>Ikram Roble</v>
      </c>
      <c r="C115" t="str">
        <f t="shared" si="8"/>
        <v>Ikram Roble</v>
      </c>
      <c r="D115" t="str">
        <f t="shared" si="9"/>
        <v>IKRAM ROBLE</v>
      </c>
      <c r="E115" t="str">
        <f t="shared" si="10"/>
        <v>ikram roble</v>
      </c>
      <c r="F115" t="str">
        <f t="shared" si="11"/>
        <v>I</v>
      </c>
      <c r="G115" t="str">
        <f t="shared" si="12"/>
        <v>e</v>
      </c>
      <c r="H115" t="str">
        <f t="shared" si="13"/>
        <v>Ikram</v>
      </c>
    </row>
    <row r="116" spans="1:8">
      <c r="A116" t="s">
        <v>450</v>
      </c>
      <c r="B116" t="str">
        <f t="shared" si="7"/>
        <v>Abdi Omar</v>
      </c>
      <c r="C116" t="str">
        <f t="shared" si="8"/>
        <v>Abdi Omar</v>
      </c>
      <c r="D116" t="str">
        <f t="shared" si="9"/>
        <v>ABDI OMAR</v>
      </c>
      <c r="E116" t="str">
        <f t="shared" si="10"/>
        <v>abdi omar</v>
      </c>
      <c r="F116" t="str">
        <f t="shared" si="11"/>
        <v>A</v>
      </c>
      <c r="G116" t="str">
        <f t="shared" si="12"/>
        <v>r</v>
      </c>
      <c r="H116" t="str">
        <f t="shared" si="13"/>
        <v xml:space="preserve">Abdi </v>
      </c>
    </row>
    <row r="117" spans="1:8">
      <c r="A117" t="s">
        <v>569</v>
      </c>
      <c r="B117" t="str">
        <f t="shared" si="7"/>
        <v>Fadumo Osman</v>
      </c>
      <c r="C117" t="str">
        <f t="shared" si="8"/>
        <v>Fadumo Osman</v>
      </c>
      <c r="D117" t="str">
        <f t="shared" si="9"/>
        <v>FADUMO OSMAN</v>
      </c>
      <c r="E117" t="str">
        <f t="shared" si="10"/>
        <v>fadumo osman</v>
      </c>
      <c r="F117" t="str">
        <f t="shared" si="11"/>
        <v>F</v>
      </c>
      <c r="G117" t="str">
        <f t="shared" si="12"/>
        <v>n</v>
      </c>
      <c r="H117" t="str">
        <f t="shared" si="13"/>
        <v>Fadum</v>
      </c>
    </row>
    <row r="118" spans="1:8">
      <c r="A118" t="s">
        <v>574</v>
      </c>
      <c r="B118" t="str">
        <f t="shared" si="7"/>
        <v>Hassan Aden</v>
      </c>
      <c r="C118" t="str">
        <f t="shared" si="8"/>
        <v>Hassan Aden</v>
      </c>
      <c r="D118" t="str">
        <f t="shared" si="9"/>
        <v>HASSAN ADEN</v>
      </c>
      <c r="E118" t="str">
        <f t="shared" si="10"/>
        <v>hassan aden</v>
      </c>
      <c r="F118" t="str">
        <f t="shared" si="11"/>
        <v>H</v>
      </c>
      <c r="G118" t="str">
        <f t="shared" si="12"/>
        <v>n</v>
      </c>
      <c r="H118" t="str">
        <f t="shared" si="13"/>
        <v>Hassa</v>
      </c>
    </row>
    <row r="119" spans="1:8">
      <c r="A119" t="s">
        <v>388</v>
      </c>
      <c r="B119" t="str">
        <f t="shared" si="7"/>
        <v>Hassan Nur</v>
      </c>
      <c r="C119" t="str">
        <f t="shared" si="8"/>
        <v>Hassan Nur</v>
      </c>
      <c r="D119" t="str">
        <f t="shared" si="9"/>
        <v>HASSAN NUR</v>
      </c>
      <c r="E119" t="str">
        <f t="shared" si="10"/>
        <v>hassan nur</v>
      </c>
      <c r="F119" t="str">
        <f t="shared" si="11"/>
        <v>H</v>
      </c>
      <c r="G119" t="str">
        <f t="shared" si="12"/>
        <v>r</v>
      </c>
      <c r="H119" t="str">
        <f t="shared" si="13"/>
        <v>Hassa</v>
      </c>
    </row>
    <row r="120" spans="1:8">
      <c r="A120" t="s">
        <v>515</v>
      </c>
      <c r="B120" t="str">
        <f t="shared" si="7"/>
        <v>Nasra Aden</v>
      </c>
      <c r="C120" t="str">
        <f t="shared" si="8"/>
        <v>Nasra Aden</v>
      </c>
      <c r="D120" t="str">
        <f t="shared" si="9"/>
        <v>NASRA ADEN</v>
      </c>
      <c r="E120" t="str">
        <f t="shared" si="10"/>
        <v>nasra aden</v>
      </c>
      <c r="F120" t="str">
        <f t="shared" si="11"/>
        <v>N</v>
      </c>
      <c r="G120" t="str">
        <f t="shared" si="12"/>
        <v>n</v>
      </c>
      <c r="H120" t="str">
        <f t="shared" si="13"/>
        <v>Nasra</v>
      </c>
    </row>
    <row r="121" spans="1:8">
      <c r="A121" t="s">
        <v>587</v>
      </c>
      <c r="B121" t="str">
        <f t="shared" si="7"/>
        <v>Abdullahi Samatar</v>
      </c>
      <c r="C121" t="str">
        <f t="shared" si="8"/>
        <v>Abdullahi Samatar</v>
      </c>
      <c r="D121" t="str">
        <f t="shared" si="9"/>
        <v>ABDULLAHI SAMATAR</v>
      </c>
      <c r="E121" t="str">
        <f t="shared" si="10"/>
        <v>abdullahi samatar</v>
      </c>
      <c r="F121" t="str">
        <f t="shared" si="11"/>
        <v>A</v>
      </c>
      <c r="G121" t="str">
        <f t="shared" si="12"/>
        <v>r</v>
      </c>
      <c r="H121" t="str">
        <f t="shared" si="13"/>
        <v>Abdul</v>
      </c>
    </row>
    <row r="122" spans="1:8">
      <c r="A122" t="s">
        <v>592</v>
      </c>
      <c r="B122" t="str">
        <f t="shared" si="7"/>
        <v>Nimo Osman</v>
      </c>
      <c r="C122" t="str">
        <f t="shared" si="8"/>
        <v>Nimo Osman</v>
      </c>
      <c r="D122" t="str">
        <f t="shared" si="9"/>
        <v>NIMO OSMAN</v>
      </c>
      <c r="E122" t="str">
        <f t="shared" si="10"/>
        <v>nimo osman</v>
      </c>
      <c r="F122" t="str">
        <f t="shared" si="11"/>
        <v>N</v>
      </c>
      <c r="G122" t="str">
        <f t="shared" si="12"/>
        <v>n</v>
      </c>
      <c r="H122" t="str">
        <f t="shared" si="13"/>
        <v xml:space="preserve">Nimo </v>
      </c>
    </row>
    <row r="123" spans="1:8">
      <c r="A123" t="s">
        <v>460</v>
      </c>
      <c r="B123" t="str">
        <f t="shared" si="7"/>
        <v>Khalid Ibrahim</v>
      </c>
      <c r="C123" t="str">
        <f t="shared" si="8"/>
        <v>Khalid Ibrahim</v>
      </c>
      <c r="D123" t="str">
        <f t="shared" si="9"/>
        <v>KHALID IBRAHIM</v>
      </c>
      <c r="E123" t="str">
        <f t="shared" si="10"/>
        <v>khalid ibrahim</v>
      </c>
      <c r="F123" t="str">
        <f t="shared" si="11"/>
        <v>K</v>
      </c>
      <c r="G123" t="str">
        <f t="shared" si="12"/>
        <v>m</v>
      </c>
      <c r="H123" t="str">
        <f t="shared" si="13"/>
        <v>Khali</v>
      </c>
    </row>
    <row r="124" spans="1:8">
      <c r="A124" t="s">
        <v>601</v>
      </c>
      <c r="B124" t="str">
        <f t="shared" si="7"/>
        <v>Nasra Samatar</v>
      </c>
      <c r="C124" t="str">
        <f t="shared" si="8"/>
        <v>Nasra Samatar</v>
      </c>
      <c r="D124" t="str">
        <f t="shared" si="9"/>
        <v>NASRA SAMATAR</v>
      </c>
      <c r="E124" t="str">
        <f t="shared" si="10"/>
        <v>nasra samatar</v>
      </c>
      <c r="F124" t="str">
        <f t="shared" si="11"/>
        <v>N</v>
      </c>
      <c r="G124" t="str">
        <f t="shared" si="12"/>
        <v>r</v>
      </c>
      <c r="H124" t="str">
        <f t="shared" si="13"/>
        <v>Nasra</v>
      </c>
    </row>
    <row r="125" spans="1:8">
      <c r="A125" t="s">
        <v>318</v>
      </c>
      <c r="B125" t="str">
        <f t="shared" si="7"/>
        <v>Mohamed Mohamud</v>
      </c>
      <c r="C125" t="str">
        <f t="shared" si="8"/>
        <v>Mohamed Mohamud</v>
      </c>
      <c r="D125" t="str">
        <f t="shared" si="9"/>
        <v>MOHAMED MOHAMUD</v>
      </c>
      <c r="E125" t="str">
        <f t="shared" si="10"/>
        <v>mohamed mohamud</v>
      </c>
      <c r="F125" t="str">
        <f t="shared" si="11"/>
        <v>M</v>
      </c>
      <c r="G125" t="str">
        <f t="shared" si="12"/>
        <v>d</v>
      </c>
      <c r="H125" t="str">
        <f t="shared" si="13"/>
        <v>Moham</v>
      </c>
    </row>
    <row r="126" spans="1:8">
      <c r="A126" t="s">
        <v>358</v>
      </c>
      <c r="B126" t="str">
        <f t="shared" si="7"/>
        <v>Omar Abdi</v>
      </c>
      <c r="C126" t="str">
        <f t="shared" si="8"/>
        <v>Omar Abdi</v>
      </c>
      <c r="D126" t="str">
        <f t="shared" si="9"/>
        <v>OMAR ABDI</v>
      </c>
      <c r="E126" t="str">
        <f t="shared" si="10"/>
        <v>omar abdi</v>
      </c>
      <c r="F126" t="str">
        <f t="shared" si="11"/>
        <v>O</v>
      </c>
      <c r="G126" t="str">
        <f t="shared" si="12"/>
        <v>i</v>
      </c>
      <c r="H126" t="str">
        <f t="shared" si="13"/>
        <v xml:space="preserve">Omar </v>
      </c>
    </row>
    <row r="127" spans="1:8">
      <c r="A127" t="s">
        <v>614</v>
      </c>
      <c r="B127" t="str">
        <f t="shared" si="7"/>
        <v>Ahmed Farah</v>
      </c>
      <c r="C127" t="str">
        <f t="shared" si="8"/>
        <v>Ahmed Farah</v>
      </c>
      <c r="D127" t="str">
        <f t="shared" si="9"/>
        <v>AHMED FARAH</v>
      </c>
      <c r="E127" t="str">
        <f t="shared" si="10"/>
        <v>ahmed farah</v>
      </c>
      <c r="F127" t="str">
        <f t="shared" si="11"/>
        <v>A</v>
      </c>
      <c r="G127" t="str">
        <f t="shared" si="12"/>
        <v>h</v>
      </c>
      <c r="H127" t="str">
        <f t="shared" si="13"/>
        <v>Ahmed</v>
      </c>
    </row>
    <row r="128" spans="1:8">
      <c r="A128" t="s">
        <v>614</v>
      </c>
      <c r="B128" t="str">
        <f t="shared" si="7"/>
        <v>Ahmed Farah</v>
      </c>
      <c r="C128" t="str">
        <f t="shared" si="8"/>
        <v>Ahmed Farah</v>
      </c>
      <c r="D128" t="str">
        <f t="shared" si="9"/>
        <v>AHMED FARAH</v>
      </c>
      <c r="E128" t="str">
        <f t="shared" si="10"/>
        <v>ahmed farah</v>
      </c>
      <c r="F128" t="str">
        <f t="shared" si="11"/>
        <v>A</v>
      </c>
      <c r="G128" t="str">
        <f t="shared" si="12"/>
        <v>h</v>
      </c>
      <c r="H128" t="str">
        <f t="shared" si="13"/>
        <v>Ahmed</v>
      </c>
    </row>
    <row r="129" spans="1:8">
      <c r="A129" t="s">
        <v>619</v>
      </c>
      <c r="B129" t="str">
        <f t="shared" si="7"/>
        <v>Nimo Roble</v>
      </c>
      <c r="C129" t="str">
        <f t="shared" si="8"/>
        <v>Nimo Roble</v>
      </c>
      <c r="D129" t="str">
        <f t="shared" si="9"/>
        <v>NIMO ROBLE</v>
      </c>
      <c r="E129" t="str">
        <f t="shared" si="10"/>
        <v>nimo roble</v>
      </c>
      <c r="F129" t="str">
        <f t="shared" si="11"/>
        <v>N</v>
      </c>
      <c r="G129" t="str">
        <f t="shared" si="12"/>
        <v>e</v>
      </c>
      <c r="H129" t="str">
        <f t="shared" si="13"/>
        <v xml:space="preserve">Nimo </v>
      </c>
    </row>
    <row r="130" spans="1:8">
      <c r="A130" t="s">
        <v>624</v>
      </c>
      <c r="B130" t="str">
        <f t="shared" si="7"/>
        <v>Ikram Osman</v>
      </c>
      <c r="C130" t="str">
        <f t="shared" si="8"/>
        <v>Ikram Osman</v>
      </c>
      <c r="D130" t="str">
        <f t="shared" si="9"/>
        <v>IKRAM OSMAN</v>
      </c>
      <c r="E130" t="str">
        <f t="shared" si="10"/>
        <v>ikram osman</v>
      </c>
      <c r="F130" t="str">
        <f t="shared" si="11"/>
        <v>I</v>
      </c>
      <c r="G130" t="str">
        <f t="shared" si="12"/>
        <v>n</v>
      </c>
      <c r="H130" t="str">
        <f t="shared" si="13"/>
        <v>Ikram</v>
      </c>
    </row>
    <row r="131" spans="1:8">
      <c r="A131" t="s">
        <v>629</v>
      </c>
      <c r="B131" t="str">
        <f t="shared" ref="B131:B194" si="14">TRIM(A131)</f>
        <v>Ifrah Omar</v>
      </c>
      <c r="C131" t="str">
        <f t="shared" ref="C131:C194" si="15">PROPER(A131)</f>
        <v>Ifrah Omar</v>
      </c>
      <c r="D131" t="str">
        <f t="shared" ref="D131:D194" si="16">UPPER(A131)</f>
        <v>IFRAH OMAR</v>
      </c>
      <c r="E131" t="str">
        <f t="shared" ref="E131:E194" si="17">LOWER(A131)</f>
        <v>ifrah omar</v>
      </c>
      <c r="F131" t="str">
        <f t="shared" ref="F131:F194" si="18">LEFT(A131)</f>
        <v>I</v>
      </c>
      <c r="G131" t="str">
        <f t="shared" ref="G131:G194" si="19">RIGHT(A131)</f>
        <v>r</v>
      </c>
      <c r="H131" t="str">
        <f t="shared" ref="H131:H194" si="20">MID(A131,1,5)</f>
        <v>Ifrah</v>
      </c>
    </row>
    <row r="132" spans="1:8">
      <c r="A132" t="s">
        <v>634</v>
      </c>
      <c r="B132" t="str">
        <f t="shared" si="14"/>
        <v>Zahra Yusuf</v>
      </c>
      <c r="C132" t="str">
        <f t="shared" si="15"/>
        <v>Zahra Yusuf</v>
      </c>
      <c r="D132" t="str">
        <f t="shared" si="16"/>
        <v>ZAHRA YUSUF</v>
      </c>
      <c r="E132" t="str">
        <f t="shared" si="17"/>
        <v>zahra yusuf</v>
      </c>
      <c r="F132" t="str">
        <f t="shared" si="18"/>
        <v>Z</v>
      </c>
      <c r="G132" t="str">
        <f t="shared" si="19"/>
        <v>f</v>
      </c>
      <c r="H132" t="str">
        <f t="shared" si="20"/>
        <v>Zahra</v>
      </c>
    </row>
    <row r="133" spans="1:8">
      <c r="A133" t="s">
        <v>639</v>
      </c>
      <c r="B133" t="str">
        <f t="shared" si="14"/>
        <v>Hodan Warsame</v>
      </c>
      <c r="C133" t="str">
        <f t="shared" si="15"/>
        <v>Hodan Warsame</v>
      </c>
      <c r="D133" t="str">
        <f t="shared" si="16"/>
        <v>HODAN WARSAME</v>
      </c>
      <c r="E133" t="str">
        <f t="shared" si="17"/>
        <v>hodan warsame</v>
      </c>
      <c r="F133" t="str">
        <f t="shared" si="18"/>
        <v>H</v>
      </c>
      <c r="G133" t="str">
        <f t="shared" si="19"/>
        <v>e</v>
      </c>
      <c r="H133" t="str">
        <f t="shared" si="20"/>
        <v>Hodan</v>
      </c>
    </row>
    <row r="134" spans="1:8">
      <c r="A134" t="s">
        <v>644</v>
      </c>
      <c r="B134" t="str">
        <f t="shared" si="14"/>
        <v>Omar Farah</v>
      </c>
      <c r="C134" t="str">
        <f t="shared" si="15"/>
        <v>Omar Farah</v>
      </c>
      <c r="D134" t="str">
        <f t="shared" si="16"/>
        <v>OMAR FARAH</v>
      </c>
      <c r="E134" t="str">
        <f t="shared" si="17"/>
        <v>omar farah</v>
      </c>
      <c r="F134" t="str">
        <f t="shared" si="18"/>
        <v>O</v>
      </c>
      <c r="G134" t="str">
        <f t="shared" si="19"/>
        <v>h</v>
      </c>
      <c r="H134" t="str">
        <f t="shared" si="20"/>
        <v xml:space="preserve">Omar </v>
      </c>
    </row>
    <row r="135" spans="1:8">
      <c r="A135" t="s">
        <v>649</v>
      </c>
      <c r="B135" t="str">
        <f t="shared" si="14"/>
        <v>Ali Hassan</v>
      </c>
      <c r="C135" t="str">
        <f t="shared" si="15"/>
        <v>Ali Hassan</v>
      </c>
      <c r="D135" t="str">
        <f t="shared" si="16"/>
        <v>ALI HASSAN</v>
      </c>
      <c r="E135" t="str">
        <f t="shared" si="17"/>
        <v>ali hassan</v>
      </c>
      <c r="F135" t="str">
        <f t="shared" si="18"/>
        <v>A</v>
      </c>
      <c r="G135" t="str">
        <f t="shared" si="19"/>
        <v>n</v>
      </c>
      <c r="H135" t="str">
        <f t="shared" si="20"/>
        <v>Ali H</v>
      </c>
    </row>
    <row r="136" spans="1:8">
      <c r="A136" t="s">
        <v>654</v>
      </c>
      <c r="B136" t="str">
        <f t="shared" si="14"/>
        <v>Khalid Roble</v>
      </c>
      <c r="C136" t="str">
        <f t="shared" si="15"/>
        <v>Khalid Roble</v>
      </c>
      <c r="D136" t="str">
        <f t="shared" si="16"/>
        <v>KHALID ROBLE</v>
      </c>
      <c r="E136" t="str">
        <f t="shared" si="17"/>
        <v>khalid roble</v>
      </c>
      <c r="F136" t="str">
        <f t="shared" si="18"/>
        <v>K</v>
      </c>
      <c r="G136" t="str">
        <f t="shared" si="19"/>
        <v>e</v>
      </c>
      <c r="H136" t="str">
        <f t="shared" si="20"/>
        <v>Khali</v>
      </c>
    </row>
    <row r="137" spans="1:8">
      <c r="A137" t="s">
        <v>659</v>
      </c>
      <c r="B137" t="str">
        <f t="shared" si="14"/>
        <v>Mohamed Jama</v>
      </c>
      <c r="C137" t="str">
        <f t="shared" si="15"/>
        <v>Mohamed Jama</v>
      </c>
      <c r="D137" t="str">
        <f t="shared" si="16"/>
        <v>MOHAMED JAMA</v>
      </c>
      <c r="E137" t="str">
        <f t="shared" si="17"/>
        <v>mohamed jama</v>
      </c>
      <c r="F137" t="str">
        <f t="shared" si="18"/>
        <v>M</v>
      </c>
      <c r="G137" t="str">
        <f t="shared" si="19"/>
        <v>a</v>
      </c>
      <c r="H137" t="str">
        <f t="shared" si="20"/>
        <v>Moham</v>
      </c>
    </row>
    <row r="138" spans="1:8">
      <c r="A138" t="s">
        <v>664</v>
      </c>
      <c r="B138" t="str">
        <f t="shared" si="14"/>
        <v>NASRA OSMAN</v>
      </c>
      <c r="C138" t="str">
        <f t="shared" si="15"/>
        <v>Nasra Osman</v>
      </c>
      <c r="D138" t="str">
        <f t="shared" si="16"/>
        <v>NASRA OSMAN</v>
      </c>
      <c r="E138" t="str">
        <f t="shared" si="17"/>
        <v>nasra osman</v>
      </c>
      <c r="F138" t="str">
        <f t="shared" si="18"/>
        <v>N</v>
      </c>
      <c r="G138" t="str">
        <f t="shared" si="19"/>
        <v>N</v>
      </c>
      <c r="H138" t="str">
        <f t="shared" si="20"/>
        <v>NASRA</v>
      </c>
    </row>
    <row r="139" spans="1:8">
      <c r="A139" t="s">
        <v>669</v>
      </c>
      <c r="B139" t="str">
        <f t="shared" si="14"/>
        <v>Abdi Muse</v>
      </c>
      <c r="C139" t="str">
        <f t="shared" si="15"/>
        <v>Abdi Muse</v>
      </c>
      <c r="D139" t="str">
        <f t="shared" si="16"/>
        <v>ABDI MUSE</v>
      </c>
      <c r="E139" t="str">
        <f t="shared" si="17"/>
        <v>abdi muse</v>
      </c>
      <c r="F139" t="str">
        <f t="shared" si="18"/>
        <v>A</v>
      </c>
      <c r="G139" t="str">
        <f t="shared" si="19"/>
        <v>e</v>
      </c>
      <c r="H139" t="str">
        <f t="shared" si="20"/>
        <v xml:space="preserve">Abdi </v>
      </c>
    </row>
    <row r="140" spans="1:8">
      <c r="A140" t="s">
        <v>187</v>
      </c>
      <c r="B140" t="str">
        <f t="shared" si="14"/>
        <v>Amina Farah</v>
      </c>
      <c r="C140" t="str">
        <f t="shared" si="15"/>
        <v>Amina Farah</v>
      </c>
      <c r="D140" t="str">
        <f t="shared" si="16"/>
        <v>AMINA FARAH</v>
      </c>
      <c r="E140" t="str">
        <f t="shared" si="17"/>
        <v>amina farah</v>
      </c>
      <c r="F140" t="str">
        <f t="shared" si="18"/>
        <v>A</v>
      </c>
      <c r="G140" t="str">
        <f t="shared" si="19"/>
        <v>h</v>
      </c>
      <c r="H140" t="str">
        <f t="shared" si="20"/>
        <v>Amina</v>
      </c>
    </row>
    <row r="141" spans="1:8">
      <c r="A141" t="s">
        <v>679</v>
      </c>
      <c r="B141" t="str">
        <f t="shared" si="14"/>
        <v>Khalid Isse</v>
      </c>
      <c r="C141" t="str">
        <f t="shared" si="15"/>
        <v>Khalid Isse</v>
      </c>
      <c r="D141" t="str">
        <f t="shared" si="16"/>
        <v>KHALID ISSE</v>
      </c>
      <c r="E141" t="str">
        <f t="shared" si="17"/>
        <v>khalid isse</v>
      </c>
      <c r="F141" t="str">
        <f t="shared" si="18"/>
        <v>K</v>
      </c>
      <c r="G141" t="str">
        <f t="shared" si="19"/>
        <v>e</v>
      </c>
      <c r="H141" t="str">
        <f t="shared" si="20"/>
        <v>Khali</v>
      </c>
    </row>
    <row r="142" spans="1:8">
      <c r="A142" t="s">
        <v>569</v>
      </c>
      <c r="B142" t="str">
        <f t="shared" si="14"/>
        <v>Fadumo Osman</v>
      </c>
      <c r="C142" t="str">
        <f t="shared" si="15"/>
        <v>Fadumo Osman</v>
      </c>
      <c r="D142" t="str">
        <f t="shared" si="16"/>
        <v>FADUMO OSMAN</v>
      </c>
      <c r="E142" t="str">
        <f t="shared" si="17"/>
        <v>fadumo osman</v>
      </c>
      <c r="F142" t="str">
        <f t="shared" si="18"/>
        <v>F</v>
      </c>
      <c r="G142" t="str">
        <f t="shared" si="19"/>
        <v>n</v>
      </c>
      <c r="H142" t="str">
        <f t="shared" si="20"/>
        <v>Fadum</v>
      </c>
    </row>
    <row r="143" spans="1:8">
      <c r="A143" t="s">
        <v>688</v>
      </c>
      <c r="B143" t="str">
        <f t="shared" si="14"/>
        <v>Abdi Roble</v>
      </c>
      <c r="C143" t="str">
        <f t="shared" si="15"/>
        <v>Abdi Roble</v>
      </c>
      <c r="D143" t="str">
        <f t="shared" si="16"/>
        <v>ABDI ROBLE</v>
      </c>
      <c r="E143" t="str">
        <f t="shared" si="17"/>
        <v>abdi roble</v>
      </c>
      <c r="F143" t="str">
        <f t="shared" si="18"/>
        <v>A</v>
      </c>
      <c r="G143" t="str">
        <f t="shared" si="19"/>
        <v>e</v>
      </c>
      <c r="H143" t="str">
        <f t="shared" si="20"/>
        <v xml:space="preserve">Abdi </v>
      </c>
    </row>
    <row r="144" spans="1:8">
      <c r="A144" t="s">
        <v>420</v>
      </c>
      <c r="B144" t="str">
        <f t="shared" si="14"/>
        <v>Mohamed Ibrahim</v>
      </c>
      <c r="C144" t="str">
        <f t="shared" si="15"/>
        <v>Mohamed Ibrahim</v>
      </c>
      <c r="D144" t="str">
        <f t="shared" si="16"/>
        <v>MOHAMED IBRAHIM</v>
      </c>
      <c r="E144" t="str">
        <f t="shared" si="17"/>
        <v>mohamed ibrahim</v>
      </c>
      <c r="F144" t="str">
        <f t="shared" si="18"/>
        <v>M</v>
      </c>
      <c r="G144" t="str">
        <f t="shared" si="19"/>
        <v>m</v>
      </c>
      <c r="H144" t="str">
        <f t="shared" si="20"/>
        <v>Moham</v>
      </c>
    </row>
    <row r="145" spans="1:8">
      <c r="A145" t="s">
        <v>698</v>
      </c>
      <c r="B145" t="str">
        <f t="shared" si="14"/>
        <v>Zahra Farah</v>
      </c>
      <c r="C145" t="str">
        <f t="shared" si="15"/>
        <v>Zahra Farah</v>
      </c>
      <c r="D145" t="str">
        <f t="shared" si="16"/>
        <v>ZAHRA FARAH</v>
      </c>
      <c r="E145" t="str">
        <f t="shared" si="17"/>
        <v>zahra farah</v>
      </c>
      <c r="F145" t="str">
        <f t="shared" si="18"/>
        <v>Z</v>
      </c>
      <c r="G145" t="str">
        <f t="shared" si="19"/>
        <v>h</v>
      </c>
      <c r="H145" t="str">
        <f t="shared" si="20"/>
        <v>Zahra</v>
      </c>
    </row>
    <row r="146" spans="1:8">
      <c r="A146" t="s">
        <v>703</v>
      </c>
      <c r="B146" t="str">
        <f t="shared" si="14"/>
        <v>Omar Dahir</v>
      </c>
      <c r="C146" t="str">
        <f t="shared" si="15"/>
        <v>Omar Dahir</v>
      </c>
      <c r="D146" t="str">
        <f t="shared" si="16"/>
        <v>OMAR DAHIR</v>
      </c>
      <c r="E146" t="str">
        <f t="shared" si="17"/>
        <v>omar dahir</v>
      </c>
      <c r="F146" t="str">
        <f t="shared" si="18"/>
        <v>O</v>
      </c>
      <c r="G146" t="str">
        <f t="shared" si="19"/>
        <v>r</v>
      </c>
      <c r="H146" t="str">
        <f t="shared" si="20"/>
        <v xml:space="preserve">Omar </v>
      </c>
    </row>
    <row r="147" spans="1:8">
      <c r="A147" t="s">
        <v>308</v>
      </c>
      <c r="B147" t="str">
        <f t="shared" si="14"/>
        <v>Zahra Aden</v>
      </c>
      <c r="C147" t="str">
        <f t="shared" si="15"/>
        <v>Zahra Aden</v>
      </c>
      <c r="D147" t="str">
        <f t="shared" si="16"/>
        <v>ZAHRA ADEN</v>
      </c>
      <c r="E147" t="str">
        <f t="shared" si="17"/>
        <v>zahra aden</v>
      </c>
      <c r="F147" t="str">
        <f t="shared" si="18"/>
        <v>Z</v>
      </c>
      <c r="G147" t="str">
        <f t="shared" si="19"/>
        <v>n</v>
      </c>
      <c r="H147" t="str">
        <f t="shared" si="20"/>
        <v>Zahra</v>
      </c>
    </row>
    <row r="148" spans="1:8">
      <c r="A148" t="s">
        <v>712</v>
      </c>
      <c r="B148" t="str">
        <f t="shared" si="14"/>
        <v>Khalid Warsame</v>
      </c>
      <c r="C148" t="str">
        <f t="shared" si="15"/>
        <v>Khalid Warsame</v>
      </c>
      <c r="D148" t="str">
        <f t="shared" si="16"/>
        <v>KHALID WARSAME</v>
      </c>
      <c r="E148" t="str">
        <f t="shared" si="17"/>
        <v>khalid warsame</v>
      </c>
      <c r="F148" t="str">
        <f t="shared" si="18"/>
        <v>K</v>
      </c>
      <c r="G148" t="str">
        <f t="shared" si="19"/>
        <v>e</v>
      </c>
      <c r="H148" t="str">
        <f t="shared" si="20"/>
        <v>Khali</v>
      </c>
    </row>
    <row r="149" spans="1:8">
      <c r="A149" t="s">
        <v>717</v>
      </c>
      <c r="B149" t="str">
        <f t="shared" si="14"/>
        <v>Maryan Ibrahim</v>
      </c>
      <c r="C149" t="str">
        <f t="shared" si="15"/>
        <v>Maryan Ibrahim</v>
      </c>
      <c r="D149" t="str">
        <f t="shared" si="16"/>
        <v>MARYAN IBRAHIM</v>
      </c>
      <c r="E149" t="str">
        <f t="shared" si="17"/>
        <v>maryan ibrahim</v>
      </c>
      <c r="F149" t="str">
        <f t="shared" si="18"/>
        <v>M</v>
      </c>
      <c r="G149" t="str">
        <f t="shared" si="19"/>
        <v>m</v>
      </c>
      <c r="H149" t="str">
        <f t="shared" si="20"/>
        <v>Marya</v>
      </c>
    </row>
    <row r="150" spans="1:8">
      <c r="A150" t="s">
        <v>703</v>
      </c>
      <c r="B150" t="str">
        <f t="shared" si="14"/>
        <v>Omar Dahir</v>
      </c>
      <c r="C150" t="str">
        <f t="shared" si="15"/>
        <v>Omar Dahir</v>
      </c>
      <c r="D150" t="str">
        <f t="shared" si="16"/>
        <v>OMAR DAHIR</v>
      </c>
      <c r="E150" t="str">
        <f t="shared" si="17"/>
        <v>omar dahir</v>
      </c>
      <c r="F150" t="str">
        <f t="shared" si="18"/>
        <v>O</v>
      </c>
      <c r="G150" t="str">
        <f t="shared" si="19"/>
        <v>r</v>
      </c>
      <c r="H150" t="str">
        <f t="shared" si="20"/>
        <v xml:space="preserve">Omar </v>
      </c>
    </row>
    <row r="151" spans="1:8">
      <c r="A151" t="s">
        <v>726</v>
      </c>
      <c r="B151" t="str">
        <f t="shared" si="14"/>
        <v>Abdullahi Ibrahim</v>
      </c>
      <c r="C151" t="str">
        <f t="shared" si="15"/>
        <v>Abdullahi Ibrahim</v>
      </c>
      <c r="D151" t="str">
        <f t="shared" si="16"/>
        <v>ABDULLAHI IBRAHIM</v>
      </c>
      <c r="E151" t="str">
        <f t="shared" si="17"/>
        <v>abdullahi ibrahim</v>
      </c>
      <c r="F151" t="str">
        <f t="shared" si="18"/>
        <v>A</v>
      </c>
      <c r="G151" t="str">
        <f t="shared" si="19"/>
        <v>m</v>
      </c>
      <c r="H151" t="str">
        <f t="shared" si="20"/>
        <v>Abdul</v>
      </c>
    </row>
    <row r="152" spans="1:8">
      <c r="A152" t="s">
        <v>731</v>
      </c>
      <c r="B152" t="str">
        <f t="shared" si="14"/>
        <v>Nimo Nur</v>
      </c>
      <c r="C152" t="str">
        <f t="shared" si="15"/>
        <v>Nimo Nur</v>
      </c>
      <c r="D152" t="str">
        <f t="shared" si="16"/>
        <v>NIMO NUR</v>
      </c>
      <c r="E152" t="str">
        <f t="shared" si="17"/>
        <v>nimo nur</v>
      </c>
      <c r="F152" t="str">
        <f t="shared" si="18"/>
        <v>N</v>
      </c>
      <c r="G152" t="str">
        <f t="shared" si="19"/>
        <v>r</v>
      </c>
      <c r="H152" t="str">
        <f t="shared" si="20"/>
        <v xml:space="preserve">Nimo </v>
      </c>
    </row>
    <row r="153" spans="1:8">
      <c r="A153" t="s">
        <v>736</v>
      </c>
      <c r="B153" t="str">
        <f t="shared" si="14"/>
        <v>Hassan Muse</v>
      </c>
      <c r="C153" t="str">
        <f t="shared" si="15"/>
        <v>Hassan Muse</v>
      </c>
      <c r="D153" t="str">
        <f t="shared" si="16"/>
        <v>HASSAN MUSE</v>
      </c>
      <c r="E153" t="str">
        <f t="shared" si="17"/>
        <v>hassan muse</v>
      </c>
      <c r="F153" t="str">
        <f t="shared" si="18"/>
        <v>H</v>
      </c>
      <c r="G153" t="str">
        <f t="shared" si="19"/>
        <v>e</v>
      </c>
      <c r="H153" t="str">
        <f t="shared" si="20"/>
        <v>Hassa</v>
      </c>
    </row>
    <row r="154" spans="1:8">
      <c r="A154" t="s">
        <v>741</v>
      </c>
      <c r="B154" t="str">
        <f t="shared" si="14"/>
        <v>Abdullahi Nur</v>
      </c>
      <c r="C154" t="str">
        <f t="shared" si="15"/>
        <v>Abdullahi Nur</v>
      </c>
      <c r="D154" t="str">
        <f t="shared" si="16"/>
        <v>ABDULLAHI NUR</v>
      </c>
      <c r="E154" t="str">
        <f t="shared" si="17"/>
        <v>abdullahi nur</v>
      </c>
      <c r="F154" t="str">
        <f t="shared" si="18"/>
        <v>A</v>
      </c>
      <c r="G154" t="str">
        <f t="shared" si="19"/>
        <v>r</v>
      </c>
      <c r="H154" t="str">
        <f t="shared" si="20"/>
        <v>Abdul</v>
      </c>
    </row>
    <row r="155" spans="1:8">
      <c r="A155" t="s">
        <v>746</v>
      </c>
      <c r="B155" t="str">
        <f t="shared" si="14"/>
        <v>Ifrah Dahir</v>
      </c>
      <c r="C155" t="str">
        <f t="shared" si="15"/>
        <v>Ifrah Dahir</v>
      </c>
      <c r="D155" t="str">
        <f t="shared" si="16"/>
        <v>IFRAH DAHIR</v>
      </c>
      <c r="E155" t="str">
        <f t="shared" si="17"/>
        <v>ifrah dahir</v>
      </c>
      <c r="F155" t="str">
        <f t="shared" si="18"/>
        <v>I</v>
      </c>
      <c r="G155" t="str">
        <f t="shared" si="19"/>
        <v>r</v>
      </c>
      <c r="H155" t="str">
        <f t="shared" si="20"/>
        <v>Ifrah</v>
      </c>
    </row>
    <row r="156" spans="1:8">
      <c r="A156" t="s">
        <v>751</v>
      </c>
      <c r="B156" t="str">
        <f t="shared" si="14"/>
        <v>Mahad Dahir</v>
      </c>
      <c r="C156" t="str">
        <f t="shared" si="15"/>
        <v>Mahad Dahir</v>
      </c>
      <c r="D156" t="str">
        <f t="shared" si="16"/>
        <v>MAHAD DAHIR</v>
      </c>
      <c r="E156" t="str">
        <f t="shared" si="17"/>
        <v>mahad dahir</v>
      </c>
      <c r="F156" t="str">
        <f t="shared" si="18"/>
        <v>M</v>
      </c>
      <c r="G156" t="str">
        <f t="shared" si="19"/>
        <v>r</v>
      </c>
      <c r="H156" t="str">
        <f t="shared" si="20"/>
        <v>Mahad</v>
      </c>
    </row>
    <row r="157" spans="1:8">
      <c r="A157" t="s">
        <v>756</v>
      </c>
      <c r="B157" t="str">
        <f t="shared" si="14"/>
        <v>Hodan Dahir</v>
      </c>
      <c r="C157" t="str">
        <f t="shared" si="15"/>
        <v>Hodan Dahir</v>
      </c>
      <c r="D157" t="str">
        <f t="shared" si="16"/>
        <v>HODAN DAHIR</v>
      </c>
      <c r="E157" t="str">
        <f t="shared" si="17"/>
        <v>hodan dahir</v>
      </c>
      <c r="F157" t="str">
        <f t="shared" si="18"/>
        <v>H</v>
      </c>
      <c r="G157" t="str">
        <f t="shared" si="19"/>
        <v>r</v>
      </c>
      <c r="H157" t="str">
        <f t="shared" si="20"/>
        <v>Hodan</v>
      </c>
    </row>
    <row r="158" spans="1:8">
      <c r="A158" t="s">
        <v>629</v>
      </c>
      <c r="B158" t="str">
        <f t="shared" si="14"/>
        <v>Ifrah Omar</v>
      </c>
      <c r="C158" t="str">
        <f t="shared" si="15"/>
        <v>Ifrah Omar</v>
      </c>
      <c r="D158" t="str">
        <f t="shared" si="16"/>
        <v>IFRAH OMAR</v>
      </c>
      <c r="E158" t="str">
        <f t="shared" si="17"/>
        <v>ifrah omar</v>
      </c>
      <c r="F158" t="str">
        <f t="shared" si="18"/>
        <v>I</v>
      </c>
      <c r="G158" t="str">
        <f t="shared" si="19"/>
        <v>r</v>
      </c>
      <c r="H158" t="str">
        <f t="shared" si="20"/>
        <v>Ifrah</v>
      </c>
    </row>
    <row r="159" spans="1:8">
      <c r="A159" t="s">
        <v>765</v>
      </c>
      <c r="B159" t="str">
        <f t="shared" si="14"/>
        <v>Omar Samatar</v>
      </c>
      <c r="C159" t="str">
        <f t="shared" si="15"/>
        <v>Omar Samatar</v>
      </c>
      <c r="D159" t="str">
        <f t="shared" si="16"/>
        <v>OMAR SAMATAR</v>
      </c>
      <c r="E159" t="str">
        <f t="shared" si="17"/>
        <v>omar samatar</v>
      </c>
      <c r="F159" t="str">
        <f t="shared" si="18"/>
        <v>O</v>
      </c>
      <c r="G159" t="str">
        <f t="shared" si="19"/>
        <v>r</v>
      </c>
      <c r="H159" t="str">
        <f t="shared" si="20"/>
        <v xml:space="preserve">Omar </v>
      </c>
    </row>
    <row r="160" spans="1:8">
      <c r="A160" t="s">
        <v>770</v>
      </c>
      <c r="B160" t="str">
        <f t="shared" si="14"/>
        <v>Sahra Warsame</v>
      </c>
      <c r="C160" t="str">
        <f t="shared" si="15"/>
        <v>Sahra Warsame</v>
      </c>
      <c r="D160" t="str">
        <f t="shared" si="16"/>
        <v>SAHRA WARSAME</v>
      </c>
      <c r="E160" t="str">
        <f t="shared" si="17"/>
        <v>sahra warsame</v>
      </c>
      <c r="F160" t="str">
        <f t="shared" si="18"/>
        <v>S</v>
      </c>
      <c r="G160" t="str">
        <f t="shared" si="19"/>
        <v>e</v>
      </c>
      <c r="H160" t="str">
        <f t="shared" si="20"/>
        <v>Sahra</v>
      </c>
    </row>
    <row r="161" spans="1:8">
      <c r="A161" t="s">
        <v>775</v>
      </c>
      <c r="B161" t="str">
        <f t="shared" si="14"/>
        <v>Sahra Omar</v>
      </c>
      <c r="C161" t="str">
        <f t="shared" si="15"/>
        <v>Sahra Omar</v>
      </c>
      <c r="D161" t="str">
        <f t="shared" si="16"/>
        <v>SAHRA OMAR</v>
      </c>
      <c r="E161" t="str">
        <f t="shared" si="17"/>
        <v>sahra omar</v>
      </c>
      <c r="F161" t="str">
        <f t="shared" si="18"/>
        <v>S</v>
      </c>
      <c r="G161" t="str">
        <f t="shared" si="19"/>
        <v>r</v>
      </c>
      <c r="H161" t="str">
        <f t="shared" si="20"/>
        <v>Sahra</v>
      </c>
    </row>
    <row r="162" spans="1:8">
      <c r="A162" t="s">
        <v>698</v>
      </c>
      <c r="B162" t="str">
        <f t="shared" si="14"/>
        <v>Zahra Farah</v>
      </c>
      <c r="C162" t="str">
        <f t="shared" si="15"/>
        <v>Zahra Farah</v>
      </c>
      <c r="D162" t="str">
        <f t="shared" si="16"/>
        <v>ZAHRA FARAH</v>
      </c>
      <c r="E162" t="str">
        <f t="shared" si="17"/>
        <v>zahra farah</v>
      </c>
      <c r="F162" t="str">
        <f t="shared" si="18"/>
        <v>Z</v>
      </c>
      <c r="G162" t="str">
        <f t="shared" si="19"/>
        <v>h</v>
      </c>
      <c r="H162" t="str">
        <f t="shared" si="20"/>
        <v>Zahra</v>
      </c>
    </row>
    <row r="163" spans="1:8">
      <c r="A163" t="s">
        <v>784</v>
      </c>
      <c r="B163" t="str">
        <f t="shared" si="14"/>
        <v>Omar Dualeh</v>
      </c>
      <c r="C163" t="str">
        <f t="shared" si="15"/>
        <v>Omar Dualeh</v>
      </c>
      <c r="D163" t="str">
        <f t="shared" si="16"/>
        <v>OMAR DUALEH</v>
      </c>
      <c r="E163" t="str">
        <f t="shared" si="17"/>
        <v>omar dualeh</v>
      </c>
      <c r="F163" t="str">
        <f t="shared" si="18"/>
        <v>O</v>
      </c>
      <c r="G163" t="str">
        <f t="shared" si="19"/>
        <v>h</v>
      </c>
      <c r="H163" t="str">
        <f t="shared" si="20"/>
        <v xml:space="preserve">Omar </v>
      </c>
    </row>
    <row r="164" spans="1:8">
      <c r="A164" t="s">
        <v>790</v>
      </c>
      <c r="B164" t="str">
        <f t="shared" si="14"/>
        <v>Omar Aden</v>
      </c>
      <c r="C164" t="str">
        <f t="shared" si="15"/>
        <v>Omar Aden</v>
      </c>
      <c r="D164" t="str">
        <f t="shared" si="16"/>
        <v>OMAR ADEN</v>
      </c>
      <c r="E164" t="str">
        <f t="shared" si="17"/>
        <v>omar aden</v>
      </c>
      <c r="F164" t="str">
        <f t="shared" si="18"/>
        <v>O</v>
      </c>
      <c r="G164" t="str">
        <f t="shared" si="19"/>
        <v>n</v>
      </c>
      <c r="H164" t="str">
        <f t="shared" si="20"/>
        <v xml:space="preserve">Omar </v>
      </c>
    </row>
    <row r="165" spans="1:8">
      <c r="A165" t="s">
        <v>795</v>
      </c>
      <c r="B165" t="str">
        <f t="shared" si="14"/>
        <v>Hodan Jama</v>
      </c>
      <c r="C165" t="str">
        <f t="shared" si="15"/>
        <v>Hodan Jama</v>
      </c>
      <c r="D165" t="str">
        <f t="shared" si="16"/>
        <v>HODAN JAMA</v>
      </c>
      <c r="E165" t="str">
        <f t="shared" si="17"/>
        <v>hodan jama</v>
      </c>
      <c r="F165" t="str">
        <f t="shared" si="18"/>
        <v>H</v>
      </c>
      <c r="G165" t="str">
        <f t="shared" si="19"/>
        <v>a</v>
      </c>
      <c r="H165" t="str">
        <f t="shared" si="20"/>
        <v>Hodan</v>
      </c>
    </row>
    <row r="166" spans="1:8">
      <c r="A166" t="s">
        <v>800</v>
      </c>
      <c r="B166" t="str">
        <f t="shared" si="14"/>
        <v>Zahra Muse</v>
      </c>
      <c r="C166" t="str">
        <f t="shared" si="15"/>
        <v>Zahra Muse</v>
      </c>
      <c r="D166" t="str">
        <f t="shared" si="16"/>
        <v>ZAHRA MUSE</v>
      </c>
      <c r="E166" t="str">
        <f t="shared" si="17"/>
        <v>zahra muse</v>
      </c>
      <c r="F166" t="str">
        <f t="shared" si="18"/>
        <v>Z</v>
      </c>
      <c r="G166" t="str">
        <f t="shared" si="19"/>
        <v>e</v>
      </c>
      <c r="H166" t="str">
        <f t="shared" si="20"/>
        <v>Zahra</v>
      </c>
    </row>
    <row r="167" spans="1:8">
      <c r="A167" t="s">
        <v>805</v>
      </c>
      <c r="B167" t="str">
        <f t="shared" si="14"/>
        <v>Ahmed Yusuf</v>
      </c>
      <c r="C167" t="str">
        <f t="shared" si="15"/>
        <v>Ahmed Yusuf</v>
      </c>
      <c r="D167" t="str">
        <f t="shared" si="16"/>
        <v>AHMED YUSUF</v>
      </c>
      <c r="E167" t="str">
        <f t="shared" si="17"/>
        <v>ahmed yusuf</v>
      </c>
      <c r="F167" t="str">
        <f t="shared" si="18"/>
        <v>A</v>
      </c>
      <c r="G167" t="str">
        <f t="shared" si="19"/>
        <v>f</v>
      </c>
      <c r="H167" t="str">
        <f t="shared" si="20"/>
        <v>Ahmed</v>
      </c>
    </row>
    <row r="168" spans="1:8">
      <c r="A168" t="s">
        <v>141</v>
      </c>
      <c r="B168" t="str">
        <f t="shared" si="14"/>
        <v>Hassan Abdi</v>
      </c>
      <c r="C168" t="str">
        <f t="shared" si="15"/>
        <v>Hassan Abdi</v>
      </c>
      <c r="D168" t="str">
        <f t="shared" si="16"/>
        <v>HASSAN ABDI</v>
      </c>
      <c r="E168" t="str">
        <f t="shared" si="17"/>
        <v>hassan abdi</v>
      </c>
      <c r="F168" t="str">
        <f t="shared" si="18"/>
        <v>H</v>
      </c>
      <c r="G168" t="str">
        <f t="shared" si="19"/>
        <v>i</v>
      </c>
      <c r="H168" t="str">
        <f t="shared" si="20"/>
        <v>Hassa</v>
      </c>
    </row>
    <row r="169" spans="1:8">
      <c r="A169" t="s">
        <v>751</v>
      </c>
      <c r="B169" t="str">
        <f t="shared" si="14"/>
        <v>Mahad Dahir</v>
      </c>
      <c r="C169" t="str">
        <f t="shared" si="15"/>
        <v>Mahad Dahir</v>
      </c>
      <c r="D169" t="str">
        <f t="shared" si="16"/>
        <v>MAHAD DAHIR</v>
      </c>
      <c r="E169" t="str">
        <f t="shared" si="17"/>
        <v>mahad dahir</v>
      </c>
      <c r="F169" t="str">
        <f t="shared" si="18"/>
        <v>M</v>
      </c>
      <c r="G169" t="str">
        <f t="shared" si="19"/>
        <v>r</v>
      </c>
      <c r="H169" t="str">
        <f t="shared" si="20"/>
        <v>Mahad</v>
      </c>
    </row>
    <row r="170" spans="1:8">
      <c r="A170" t="s">
        <v>819</v>
      </c>
      <c r="B170" t="str">
        <f t="shared" si="14"/>
        <v>Sahra Abdi</v>
      </c>
      <c r="C170" t="str">
        <f t="shared" si="15"/>
        <v>Sahra Abdi</v>
      </c>
      <c r="D170" t="str">
        <f t="shared" si="16"/>
        <v>SAHRA ABDI</v>
      </c>
      <c r="E170" t="str">
        <f t="shared" si="17"/>
        <v>sahra abdi</v>
      </c>
      <c r="F170" t="str">
        <f t="shared" si="18"/>
        <v>S</v>
      </c>
      <c r="G170" t="str">
        <f t="shared" si="19"/>
        <v>i</v>
      </c>
      <c r="H170" t="str">
        <f t="shared" si="20"/>
        <v>Sahra</v>
      </c>
    </row>
    <row r="171" spans="1:8">
      <c r="A171" t="s">
        <v>825</v>
      </c>
      <c r="B171" t="str">
        <f t="shared" si="14"/>
        <v>Zahra Warsame</v>
      </c>
      <c r="C171" t="str">
        <f t="shared" si="15"/>
        <v>Zahra Warsame</v>
      </c>
      <c r="D171" t="str">
        <f t="shared" si="16"/>
        <v>ZAHRA WARSAME</v>
      </c>
      <c r="E171" t="str">
        <f t="shared" si="17"/>
        <v>zahra warsame</v>
      </c>
      <c r="F171" t="str">
        <f t="shared" si="18"/>
        <v>Z</v>
      </c>
      <c r="G171" t="str">
        <f t="shared" si="19"/>
        <v>e</v>
      </c>
      <c r="H171" t="str">
        <f t="shared" si="20"/>
        <v>Zahra</v>
      </c>
    </row>
    <row r="172" spans="1:8">
      <c r="A172" t="s">
        <v>830</v>
      </c>
      <c r="B172" t="str">
        <f t="shared" si="14"/>
        <v>Abdullahi Warsame</v>
      </c>
      <c r="C172" t="str">
        <f t="shared" si="15"/>
        <v>Abdullahi Warsame</v>
      </c>
      <c r="D172" t="str">
        <f t="shared" si="16"/>
        <v>ABDULLAHI WARSAME</v>
      </c>
      <c r="E172" t="str">
        <f t="shared" si="17"/>
        <v>abdullahi warsame</v>
      </c>
      <c r="F172" t="str">
        <f t="shared" si="18"/>
        <v>A</v>
      </c>
      <c r="G172" t="str">
        <f t="shared" si="19"/>
        <v>e</v>
      </c>
      <c r="H172" t="str">
        <f t="shared" si="20"/>
        <v>Abdul</v>
      </c>
    </row>
    <row r="173" spans="1:8">
      <c r="A173" t="s">
        <v>835</v>
      </c>
      <c r="B173" t="str">
        <f t="shared" si="14"/>
        <v>Yusuf Dahir</v>
      </c>
      <c r="C173" t="str">
        <f t="shared" si="15"/>
        <v>Yusuf Dahir</v>
      </c>
      <c r="D173" t="str">
        <f t="shared" si="16"/>
        <v>YUSUF DAHIR</v>
      </c>
      <c r="E173" t="str">
        <f t="shared" si="17"/>
        <v>yusuf dahir</v>
      </c>
      <c r="F173" t="str">
        <f t="shared" si="18"/>
        <v>Y</v>
      </c>
      <c r="G173" t="str">
        <f t="shared" si="19"/>
        <v>r</v>
      </c>
      <c r="H173" t="str">
        <f t="shared" si="20"/>
        <v>Yusuf</v>
      </c>
    </row>
    <row r="174" spans="1:8">
      <c r="A174" t="s">
        <v>840</v>
      </c>
      <c r="B174" t="str">
        <f t="shared" si="14"/>
        <v>Fadumo Nur</v>
      </c>
      <c r="C174" t="str">
        <f t="shared" si="15"/>
        <v>Fadumo Nur</v>
      </c>
      <c r="D174" t="str">
        <f t="shared" si="16"/>
        <v>FADUMO NUR</v>
      </c>
      <c r="E174" t="str">
        <f t="shared" si="17"/>
        <v>fadumo nur</v>
      </c>
      <c r="F174" t="str">
        <f t="shared" si="18"/>
        <v>F</v>
      </c>
      <c r="G174" t="str">
        <f t="shared" si="19"/>
        <v>r</v>
      </c>
      <c r="H174" t="str">
        <f t="shared" si="20"/>
        <v>Fadum</v>
      </c>
    </row>
    <row r="175" spans="1:8">
      <c r="A175" t="s">
        <v>845</v>
      </c>
      <c r="B175" t="str">
        <f t="shared" si="14"/>
        <v>HASSAN MUSE</v>
      </c>
      <c r="C175" t="str">
        <f t="shared" si="15"/>
        <v>Hassan Muse</v>
      </c>
      <c r="D175" t="str">
        <f t="shared" si="16"/>
        <v>HASSAN MUSE</v>
      </c>
      <c r="E175" t="str">
        <f t="shared" si="17"/>
        <v>hassan muse</v>
      </c>
      <c r="F175" t="str">
        <f t="shared" si="18"/>
        <v>H</v>
      </c>
      <c r="G175" t="str">
        <f t="shared" si="19"/>
        <v>E</v>
      </c>
      <c r="H175" t="str">
        <f t="shared" si="20"/>
        <v>HASSA</v>
      </c>
    </row>
    <row r="176" spans="1:8">
      <c r="A176" t="s">
        <v>717</v>
      </c>
      <c r="B176" t="str">
        <f t="shared" si="14"/>
        <v>Maryan Ibrahim</v>
      </c>
      <c r="C176" t="str">
        <f t="shared" si="15"/>
        <v>Maryan Ibrahim</v>
      </c>
      <c r="D176" t="str">
        <f t="shared" si="16"/>
        <v>MARYAN IBRAHIM</v>
      </c>
      <c r="E176" t="str">
        <f t="shared" si="17"/>
        <v>maryan ibrahim</v>
      </c>
      <c r="F176" t="str">
        <f t="shared" si="18"/>
        <v>M</v>
      </c>
      <c r="G176" t="str">
        <f t="shared" si="19"/>
        <v>m</v>
      </c>
      <c r="H176" t="str">
        <f t="shared" si="20"/>
        <v>Marya</v>
      </c>
    </row>
    <row r="177" spans="1:8">
      <c r="A177" t="s">
        <v>343</v>
      </c>
      <c r="B177" t="str">
        <f t="shared" si="14"/>
        <v>Ikram Omar</v>
      </c>
      <c r="C177" t="str">
        <f t="shared" si="15"/>
        <v>Ikram Omar</v>
      </c>
      <c r="D177" t="str">
        <f t="shared" si="16"/>
        <v>IKRAM OMAR</v>
      </c>
      <c r="E177" t="str">
        <f t="shared" si="17"/>
        <v>ikram omar</v>
      </c>
      <c r="F177" t="str">
        <f t="shared" si="18"/>
        <v>I</v>
      </c>
      <c r="G177" t="str">
        <f t="shared" si="19"/>
        <v>r</v>
      </c>
      <c r="H177" t="str">
        <f t="shared" si="20"/>
        <v>Ikram</v>
      </c>
    </row>
    <row r="178" spans="1:8">
      <c r="A178" t="s">
        <v>669</v>
      </c>
      <c r="B178" t="str">
        <f t="shared" si="14"/>
        <v>Abdi Muse</v>
      </c>
      <c r="C178" t="str">
        <f t="shared" si="15"/>
        <v>Abdi Muse</v>
      </c>
      <c r="D178" t="str">
        <f t="shared" si="16"/>
        <v>ABDI MUSE</v>
      </c>
      <c r="E178" t="str">
        <f t="shared" si="17"/>
        <v>abdi muse</v>
      </c>
      <c r="F178" t="str">
        <f t="shared" si="18"/>
        <v>A</v>
      </c>
      <c r="G178" t="str">
        <f t="shared" si="19"/>
        <v>e</v>
      </c>
      <c r="H178" t="str">
        <f t="shared" si="20"/>
        <v xml:space="preserve">Abdi </v>
      </c>
    </row>
    <row r="179" spans="1:8">
      <c r="A179" t="s">
        <v>862</v>
      </c>
      <c r="B179" t="str">
        <f t="shared" si="14"/>
        <v>Abdullahi Mohamud</v>
      </c>
      <c r="C179" t="str">
        <f t="shared" si="15"/>
        <v>Abdullahi Mohamud</v>
      </c>
      <c r="D179" t="str">
        <f t="shared" si="16"/>
        <v>ABDULLAHI MOHAMUD</v>
      </c>
      <c r="E179" t="str">
        <f t="shared" si="17"/>
        <v>abdullahi mohamud</v>
      </c>
      <c r="F179" t="str">
        <f t="shared" si="18"/>
        <v>A</v>
      </c>
      <c r="G179" t="str">
        <f t="shared" si="19"/>
        <v>d</v>
      </c>
      <c r="H179" t="str">
        <f t="shared" si="20"/>
        <v>Abdul</v>
      </c>
    </row>
    <row r="180" spans="1:8">
      <c r="A180" t="s">
        <v>736</v>
      </c>
      <c r="B180" t="str">
        <f t="shared" si="14"/>
        <v>Hassan Muse</v>
      </c>
      <c r="C180" t="str">
        <f t="shared" si="15"/>
        <v>Hassan Muse</v>
      </c>
      <c r="D180" t="str">
        <f t="shared" si="16"/>
        <v>HASSAN MUSE</v>
      </c>
      <c r="E180" t="str">
        <f t="shared" si="17"/>
        <v>hassan muse</v>
      </c>
      <c r="F180" t="str">
        <f t="shared" si="18"/>
        <v>H</v>
      </c>
      <c r="G180" t="str">
        <f t="shared" si="19"/>
        <v>e</v>
      </c>
      <c r="H180" t="str">
        <f t="shared" si="20"/>
        <v>Hassa</v>
      </c>
    </row>
    <row r="181" spans="1:8">
      <c r="A181" t="s">
        <v>871</v>
      </c>
      <c r="B181" t="str">
        <f t="shared" si="14"/>
        <v>Abdi Ibrahim</v>
      </c>
      <c r="C181" t="str">
        <f t="shared" si="15"/>
        <v>Abdi Ibrahim</v>
      </c>
      <c r="D181" t="str">
        <f t="shared" si="16"/>
        <v>ABDI IBRAHIM</v>
      </c>
      <c r="E181" t="str">
        <f t="shared" si="17"/>
        <v>abdi ibrahim</v>
      </c>
      <c r="F181" t="str">
        <f t="shared" si="18"/>
        <v>A</v>
      </c>
      <c r="G181" t="str">
        <f t="shared" si="19"/>
        <v>m</v>
      </c>
      <c r="H181" t="str">
        <f t="shared" si="20"/>
        <v xml:space="preserve">Abdi </v>
      </c>
    </row>
    <row r="182" spans="1:8">
      <c r="A182" t="s">
        <v>876</v>
      </c>
      <c r="B182" t="str">
        <f t="shared" si="14"/>
        <v>Nasra Hassan</v>
      </c>
      <c r="C182" t="str">
        <f t="shared" si="15"/>
        <v>Nasra Hassan</v>
      </c>
      <c r="D182" t="str">
        <f t="shared" si="16"/>
        <v>NASRA HASSAN</v>
      </c>
      <c r="E182" t="str">
        <f t="shared" si="17"/>
        <v>nasra hassan</v>
      </c>
      <c r="F182" t="str">
        <f t="shared" si="18"/>
        <v>N</v>
      </c>
      <c r="G182" t="str">
        <f t="shared" si="19"/>
        <v>n</v>
      </c>
      <c r="H182" t="str">
        <f t="shared" si="20"/>
        <v>Nasra</v>
      </c>
    </row>
    <row r="183" spans="1:8">
      <c r="A183" t="s">
        <v>881</v>
      </c>
      <c r="B183" t="str">
        <f t="shared" si="14"/>
        <v>Sahra Ali</v>
      </c>
      <c r="C183" t="str">
        <f t="shared" si="15"/>
        <v>Sahra Ali</v>
      </c>
      <c r="D183" t="str">
        <f t="shared" si="16"/>
        <v>SAHRA ALI</v>
      </c>
      <c r="E183" t="str">
        <f t="shared" si="17"/>
        <v>sahra ali</v>
      </c>
      <c r="F183" t="str">
        <f t="shared" si="18"/>
        <v>S</v>
      </c>
      <c r="G183" t="str">
        <f t="shared" si="19"/>
        <v>i</v>
      </c>
      <c r="H183" t="str">
        <f t="shared" si="20"/>
        <v>Sahra</v>
      </c>
    </row>
    <row r="184" spans="1:8">
      <c r="A184" t="s">
        <v>790</v>
      </c>
      <c r="B184" t="str">
        <f t="shared" si="14"/>
        <v>Omar Aden</v>
      </c>
      <c r="C184" t="str">
        <f t="shared" si="15"/>
        <v>Omar Aden</v>
      </c>
      <c r="D184" t="str">
        <f t="shared" si="16"/>
        <v>OMAR ADEN</v>
      </c>
      <c r="E184" t="str">
        <f t="shared" si="17"/>
        <v>omar aden</v>
      </c>
      <c r="F184" t="str">
        <f t="shared" si="18"/>
        <v>O</v>
      </c>
      <c r="G184" t="str">
        <f t="shared" si="19"/>
        <v>n</v>
      </c>
      <c r="H184" t="str">
        <f t="shared" si="20"/>
        <v xml:space="preserve">Omar </v>
      </c>
    </row>
    <row r="185" spans="1:8">
      <c r="A185" t="s">
        <v>251</v>
      </c>
      <c r="B185" t="str">
        <f t="shared" si="14"/>
        <v>Omar Warsame</v>
      </c>
      <c r="C185" t="str">
        <f t="shared" si="15"/>
        <v>Omar Warsame</v>
      </c>
      <c r="D185" t="str">
        <f t="shared" si="16"/>
        <v>OMAR WARSAME</v>
      </c>
      <c r="E185" t="str">
        <f t="shared" si="17"/>
        <v>omar warsame</v>
      </c>
      <c r="F185" t="str">
        <f t="shared" si="18"/>
        <v>O</v>
      </c>
      <c r="G185" t="str">
        <f t="shared" si="19"/>
        <v>e</v>
      </c>
      <c r="H185" t="str">
        <f t="shared" si="20"/>
        <v xml:space="preserve">Omar </v>
      </c>
    </row>
    <row r="186" spans="1:8">
      <c r="A186" t="s">
        <v>894</v>
      </c>
      <c r="B186" t="str">
        <f t="shared" si="14"/>
        <v>Maryan Jama</v>
      </c>
      <c r="C186" t="str">
        <f t="shared" si="15"/>
        <v>Maryan Jama</v>
      </c>
      <c r="D186" t="str">
        <f t="shared" si="16"/>
        <v>MARYAN JAMA</v>
      </c>
      <c r="E186" t="str">
        <f t="shared" si="17"/>
        <v>maryan jama</v>
      </c>
      <c r="F186" t="str">
        <f t="shared" si="18"/>
        <v>M</v>
      </c>
      <c r="G186" t="str">
        <f t="shared" si="19"/>
        <v>a</v>
      </c>
      <c r="H186" t="str">
        <f t="shared" si="20"/>
        <v>Marya</v>
      </c>
    </row>
    <row r="187" spans="1:8">
      <c r="A187" t="s">
        <v>840</v>
      </c>
      <c r="B187" t="str">
        <f t="shared" si="14"/>
        <v>Fadumo Nur</v>
      </c>
      <c r="C187" t="str">
        <f t="shared" si="15"/>
        <v>Fadumo Nur</v>
      </c>
      <c r="D187" t="str">
        <f t="shared" si="16"/>
        <v>FADUMO NUR</v>
      </c>
      <c r="E187" t="str">
        <f t="shared" si="17"/>
        <v>fadumo nur</v>
      </c>
      <c r="F187" t="str">
        <f t="shared" si="18"/>
        <v>F</v>
      </c>
      <c r="G187" t="str">
        <f t="shared" si="19"/>
        <v>r</v>
      </c>
      <c r="H187" t="str">
        <f t="shared" si="20"/>
        <v>Fadum</v>
      </c>
    </row>
    <row r="188" spans="1:8">
      <c r="A188" t="s">
        <v>414</v>
      </c>
      <c r="B188" t="str">
        <f t="shared" si="14"/>
        <v>Abdi Mohamud</v>
      </c>
      <c r="C188" t="str">
        <f t="shared" si="15"/>
        <v>Abdi Mohamud</v>
      </c>
      <c r="D188" t="str">
        <f t="shared" si="16"/>
        <v>ABDI MOHAMUD</v>
      </c>
      <c r="E188" t="str">
        <f t="shared" si="17"/>
        <v>abdi mohamud</v>
      </c>
      <c r="F188" t="str">
        <f t="shared" si="18"/>
        <v>A</v>
      </c>
      <c r="G188" t="str">
        <f t="shared" si="19"/>
        <v>d</v>
      </c>
      <c r="H188" t="str">
        <f t="shared" si="20"/>
        <v xml:space="preserve">Abdi </v>
      </c>
    </row>
    <row r="189" spans="1:8">
      <c r="A189" t="s">
        <v>368</v>
      </c>
      <c r="B189" t="str">
        <f t="shared" si="14"/>
        <v>Zahra Sheikh</v>
      </c>
      <c r="C189" t="str">
        <f t="shared" si="15"/>
        <v>Zahra Sheikh</v>
      </c>
      <c r="D189" t="str">
        <f t="shared" si="16"/>
        <v>ZAHRA SHEIKH</v>
      </c>
      <c r="E189" t="str">
        <f t="shared" si="17"/>
        <v>zahra sheikh</v>
      </c>
      <c r="F189" t="str">
        <f t="shared" si="18"/>
        <v>Z</v>
      </c>
      <c r="G189" t="str">
        <f t="shared" si="19"/>
        <v>h</v>
      </c>
      <c r="H189" t="str">
        <f t="shared" si="20"/>
        <v>Zahra</v>
      </c>
    </row>
    <row r="190" spans="1:8">
      <c r="A190" t="s">
        <v>741</v>
      </c>
      <c r="B190" t="str">
        <f t="shared" si="14"/>
        <v>Abdullahi Nur</v>
      </c>
      <c r="C190" t="str">
        <f t="shared" si="15"/>
        <v>Abdullahi Nur</v>
      </c>
      <c r="D190" t="str">
        <f t="shared" si="16"/>
        <v>ABDULLAHI NUR</v>
      </c>
      <c r="E190" t="str">
        <f t="shared" si="17"/>
        <v>abdullahi nur</v>
      </c>
      <c r="F190" t="str">
        <f t="shared" si="18"/>
        <v>A</v>
      </c>
      <c r="G190" t="str">
        <f t="shared" si="19"/>
        <v>r</v>
      </c>
      <c r="H190" t="str">
        <f t="shared" si="20"/>
        <v>Abdul</v>
      </c>
    </row>
    <row r="191" spans="1:8">
      <c r="A191" t="s">
        <v>915</v>
      </c>
      <c r="B191" t="str">
        <f t="shared" si="14"/>
        <v>Mahad Mohamud</v>
      </c>
      <c r="C191" t="str">
        <f t="shared" si="15"/>
        <v>Mahad Mohamud</v>
      </c>
      <c r="D191" t="str">
        <f t="shared" si="16"/>
        <v>MAHAD MOHAMUD</v>
      </c>
      <c r="E191" t="str">
        <f t="shared" si="17"/>
        <v>mahad mohamud</v>
      </c>
      <c r="F191" t="str">
        <f t="shared" si="18"/>
        <v>M</v>
      </c>
      <c r="G191" t="str">
        <f t="shared" si="19"/>
        <v>d</v>
      </c>
      <c r="H191" t="str">
        <f t="shared" si="20"/>
        <v>Mahad</v>
      </c>
    </row>
    <row r="192" spans="1:8">
      <c r="A192" t="s">
        <v>920</v>
      </c>
      <c r="B192" t="str">
        <f t="shared" si="14"/>
        <v>Mohamed Dualeh</v>
      </c>
      <c r="C192" t="str">
        <f t="shared" si="15"/>
        <v>Mohamed Dualeh</v>
      </c>
      <c r="D192" t="str">
        <f t="shared" si="16"/>
        <v>MOHAMED DUALEH</v>
      </c>
      <c r="E192" t="str">
        <f t="shared" si="17"/>
        <v>mohamed dualeh</v>
      </c>
      <c r="F192" t="str">
        <f t="shared" si="18"/>
        <v>M</v>
      </c>
      <c r="G192" t="str">
        <f t="shared" si="19"/>
        <v>h</v>
      </c>
      <c r="H192" t="str">
        <f t="shared" si="20"/>
        <v>Moham</v>
      </c>
    </row>
    <row r="193" spans="1:8">
      <c r="A193" t="s">
        <v>925</v>
      </c>
      <c r="B193" t="str">
        <f t="shared" si="14"/>
        <v>Ali Samatar</v>
      </c>
      <c r="C193" t="str">
        <f t="shared" si="15"/>
        <v>Ali Samatar</v>
      </c>
      <c r="D193" t="str">
        <f t="shared" si="16"/>
        <v>ALI SAMATAR</v>
      </c>
      <c r="E193" t="str">
        <f t="shared" si="17"/>
        <v>ali samatar</v>
      </c>
      <c r="F193" t="str">
        <f t="shared" si="18"/>
        <v>A</v>
      </c>
      <c r="G193" t="str">
        <f t="shared" si="19"/>
        <v>r</v>
      </c>
      <c r="H193" t="str">
        <f t="shared" si="20"/>
        <v>Ali S</v>
      </c>
    </row>
    <row r="194" spans="1:8">
      <c r="A194" t="s">
        <v>930</v>
      </c>
      <c r="B194" t="str">
        <f t="shared" si="14"/>
        <v>Maryan Dahir</v>
      </c>
      <c r="C194" t="str">
        <f t="shared" si="15"/>
        <v>Maryan Dahir</v>
      </c>
      <c r="D194" t="str">
        <f t="shared" si="16"/>
        <v>MARYAN DAHIR</v>
      </c>
      <c r="E194" t="str">
        <f t="shared" si="17"/>
        <v>maryan dahir</v>
      </c>
      <c r="F194" t="str">
        <f t="shared" si="18"/>
        <v>M</v>
      </c>
      <c r="G194" t="str">
        <f t="shared" si="19"/>
        <v>r</v>
      </c>
      <c r="H194" t="str">
        <f t="shared" si="20"/>
        <v>Marya</v>
      </c>
    </row>
    <row r="195" spans="1:8">
      <c r="A195" t="s">
        <v>934</v>
      </c>
      <c r="B195" t="str">
        <f t="shared" ref="B195:B258" si="21">TRIM(A195)</f>
        <v>Hodan Abdi</v>
      </c>
      <c r="C195" t="str">
        <f t="shared" ref="C195:C258" si="22">PROPER(A195)</f>
        <v>Hodan Abdi</v>
      </c>
      <c r="D195" t="str">
        <f t="shared" ref="D195:D258" si="23">UPPER(A195)</f>
        <v>HODAN ABDI</v>
      </c>
      <c r="E195" t="str">
        <f t="shared" ref="E195:E258" si="24">LOWER(A195)</f>
        <v>hodan abdi</v>
      </c>
      <c r="F195" t="str">
        <f t="shared" ref="F195:F258" si="25">LEFT(A195)</f>
        <v>H</v>
      </c>
      <c r="G195" t="str">
        <f t="shared" ref="G195:G258" si="26">RIGHT(A195)</f>
        <v>i</v>
      </c>
      <c r="H195" t="str">
        <f t="shared" ref="H195:H258" si="27">MID(A195,1,5)</f>
        <v>Hodan</v>
      </c>
    </row>
    <row r="196" spans="1:8">
      <c r="A196" t="s">
        <v>939</v>
      </c>
      <c r="B196" t="str">
        <f t="shared" si="21"/>
        <v>Hassan Sheikh</v>
      </c>
      <c r="C196" t="str">
        <f t="shared" si="22"/>
        <v>Hassan Sheikh</v>
      </c>
      <c r="D196" t="str">
        <f t="shared" si="23"/>
        <v>HASSAN SHEIKH</v>
      </c>
      <c r="E196" t="str">
        <f t="shared" si="24"/>
        <v>hassan sheikh</v>
      </c>
      <c r="F196" t="str">
        <f t="shared" si="25"/>
        <v>H</v>
      </c>
      <c r="G196" t="str">
        <f t="shared" si="26"/>
        <v>h</v>
      </c>
      <c r="H196" t="str">
        <f t="shared" si="27"/>
        <v>Hassa</v>
      </c>
    </row>
    <row r="197" spans="1:8">
      <c r="A197" t="s">
        <v>388</v>
      </c>
      <c r="B197" t="str">
        <f t="shared" si="21"/>
        <v>Hassan Nur</v>
      </c>
      <c r="C197" t="str">
        <f t="shared" si="22"/>
        <v>Hassan Nur</v>
      </c>
      <c r="D197" t="str">
        <f t="shared" si="23"/>
        <v>HASSAN NUR</v>
      </c>
      <c r="E197" t="str">
        <f t="shared" si="24"/>
        <v>hassan nur</v>
      </c>
      <c r="F197" t="str">
        <f t="shared" si="25"/>
        <v>H</v>
      </c>
      <c r="G197" t="str">
        <f t="shared" si="26"/>
        <v>r</v>
      </c>
      <c r="H197" t="str">
        <f t="shared" si="27"/>
        <v>Hassa</v>
      </c>
    </row>
    <row r="198" spans="1:8">
      <c r="A198" t="s">
        <v>948</v>
      </c>
      <c r="B198" t="str">
        <f t="shared" si="21"/>
        <v>Fadumo Sheikh</v>
      </c>
      <c r="C198" t="str">
        <f t="shared" si="22"/>
        <v>Fadumo Sheikh</v>
      </c>
      <c r="D198" t="str">
        <f t="shared" si="23"/>
        <v>FADUMO SHEIKH</v>
      </c>
      <c r="E198" t="str">
        <f t="shared" si="24"/>
        <v>fadumo sheikh</v>
      </c>
      <c r="F198" t="str">
        <f t="shared" si="25"/>
        <v>F</v>
      </c>
      <c r="G198" t="str">
        <f t="shared" si="26"/>
        <v>h</v>
      </c>
      <c r="H198" t="str">
        <f t="shared" si="27"/>
        <v>Fadum</v>
      </c>
    </row>
    <row r="199" spans="1:8">
      <c r="A199" t="s">
        <v>953</v>
      </c>
      <c r="B199" t="str">
        <f t="shared" si="21"/>
        <v>Sahra Sheikh</v>
      </c>
      <c r="C199" t="str">
        <f t="shared" si="22"/>
        <v>Sahra Sheikh</v>
      </c>
      <c r="D199" t="str">
        <f t="shared" si="23"/>
        <v>SAHRA SHEIKH</v>
      </c>
      <c r="E199" t="str">
        <f t="shared" si="24"/>
        <v>sahra sheikh</v>
      </c>
      <c r="F199" t="str">
        <f t="shared" si="25"/>
        <v>S</v>
      </c>
      <c r="G199" t="str">
        <f t="shared" si="26"/>
        <v>h</v>
      </c>
      <c r="H199" t="str">
        <f t="shared" si="27"/>
        <v>Sahra</v>
      </c>
    </row>
    <row r="200" spans="1:8">
      <c r="A200" t="s">
        <v>313</v>
      </c>
      <c r="B200" t="str">
        <f t="shared" si="21"/>
        <v>Ali Dualeh</v>
      </c>
      <c r="C200" t="str">
        <f t="shared" si="22"/>
        <v>Ali Dualeh</v>
      </c>
      <c r="D200" t="str">
        <f t="shared" si="23"/>
        <v>ALI DUALEH</v>
      </c>
      <c r="E200" t="str">
        <f t="shared" si="24"/>
        <v>ali dualeh</v>
      </c>
      <c r="F200" t="str">
        <f t="shared" si="25"/>
        <v>A</v>
      </c>
      <c r="G200" t="str">
        <f t="shared" si="26"/>
        <v>h</v>
      </c>
      <c r="H200" t="str">
        <f t="shared" si="27"/>
        <v>Ali D</v>
      </c>
    </row>
    <row r="201" spans="1:8">
      <c r="A201" t="s">
        <v>962</v>
      </c>
      <c r="B201" t="str">
        <f t="shared" si="21"/>
        <v>Ifrah Roble</v>
      </c>
      <c r="C201" t="str">
        <f t="shared" si="22"/>
        <v>Ifrah Roble</v>
      </c>
      <c r="D201" t="str">
        <f t="shared" si="23"/>
        <v>IFRAH ROBLE</v>
      </c>
      <c r="E201" t="str">
        <f t="shared" si="24"/>
        <v>ifrah roble</v>
      </c>
      <c r="F201" t="str">
        <f t="shared" si="25"/>
        <v>I</v>
      </c>
      <c r="G201" t="str">
        <f t="shared" si="26"/>
        <v>e</v>
      </c>
      <c r="H201" t="str">
        <f t="shared" si="27"/>
        <v>Ifrah</v>
      </c>
    </row>
    <row r="202" spans="1:8">
      <c r="A202" t="s">
        <v>746</v>
      </c>
      <c r="B202" t="str">
        <f t="shared" si="21"/>
        <v>Ifrah Dahir</v>
      </c>
      <c r="C202" t="str">
        <f t="shared" si="22"/>
        <v>Ifrah Dahir</v>
      </c>
      <c r="D202" t="str">
        <f t="shared" si="23"/>
        <v>IFRAH DAHIR</v>
      </c>
      <c r="E202" t="str">
        <f t="shared" si="24"/>
        <v>ifrah dahir</v>
      </c>
      <c r="F202" t="str">
        <f t="shared" si="25"/>
        <v>I</v>
      </c>
      <c r="G202" t="str">
        <f t="shared" si="26"/>
        <v>r</v>
      </c>
      <c r="H202" t="str">
        <f t="shared" si="27"/>
        <v>Ifrah</v>
      </c>
    </row>
    <row r="203" spans="1:8">
      <c r="A203" t="s">
        <v>971</v>
      </c>
      <c r="B203" t="str">
        <f t="shared" si="21"/>
        <v>Ahmed Ibrahim</v>
      </c>
      <c r="C203" t="str">
        <f t="shared" si="22"/>
        <v>Ahmed Ibrahim</v>
      </c>
      <c r="D203" t="str">
        <f t="shared" si="23"/>
        <v>AHMED IBRAHIM</v>
      </c>
      <c r="E203" t="str">
        <f t="shared" si="24"/>
        <v>ahmed ibrahim</v>
      </c>
      <c r="F203" t="str">
        <f t="shared" si="25"/>
        <v>A</v>
      </c>
      <c r="G203" t="str">
        <f t="shared" si="26"/>
        <v>m</v>
      </c>
      <c r="H203" t="str">
        <f t="shared" si="27"/>
        <v>Ahmed</v>
      </c>
    </row>
    <row r="204" spans="1:8">
      <c r="A204" t="s">
        <v>203</v>
      </c>
      <c r="B204" t="str">
        <f t="shared" si="21"/>
        <v>Nimo Jama</v>
      </c>
      <c r="C204" t="str">
        <f t="shared" si="22"/>
        <v>Nimo Jama</v>
      </c>
      <c r="D204" t="str">
        <f t="shared" si="23"/>
        <v>NIMO JAMA</v>
      </c>
      <c r="E204" t="str">
        <f t="shared" si="24"/>
        <v>nimo jama</v>
      </c>
      <c r="F204" t="str">
        <f t="shared" si="25"/>
        <v>N</v>
      </c>
      <c r="G204" t="str">
        <f t="shared" si="26"/>
        <v>a</v>
      </c>
      <c r="H204" t="str">
        <f t="shared" si="27"/>
        <v xml:space="preserve">Nimo </v>
      </c>
    </row>
    <row r="205" spans="1:8">
      <c r="A205" t="s">
        <v>981</v>
      </c>
      <c r="B205" t="str">
        <f t="shared" si="21"/>
        <v>Zahra Roble</v>
      </c>
      <c r="C205" t="str">
        <f t="shared" si="22"/>
        <v>Zahra Roble</v>
      </c>
      <c r="D205" t="str">
        <f t="shared" si="23"/>
        <v>ZAHRA ROBLE</v>
      </c>
      <c r="E205" t="str">
        <f t="shared" si="24"/>
        <v>zahra roble</v>
      </c>
      <c r="F205" t="str">
        <f t="shared" si="25"/>
        <v>Z</v>
      </c>
      <c r="G205" t="str">
        <f t="shared" si="26"/>
        <v>e</v>
      </c>
      <c r="H205" t="str">
        <f t="shared" si="27"/>
        <v>Zahra</v>
      </c>
    </row>
    <row r="206" spans="1:8">
      <c r="A206" t="s">
        <v>18</v>
      </c>
      <c r="B206" t="str">
        <f t="shared" si="21"/>
        <v>Amina Ali</v>
      </c>
      <c r="C206" t="str">
        <f t="shared" si="22"/>
        <v>Amina Ali</v>
      </c>
      <c r="D206" t="str">
        <f t="shared" si="23"/>
        <v>AMINA ALI</v>
      </c>
      <c r="E206" t="str">
        <f t="shared" si="24"/>
        <v>amina ali</v>
      </c>
      <c r="F206" t="str">
        <f t="shared" si="25"/>
        <v>A</v>
      </c>
      <c r="G206" t="str">
        <f t="shared" si="26"/>
        <v>i</v>
      </c>
      <c r="H206" t="str">
        <f t="shared" si="27"/>
        <v>Amina</v>
      </c>
    </row>
    <row r="207" spans="1:8">
      <c r="A207" t="s">
        <v>990</v>
      </c>
      <c r="B207" t="str">
        <f t="shared" si="21"/>
        <v>Mahad Muse</v>
      </c>
      <c r="C207" t="str">
        <f t="shared" si="22"/>
        <v>Mahad Muse</v>
      </c>
      <c r="D207" t="str">
        <f t="shared" si="23"/>
        <v>MAHAD MUSE</v>
      </c>
      <c r="E207" t="str">
        <f t="shared" si="24"/>
        <v>mahad muse</v>
      </c>
      <c r="F207" t="str">
        <f t="shared" si="25"/>
        <v>M</v>
      </c>
      <c r="G207" t="str">
        <f t="shared" si="26"/>
        <v>e</v>
      </c>
      <c r="H207" t="str">
        <f t="shared" si="27"/>
        <v>Mahad</v>
      </c>
    </row>
    <row r="208" spans="1:8">
      <c r="A208" t="s">
        <v>712</v>
      </c>
      <c r="B208" t="str">
        <f t="shared" si="21"/>
        <v>Khalid Warsame</v>
      </c>
      <c r="C208" t="str">
        <f t="shared" si="22"/>
        <v>Khalid Warsame</v>
      </c>
      <c r="D208" t="str">
        <f t="shared" si="23"/>
        <v>KHALID WARSAME</v>
      </c>
      <c r="E208" t="str">
        <f t="shared" si="24"/>
        <v>khalid warsame</v>
      </c>
      <c r="F208" t="str">
        <f t="shared" si="25"/>
        <v>K</v>
      </c>
      <c r="G208" t="str">
        <f t="shared" si="26"/>
        <v>e</v>
      </c>
      <c r="H208" t="str">
        <f t="shared" si="27"/>
        <v>Khali</v>
      </c>
    </row>
    <row r="209" spans="1:8">
      <c r="A209" t="s">
        <v>805</v>
      </c>
      <c r="B209" t="str">
        <f t="shared" si="21"/>
        <v>Ahmed Yusuf</v>
      </c>
      <c r="C209" t="str">
        <f t="shared" si="22"/>
        <v>Ahmed Yusuf</v>
      </c>
      <c r="D209" t="str">
        <f t="shared" si="23"/>
        <v>AHMED YUSUF</v>
      </c>
      <c r="E209" t="str">
        <f t="shared" si="24"/>
        <v>ahmed yusuf</v>
      </c>
      <c r="F209" t="str">
        <f t="shared" si="25"/>
        <v>A</v>
      </c>
      <c r="G209" t="str">
        <f t="shared" si="26"/>
        <v>f</v>
      </c>
      <c r="H209" t="str">
        <f t="shared" si="27"/>
        <v>Ahmed</v>
      </c>
    </row>
    <row r="210" spans="1:8">
      <c r="A210" t="s">
        <v>1003</v>
      </c>
      <c r="B210" t="str">
        <f t="shared" si="21"/>
        <v>Fadumo Isse</v>
      </c>
      <c r="C210" t="str">
        <f t="shared" si="22"/>
        <v>Fadumo Isse</v>
      </c>
      <c r="D210" t="str">
        <f t="shared" si="23"/>
        <v>FADUMO ISSE</v>
      </c>
      <c r="E210" t="str">
        <f t="shared" si="24"/>
        <v>fadumo isse</v>
      </c>
      <c r="F210" t="str">
        <f t="shared" si="25"/>
        <v>F</v>
      </c>
      <c r="G210" t="str">
        <f t="shared" si="26"/>
        <v>e</v>
      </c>
      <c r="H210" t="str">
        <f t="shared" si="27"/>
        <v>Fadum</v>
      </c>
    </row>
    <row r="211" spans="1:8">
      <c r="A211" t="s">
        <v>1008</v>
      </c>
      <c r="B211" t="str">
        <f t="shared" si="21"/>
        <v>Ikram Jama</v>
      </c>
      <c r="C211" t="str">
        <f t="shared" si="22"/>
        <v>Ikram Jama</v>
      </c>
      <c r="D211" t="str">
        <f t="shared" si="23"/>
        <v>IKRAM JAMA</v>
      </c>
      <c r="E211" t="str">
        <f t="shared" si="24"/>
        <v>ikram jama</v>
      </c>
      <c r="F211" t="str">
        <f t="shared" si="25"/>
        <v>I</v>
      </c>
      <c r="G211" t="str">
        <f t="shared" si="26"/>
        <v>a</v>
      </c>
      <c r="H211" t="str">
        <f t="shared" si="27"/>
        <v>Ikram</v>
      </c>
    </row>
    <row r="212" spans="1:8">
      <c r="A212" t="s">
        <v>104</v>
      </c>
      <c r="B212" t="str">
        <f t="shared" si="21"/>
        <v>Amina Mohamud</v>
      </c>
      <c r="C212" t="str">
        <f t="shared" si="22"/>
        <v>Amina Mohamud</v>
      </c>
      <c r="D212" t="str">
        <f t="shared" si="23"/>
        <v>AMINA MOHAMUD</v>
      </c>
      <c r="E212" t="str">
        <f t="shared" si="24"/>
        <v>amina mohamud</v>
      </c>
      <c r="F212" t="str">
        <f t="shared" si="25"/>
        <v>A</v>
      </c>
      <c r="G212" t="str">
        <f t="shared" si="26"/>
        <v>d</v>
      </c>
      <c r="H212" t="str">
        <f t="shared" si="27"/>
        <v>Amina</v>
      </c>
    </row>
    <row r="213" spans="1:8">
      <c r="A213" t="s">
        <v>1017</v>
      </c>
      <c r="B213" t="str">
        <f t="shared" si="21"/>
        <v>ZAHRA ISSE</v>
      </c>
      <c r="C213" t="str">
        <f t="shared" si="22"/>
        <v>Zahra Isse</v>
      </c>
      <c r="D213" t="str">
        <f t="shared" si="23"/>
        <v>ZAHRA ISSE</v>
      </c>
      <c r="E213" t="str">
        <f t="shared" si="24"/>
        <v>zahra isse</v>
      </c>
      <c r="F213" t="str">
        <f t="shared" si="25"/>
        <v>Z</v>
      </c>
      <c r="G213" t="str">
        <f t="shared" si="26"/>
        <v>E</v>
      </c>
      <c r="H213" t="str">
        <f t="shared" si="27"/>
        <v>ZAHRA</v>
      </c>
    </row>
    <row r="214" spans="1:8">
      <c r="A214" t="s">
        <v>232</v>
      </c>
      <c r="B214" t="str">
        <f t="shared" si="21"/>
        <v>Abdi Warsame</v>
      </c>
      <c r="C214" t="str">
        <f t="shared" si="22"/>
        <v>Abdi Warsame</v>
      </c>
      <c r="D214" t="str">
        <f t="shared" si="23"/>
        <v>ABDI WARSAME</v>
      </c>
      <c r="E214" t="str">
        <f t="shared" si="24"/>
        <v>abdi warsame</v>
      </c>
      <c r="F214" t="str">
        <f t="shared" si="25"/>
        <v>A</v>
      </c>
      <c r="G214" t="str">
        <f t="shared" si="26"/>
        <v>e</v>
      </c>
      <c r="H214" t="str">
        <f t="shared" si="27"/>
        <v xml:space="preserve">Abdi </v>
      </c>
    </row>
    <row r="215" spans="1:8">
      <c r="A215" t="s">
        <v>1026</v>
      </c>
      <c r="B215" t="str">
        <f t="shared" si="21"/>
        <v>Ahmed Mohamud</v>
      </c>
      <c r="C215" t="str">
        <f t="shared" si="22"/>
        <v>Ahmed Mohamud</v>
      </c>
      <c r="D215" t="str">
        <f t="shared" si="23"/>
        <v>AHMED MOHAMUD</v>
      </c>
      <c r="E215" t="str">
        <f t="shared" si="24"/>
        <v>ahmed mohamud</v>
      </c>
      <c r="F215" t="str">
        <f t="shared" si="25"/>
        <v>A</v>
      </c>
      <c r="G215" t="str">
        <f t="shared" si="26"/>
        <v>d</v>
      </c>
      <c r="H215" t="str">
        <f t="shared" si="27"/>
        <v>Ahmed</v>
      </c>
    </row>
    <row r="216" spans="1:8">
      <c r="A216" t="s">
        <v>187</v>
      </c>
      <c r="B216" t="str">
        <f t="shared" si="21"/>
        <v>Amina Farah</v>
      </c>
      <c r="C216" t="str">
        <f t="shared" si="22"/>
        <v>Amina Farah</v>
      </c>
      <c r="D216" t="str">
        <f t="shared" si="23"/>
        <v>AMINA FARAH</v>
      </c>
      <c r="E216" t="str">
        <f t="shared" si="24"/>
        <v>amina farah</v>
      </c>
      <c r="F216" t="str">
        <f t="shared" si="25"/>
        <v>A</v>
      </c>
      <c r="G216" t="str">
        <f t="shared" si="26"/>
        <v>h</v>
      </c>
      <c r="H216" t="str">
        <f t="shared" si="27"/>
        <v>Amina</v>
      </c>
    </row>
    <row r="217" spans="1:8">
      <c r="A217" t="s">
        <v>1035</v>
      </c>
      <c r="B217" t="str">
        <f t="shared" si="21"/>
        <v>Khalid Farah</v>
      </c>
      <c r="C217" t="str">
        <f t="shared" si="22"/>
        <v>Khalid Farah</v>
      </c>
      <c r="D217" t="str">
        <f t="shared" si="23"/>
        <v>KHALID FARAH</v>
      </c>
      <c r="E217" t="str">
        <f t="shared" si="24"/>
        <v>khalid farah</v>
      </c>
      <c r="F217" t="str">
        <f t="shared" si="25"/>
        <v>K</v>
      </c>
      <c r="G217" t="str">
        <f t="shared" si="26"/>
        <v>h</v>
      </c>
      <c r="H217" t="str">
        <f t="shared" si="27"/>
        <v>Khali</v>
      </c>
    </row>
    <row r="218" spans="1:8">
      <c r="A218" t="s">
        <v>1040</v>
      </c>
      <c r="B218" t="str">
        <f t="shared" si="21"/>
        <v>Yusuf Warsame</v>
      </c>
      <c r="C218" t="str">
        <f t="shared" si="22"/>
        <v>Yusuf Warsame</v>
      </c>
      <c r="D218" t="str">
        <f t="shared" si="23"/>
        <v>YUSUF WARSAME</v>
      </c>
      <c r="E218" t="str">
        <f t="shared" si="24"/>
        <v>yusuf warsame</v>
      </c>
      <c r="F218" t="str">
        <f t="shared" si="25"/>
        <v>Y</v>
      </c>
      <c r="G218" t="str">
        <f t="shared" si="26"/>
        <v>e</v>
      </c>
      <c r="H218" t="str">
        <f t="shared" si="27"/>
        <v>Yusuf</v>
      </c>
    </row>
    <row r="219" spans="1:8">
      <c r="A219" t="s">
        <v>77</v>
      </c>
      <c r="B219" t="str">
        <f t="shared" si="21"/>
        <v>Amina Nur</v>
      </c>
      <c r="C219" t="str">
        <f t="shared" si="22"/>
        <v>Amina Nur</v>
      </c>
      <c r="D219" t="str">
        <f t="shared" si="23"/>
        <v>AMINA NUR</v>
      </c>
      <c r="E219" t="str">
        <f t="shared" si="24"/>
        <v>amina nur</v>
      </c>
      <c r="F219" t="str">
        <f t="shared" si="25"/>
        <v>A</v>
      </c>
      <c r="G219" t="str">
        <f t="shared" si="26"/>
        <v>r</v>
      </c>
      <c r="H219" t="str">
        <f t="shared" si="27"/>
        <v>Amina</v>
      </c>
    </row>
    <row r="220" spans="1:8">
      <c r="A220" t="s">
        <v>1049</v>
      </c>
      <c r="B220" t="str">
        <f t="shared" si="21"/>
        <v>Ifrah Nur</v>
      </c>
      <c r="C220" t="str">
        <f t="shared" si="22"/>
        <v>Ifrah Nur</v>
      </c>
      <c r="D220" t="str">
        <f t="shared" si="23"/>
        <v>IFRAH NUR</v>
      </c>
      <c r="E220" t="str">
        <f t="shared" si="24"/>
        <v>ifrah nur</v>
      </c>
      <c r="F220" t="str">
        <f t="shared" si="25"/>
        <v>I</v>
      </c>
      <c r="G220" t="str">
        <f t="shared" si="26"/>
        <v>r</v>
      </c>
      <c r="H220" t="str">
        <f t="shared" si="27"/>
        <v>Ifrah</v>
      </c>
    </row>
    <row r="221" spans="1:8">
      <c r="A221" t="s">
        <v>1055</v>
      </c>
      <c r="B221" t="str">
        <f t="shared" si="21"/>
        <v>Nasra Ibrahim</v>
      </c>
      <c r="C221" t="str">
        <f t="shared" si="22"/>
        <v>Nasra Ibrahim</v>
      </c>
      <c r="D221" t="str">
        <f t="shared" si="23"/>
        <v>NASRA IBRAHIM</v>
      </c>
      <c r="E221" t="str">
        <f t="shared" si="24"/>
        <v>nasra ibrahim</v>
      </c>
      <c r="F221" t="str">
        <f t="shared" si="25"/>
        <v>N</v>
      </c>
      <c r="G221" t="str">
        <f t="shared" si="26"/>
        <v>m</v>
      </c>
      <c r="H221" t="str">
        <f t="shared" si="27"/>
        <v>Nasra</v>
      </c>
    </row>
    <row r="222" spans="1:8">
      <c r="A222" t="s">
        <v>1060</v>
      </c>
      <c r="B222" t="str">
        <f t="shared" si="21"/>
        <v>Yusuf Sheikh</v>
      </c>
      <c r="C222" t="str">
        <f t="shared" si="22"/>
        <v>Yusuf Sheikh</v>
      </c>
      <c r="D222" t="str">
        <f t="shared" si="23"/>
        <v>YUSUF SHEIKH</v>
      </c>
      <c r="E222" t="str">
        <f t="shared" si="24"/>
        <v>yusuf sheikh</v>
      </c>
      <c r="F222" t="str">
        <f t="shared" si="25"/>
        <v>Y</v>
      </c>
      <c r="G222" t="str">
        <f t="shared" si="26"/>
        <v>h</v>
      </c>
      <c r="H222" t="str">
        <f t="shared" si="27"/>
        <v>Yusuf</v>
      </c>
    </row>
    <row r="223" spans="1:8">
      <c r="A223" t="s">
        <v>934</v>
      </c>
      <c r="B223" t="str">
        <f t="shared" si="21"/>
        <v>Hodan Abdi</v>
      </c>
      <c r="C223" t="str">
        <f t="shared" si="22"/>
        <v>Hodan Abdi</v>
      </c>
      <c r="D223" t="str">
        <f t="shared" si="23"/>
        <v>HODAN ABDI</v>
      </c>
      <c r="E223" t="str">
        <f t="shared" si="24"/>
        <v>hodan abdi</v>
      </c>
      <c r="F223" t="str">
        <f t="shared" si="25"/>
        <v>H</v>
      </c>
      <c r="G223" t="str">
        <f t="shared" si="26"/>
        <v>i</v>
      </c>
      <c r="H223" t="str">
        <f t="shared" si="27"/>
        <v>Hodan</v>
      </c>
    </row>
    <row r="224" spans="1:8">
      <c r="A224" t="s">
        <v>1069</v>
      </c>
      <c r="B224" t="str">
        <f t="shared" si="21"/>
        <v>Fadumo Farah</v>
      </c>
      <c r="C224" t="str">
        <f t="shared" si="22"/>
        <v>Fadumo Farah</v>
      </c>
      <c r="D224" t="str">
        <f t="shared" si="23"/>
        <v>FADUMO FARAH</v>
      </c>
      <c r="E224" t="str">
        <f t="shared" si="24"/>
        <v>fadumo farah</v>
      </c>
      <c r="F224" t="str">
        <f t="shared" si="25"/>
        <v>F</v>
      </c>
      <c r="G224" t="str">
        <f t="shared" si="26"/>
        <v>h</v>
      </c>
      <c r="H224" t="str">
        <f t="shared" si="27"/>
        <v>Fadum</v>
      </c>
    </row>
    <row r="225" spans="1:8">
      <c r="A225" t="s">
        <v>505</v>
      </c>
      <c r="B225" t="str">
        <f t="shared" si="21"/>
        <v>Maryan Sheikh</v>
      </c>
      <c r="C225" t="str">
        <f t="shared" si="22"/>
        <v>Maryan Sheikh</v>
      </c>
      <c r="D225" t="str">
        <f t="shared" si="23"/>
        <v>MARYAN SHEIKH</v>
      </c>
      <c r="E225" t="str">
        <f t="shared" si="24"/>
        <v>maryan sheikh</v>
      </c>
      <c r="F225" t="str">
        <f t="shared" si="25"/>
        <v>M</v>
      </c>
      <c r="G225" t="str">
        <f t="shared" si="26"/>
        <v>h</v>
      </c>
      <c r="H225" t="str">
        <f t="shared" si="27"/>
        <v>Marya</v>
      </c>
    </row>
    <row r="226" spans="1:8">
      <c r="A226" t="s">
        <v>805</v>
      </c>
      <c r="B226" t="str">
        <f t="shared" si="21"/>
        <v>Ahmed Yusuf</v>
      </c>
      <c r="C226" t="str">
        <f t="shared" si="22"/>
        <v>Ahmed Yusuf</v>
      </c>
      <c r="D226" t="str">
        <f t="shared" si="23"/>
        <v>AHMED YUSUF</v>
      </c>
      <c r="E226" t="str">
        <f t="shared" si="24"/>
        <v>ahmed yusuf</v>
      </c>
      <c r="F226" t="str">
        <f t="shared" si="25"/>
        <v>A</v>
      </c>
      <c r="G226" t="str">
        <f t="shared" si="26"/>
        <v>f</v>
      </c>
      <c r="H226" t="str">
        <f t="shared" si="27"/>
        <v>Ahmed</v>
      </c>
    </row>
    <row r="227" spans="1:8">
      <c r="A227" t="s">
        <v>1082</v>
      </c>
      <c r="B227" t="str">
        <f t="shared" si="21"/>
        <v>Abdi Jama</v>
      </c>
      <c r="C227" t="str">
        <f t="shared" si="22"/>
        <v>Abdi Jama</v>
      </c>
      <c r="D227" t="str">
        <f t="shared" si="23"/>
        <v>ABDI JAMA</v>
      </c>
      <c r="E227" t="str">
        <f t="shared" si="24"/>
        <v>abdi jama</v>
      </c>
      <c r="F227" t="str">
        <f t="shared" si="25"/>
        <v>A</v>
      </c>
      <c r="G227" t="str">
        <f t="shared" si="26"/>
        <v>a</v>
      </c>
      <c r="H227" t="str">
        <f t="shared" si="27"/>
        <v xml:space="preserve">Abdi </v>
      </c>
    </row>
    <row r="228" spans="1:8">
      <c r="A228" t="s">
        <v>393</v>
      </c>
      <c r="B228" t="str">
        <f t="shared" si="21"/>
        <v>Abdi Sheikh</v>
      </c>
      <c r="C228" t="str">
        <f t="shared" si="22"/>
        <v>Abdi Sheikh</v>
      </c>
      <c r="D228" t="str">
        <f t="shared" si="23"/>
        <v>ABDI SHEIKH</v>
      </c>
      <c r="E228" t="str">
        <f t="shared" si="24"/>
        <v>abdi sheikh</v>
      </c>
      <c r="F228" t="str">
        <f t="shared" si="25"/>
        <v>A</v>
      </c>
      <c r="G228" t="str">
        <f t="shared" si="26"/>
        <v>h</v>
      </c>
      <c r="H228" t="str">
        <f t="shared" si="27"/>
        <v xml:space="preserve">Abdi </v>
      </c>
    </row>
    <row r="229" spans="1:8">
      <c r="A229" t="s">
        <v>146</v>
      </c>
      <c r="B229" t="str">
        <f t="shared" si="21"/>
        <v>Maryan Farah</v>
      </c>
      <c r="C229" t="str">
        <f t="shared" si="22"/>
        <v>Maryan Farah</v>
      </c>
      <c r="D229" t="str">
        <f t="shared" si="23"/>
        <v>MARYAN FARAH</v>
      </c>
      <c r="E229" t="str">
        <f t="shared" si="24"/>
        <v>maryan farah</v>
      </c>
      <c r="F229" t="str">
        <f t="shared" si="25"/>
        <v>M</v>
      </c>
      <c r="G229" t="str">
        <f t="shared" si="26"/>
        <v>h</v>
      </c>
      <c r="H229" t="str">
        <f t="shared" si="27"/>
        <v>Marya</v>
      </c>
    </row>
    <row r="230" spans="1:8">
      <c r="A230" t="s">
        <v>1095</v>
      </c>
      <c r="B230" t="str">
        <f t="shared" si="21"/>
        <v>Nasra Yusuf</v>
      </c>
      <c r="C230" t="str">
        <f t="shared" si="22"/>
        <v>Nasra Yusuf</v>
      </c>
      <c r="D230" t="str">
        <f t="shared" si="23"/>
        <v>NASRA YUSUF</v>
      </c>
      <c r="E230" t="str">
        <f t="shared" si="24"/>
        <v>nasra yusuf</v>
      </c>
      <c r="F230" t="str">
        <f t="shared" si="25"/>
        <v>N</v>
      </c>
      <c r="G230" t="str">
        <f t="shared" si="26"/>
        <v>f</v>
      </c>
      <c r="H230" t="str">
        <f t="shared" si="27"/>
        <v>Nasra</v>
      </c>
    </row>
    <row r="231" spans="1:8">
      <c r="A231" t="s">
        <v>614</v>
      </c>
      <c r="B231" t="str">
        <f t="shared" si="21"/>
        <v>Ahmed Farah</v>
      </c>
      <c r="C231" t="str">
        <f t="shared" si="22"/>
        <v>Ahmed Farah</v>
      </c>
      <c r="D231" t="str">
        <f t="shared" si="23"/>
        <v>AHMED FARAH</v>
      </c>
      <c r="E231" t="str">
        <f t="shared" si="24"/>
        <v>ahmed farah</v>
      </c>
      <c r="F231" t="str">
        <f t="shared" si="25"/>
        <v>A</v>
      </c>
      <c r="G231" t="str">
        <f t="shared" si="26"/>
        <v>h</v>
      </c>
      <c r="H231" t="str">
        <f t="shared" si="27"/>
        <v>Ahmed</v>
      </c>
    </row>
    <row r="232" spans="1:8">
      <c r="A232" t="s">
        <v>70</v>
      </c>
      <c r="B232" t="str">
        <f t="shared" si="21"/>
        <v>Zahra Samatar</v>
      </c>
      <c r="C232" t="str">
        <f t="shared" si="22"/>
        <v>Zahra Samatar</v>
      </c>
      <c r="D232" t="str">
        <f t="shared" si="23"/>
        <v>ZAHRA SAMATAR</v>
      </c>
      <c r="E232" t="str">
        <f t="shared" si="24"/>
        <v>zahra samatar</v>
      </c>
      <c r="F232" t="str">
        <f t="shared" si="25"/>
        <v>Z</v>
      </c>
      <c r="G232" t="str">
        <f t="shared" si="26"/>
        <v>r</v>
      </c>
      <c r="H232" t="str">
        <f t="shared" si="27"/>
        <v>Zahra</v>
      </c>
    </row>
    <row r="233" spans="1:8">
      <c r="A233" t="s">
        <v>1108</v>
      </c>
      <c r="B233" t="str">
        <f t="shared" si="21"/>
        <v>Mohamed Aden</v>
      </c>
      <c r="C233" t="str">
        <f t="shared" si="22"/>
        <v>Mohamed Aden</v>
      </c>
      <c r="D233" t="str">
        <f t="shared" si="23"/>
        <v>MOHAMED ADEN</v>
      </c>
      <c r="E233" t="str">
        <f t="shared" si="24"/>
        <v>mohamed aden</v>
      </c>
      <c r="F233" t="str">
        <f t="shared" si="25"/>
        <v>M</v>
      </c>
      <c r="G233" t="str">
        <f t="shared" si="26"/>
        <v>n</v>
      </c>
      <c r="H233" t="str">
        <f t="shared" si="27"/>
        <v>Moham</v>
      </c>
    </row>
    <row r="234" spans="1:8">
      <c r="A234" t="s">
        <v>1113</v>
      </c>
      <c r="B234" t="str">
        <f t="shared" si="21"/>
        <v>Fadumo Abdi</v>
      </c>
      <c r="C234" t="str">
        <f t="shared" si="22"/>
        <v>Fadumo Abdi</v>
      </c>
      <c r="D234" t="str">
        <f t="shared" si="23"/>
        <v>FADUMO ABDI</v>
      </c>
      <c r="E234" t="str">
        <f t="shared" si="24"/>
        <v>fadumo abdi</v>
      </c>
      <c r="F234" t="str">
        <f t="shared" si="25"/>
        <v>F</v>
      </c>
      <c r="G234" t="str">
        <f t="shared" si="26"/>
        <v>i</v>
      </c>
      <c r="H234" t="str">
        <f t="shared" si="27"/>
        <v>Fadum</v>
      </c>
    </row>
    <row r="235" spans="1:8">
      <c r="A235" t="s">
        <v>18</v>
      </c>
      <c r="B235" t="str">
        <f t="shared" si="21"/>
        <v>Amina Ali</v>
      </c>
      <c r="C235" t="str">
        <f t="shared" si="22"/>
        <v>Amina Ali</v>
      </c>
      <c r="D235" t="str">
        <f t="shared" si="23"/>
        <v>AMINA ALI</v>
      </c>
      <c r="E235" t="str">
        <f t="shared" si="24"/>
        <v>amina ali</v>
      </c>
      <c r="F235" t="str">
        <f t="shared" si="25"/>
        <v>A</v>
      </c>
      <c r="G235" t="str">
        <f t="shared" si="26"/>
        <v>i</v>
      </c>
      <c r="H235" t="str">
        <f t="shared" si="27"/>
        <v>Amina</v>
      </c>
    </row>
    <row r="236" spans="1:8">
      <c r="A236" t="s">
        <v>1122</v>
      </c>
      <c r="B236" t="str">
        <f t="shared" si="21"/>
        <v>Hodan Dualeh</v>
      </c>
      <c r="C236" t="str">
        <f t="shared" si="22"/>
        <v>Hodan Dualeh</v>
      </c>
      <c r="D236" t="str">
        <f t="shared" si="23"/>
        <v>HODAN DUALEH</v>
      </c>
      <c r="E236" t="str">
        <f t="shared" si="24"/>
        <v>hodan dualeh</v>
      </c>
      <c r="F236" t="str">
        <f t="shared" si="25"/>
        <v>H</v>
      </c>
      <c r="G236" t="str">
        <f t="shared" si="26"/>
        <v>h</v>
      </c>
      <c r="H236" t="str">
        <f t="shared" si="27"/>
        <v>Hodan</v>
      </c>
    </row>
    <row r="237" spans="1:8">
      <c r="A237" t="s">
        <v>1127</v>
      </c>
      <c r="B237" t="str">
        <f t="shared" si="21"/>
        <v>Maryan Omar</v>
      </c>
      <c r="C237" t="str">
        <f t="shared" si="22"/>
        <v>Maryan Omar</v>
      </c>
      <c r="D237" t="str">
        <f t="shared" si="23"/>
        <v>MARYAN OMAR</v>
      </c>
      <c r="E237" t="str">
        <f t="shared" si="24"/>
        <v>maryan omar</v>
      </c>
      <c r="F237" t="str">
        <f t="shared" si="25"/>
        <v>M</v>
      </c>
      <c r="G237" t="str">
        <f t="shared" si="26"/>
        <v>r</v>
      </c>
      <c r="H237" t="str">
        <f t="shared" si="27"/>
        <v>Marya</v>
      </c>
    </row>
    <row r="238" spans="1:8">
      <c r="A238" t="s">
        <v>644</v>
      </c>
      <c r="B238" t="str">
        <f t="shared" si="21"/>
        <v>Omar Farah</v>
      </c>
      <c r="C238" t="str">
        <f t="shared" si="22"/>
        <v>Omar Farah</v>
      </c>
      <c r="D238" t="str">
        <f t="shared" si="23"/>
        <v>OMAR FARAH</v>
      </c>
      <c r="E238" t="str">
        <f t="shared" si="24"/>
        <v>omar farah</v>
      </c>
      <c r="F238" t="str">
        <f t="shared" si="25"/>
        <v>O</v>
      </c>
      <c r="G238" t="str">
        <f t="shared" si="26"/>
        <v>h</v>
      </c>
      <c r="H238" t="str">
        <f t="shared" si="27"/>
        <v xml:space="preserve">Omar </v>
      </c>
    </row>
    <row r="239" spans="1:8">
      <c r="A239" t="s">
        <v>420</v>
      </c>
      <c r="B239" t="str">
        <f t="shared" si="21"/>
        <v>Mohamed Ibrahim</v>
      </c>
      <c r="C239" t="str">
        <f t="shared" si="22"/>
        <v>Mohamed Ibrahim</v>
      </c>
      <c r="D239" t="str">
        <f t="shared" si="23"/>
        <v>MOHAMED IBRAHIM</v>
      </c>
      <c r="E239" t="str">
        <f t="shared" si="24"/>
        <v>mohamed ibrahim</v>
      </c>
      <c r="F239" t="str">
        <f t="shared" si="25"/>
        <v>M</v>
      </c>
      <c r="G239" t="str">
        <f t="shared" si="26"/>
        <v>m</v>
      </c>
      <c r="H239" t="str">
        <f t="shared" si="27"/>
        <v>Moham</v>
      </c>
    </row>
    <row r="240" spans="1:8">
      <c r="A240" t="s">
        <v>1140</v>
      </c>
      <c r="B240" t="str">
        <f t="shared" si="21"/>
        <v>Khalid Osman</v>
      </c>
      <c r="C240" t="str">
        <f t="shared" si="22"/>
        <v>Khalid Osman</v>
      </c>
      <c r="D240" t="str">
        <f t="shared" si="23"/>
        <v>KHALID OSMAN</v>
      </c>
      <c r="E240" t="str">
        <f t="shared" si="24"/>
        <v>khalid osman</v>
      </c>
      <c r="F240" t="str">
        <f t="shared" si="25"/>
        <v>K</v>
      </c>
      <c r="G240" t="str">
        <f t="shared" si="26"/>
        <v>n</v>
      </c>
      <c r="H240" t="str">
        <f t="shared" si="27"/>
        <v>Khali</v>
      </c>
    </row>
    <row r="241" spans="1:8">
      <c r="A241" t="s">
        <v>805</v>
      </c>
      <c r="B241" t="str">
        <f t="shared" si="21"/>
        <v>Ahmed Yusuf</v>
      </c>
      <c r="C241" t="str">
        <f t="shared" si="22"/>
        <v>Ahmed Yusuf</v>
      </c>
      <c r="D241" t="str">
        <f t="shared" si="23"/>
        <v>AHMED YUSUF</v>
      </c>
      <c r="E241" t="str">
        <f t="shared" si="24"/>
        <v>ahmed yusuf</v>
      </c>
      <c r="F241" t="str">
        <f t="shared" si="25"/>
        <v>A</v>
      </c>
      <c r="G241" t="str">
        <f t="shared" si="26"/>
        <v>f</v>
      </c>
      <c r="H241" t="str">
        <f t="shared" si="27"/>
        <v>Ahmed</v>
      </c>
    </row>
    <row r="242" spans="1:8">
      <c r="A242" t="s">
        <v>649</v>
      </c>
      <c r="B242" t="str">
        <f t="shared" si="21"/>
        <v>Ali Hassan</v>
      </c>
      <c r="C242" t="str">
        <f t="shared" si="22"/>
        <v>Ali Hassan</v>
      </c>
      <c r="D242" t="str">
        <f t="shared" si="23"/>
        <v>ALI HASSAN</v>
      </c>
      <c r="E242" t="str">
        <f t="shared" si="24"/>
        <v>ali hassan</v>
      </c>
      <c r="F242" t="str">
        <f t="shared" si="25"/>
        <v>A</v>
      </c>
      <c r="G242" t="str">
        <f t="shared" si="26"/>
        <v>n</v>
      </c>
      <c r="H242" t="str">
        <f t="shared" si="27"/>
        <v>Ali H</v>
      </c>
    </row>
    <row r="243" spans="1:8">
      <c r="A243" t="s">
        <v>1152</v>
      </c>
      <c r="B243" t="str">
        <f t="shared" si="21"/>
        <v>Mohamed Dahir</v>
      </c>
      <c r="C243" t="str">
        <f t="shared" si="22"/>
        <v>Mohamed Dahir</v>
      </c>
      <c r="D243" t="str">
        <f t="shared" si="23"/>
        <v>MOHAMED DAHIR</v>
      </c>
      <c r="E243" t="str">
        <f t="shared" si="24"/>
        <v>mohamed dahir</v>
      </c>
      <c r="F243" t="str">
        <f t="shared" si="25"/>
        <v>M</v>
      </c>
      <c r="G243" t="str">
        <f t="shared" si="26"/>
        <v>r</v>
      </c>
      <c r="H243" t="str">
        <f t="shared" si="27"/>
        <v>Moham</v>
      </c>
    </row>
    <row r="244" spans="1:8">
      <c r="A244" t="s">
        <v>1157</v>
      </c>
      <c r="B244" t="str">
        <f t="shared" si="21"/>
        <v>Maryan Hassan</v>
      </c>
      <c r="C244" t="str">
        <f t="shared" si="22"/>
        <v>Maryan Hassan</v>
      </c>
      <c r="D244" t="str">
        <f t="shared" si="23"/>
        <v>MARYAN HASSAN</v>
      </c>
      <c r="E244" t="str">
        <f t="shared" si="24"/>
        <v>maryan hassan</v>
      </c>
      <c r="F244" t="str">
        <f t="shared" si="25"/>
        <v>M</v>
      </c>
      <c r="G244" t="str">
        <f t="shared" si="26"/>
        <v>n</v>
      </c>
      <c r="H244" t="str">
        <f t="shared" si="27"/>
        <v>Marya</v>
      </c>
    </row>
    <row r="245" spans="1:8">
      <c r="A245" t="s">
        <v>1162</v>
      </c>
      <c r="B245" t="str">
        <f t="shared" si="21"/>
        <v>Yusuf Ibrahim</v>
      </c>
      <c r="C245" t="str">
        <f t="shared" si="22"/>
        <v>Yusuf Ibrahim</v>
      </c>
      <c r="D245" t="str">
        <f t="shared" si="23"/>
        <v>YUSUF IBRAHIM</v>
      </c>
      <c r="E245" t="str">
        <f t="shared" si="24"/>
        <v>yusuf ibrahim</v>
      </c>
      <c r="F245" t="str">
        <f t="shared" si="25"/>
        <v>Y</v>
      </c>
      <c r="G245" t="str">
        <f t="shared" si="26"/>
        <v>m</v>
      </c>
      <c r="H245" t="str">
        <f t="shared" si="27"/>
        <v>Yusuf</v>
      </c>
    </row>
    <row r="246" spans="1:8">
      <c r="A246" t="s">
        <v>1167</v>
      </c>
      <c r="B246" t="str">
        <f t="shared" si="21"/>
        <v>Abdi Hassan</v>
      </c>
      <c r="C246" t="str">
        <f t="shared" si="22"/>
        <v>Abdi Hassan</v>
      </c>
      <c r="D246" t="str">
        <f t="shared" si="23"/>
        <v>ABDI HASSAN</v>
      </c>
      <c r="E246" t="str">
        <f t="shared" si="24"/>
        <v>abdi hassan</v>
      </c>
      <c r="F246" t="str">
        <f t="shared" si="25"/>
        <v>A</v>
      </c>
      <c r="G246" t="str">
        <f t="shared" si="26"/>
        <v>n</v>
      </c>
      <c r="H246" t="str">
        <f t="shared" si="27"/>
        <v xml:space="preserve">Abdi </v>
      </c>
    </row>
    <row r="247" spans="1:8">
      <c r="A247" t="s">
        <v>70</v>
      </c>
      <c r="B247" t="str">
        <f t="shared" si="21"/>
        <v>Zahra Samatar</v>
      </c>
      <c r="C247" t="str">
        <f t="shared" si="22"/>
        <v>Zahra Samatar</v>
      </c>
      <c r="D247" t="str">
        <f t="shared" si="23"/>
        <v>ZAHRA SAMATAR</v>
      </c>
      <c r="E247" t="str">
        <f t="shared" si="24"/>
        <v>zahra samatar</v>
      </c>
      <c r="F247" t="str">
        <f t="shared" si="25"/>
        <v>Z</v>
      </c>
      <c r="G247" t="str">
        <f t="shared" si="26"/>
        <v>r</v>
      </c>
      <c r="H247" t="str">
        <f t="shared" si="27"/>
        <v>Zahra</v>
      </c>
    </row>
    <row r="248" spans="1:8">
      <c r="A248" t="s">
        <v>876</v>
      </c>
      <c r="B248" t="str">
        <f t="shared" si="21"/>
        <v>Nasra Hassan</v>
      </c>
      <c r="C248" t="str">
        <f t="shared" si="22"/>
        <v>Nasra Hassan</v>
      </c>
      <c r="D248" t="str">
        <f t="shared" si="23"/>
        <v>NASRA HASSAN</v>
      </c>
      <c r="E248" t="str">
        <f t="shared" si="24"/>
        <v>nasra hassan</v>
      </c>
      <c r="F248" t="str">
        <f t="shared" si="25"/>
        <v>N</v>
      </c>
      <c r="G248" t="str">
        <f t="shared" si="26"/>
        <v>n</v>
      </c>
      <c r="H248" t="str">
        <f t="shared" si="27"/>
        <v>Nasra</v>
      </c>
    </row>
    <row r="249" spans="1:8">
      <c r="A249" t="s">
        <v>1180</v>
      </c>
      <c r="B249" t="str">
        <f t="shared" si="21"/>
        <v>Hodan Isse</v>
      </c>
      <c r="C249" t="str">
        <f t="shared" si="22"/>
        <v>Hodan Isse</v>
      </c>
      <c r="D249" t="str">
        <f t="shared" si="23"/>
        <v>HODAN ISSE</v>
      </c>
      <c r="E249" t="str">
        <f t="shared" si="24"/>
        <v>hodan isse</v>
      </c>
      <c r="F249" t="str">
        <f t="shared" si="25"/>
        <v>H</v>
      </c>
      <c r="G249" t="str">
        <f t="shared" si="26"/>
        <v>e</v>
      </c>
      <c r="H249" t="str">
        <f t="shared" si="27"/>
        <v>Hodan</v>
      </c>
    </row>
    <row r="250" spans="1:8">
      <c r="A250" t="s">
        <v>1185</v>
      </c>
      <c r="B250" t="str">
        <f t="shared" si="21"/>
        <v>Ali Ibrahim</v>
      </c>
      <c r="C250" t="str">
        <f t="shared" si="22"/>
        <v>Ali Ibrahim</v>
      </c>
      <c r="D250" t="str">
        <f t="shared" si="23"/>
        <v>ALI IBRAHIM</v>
      </c>
      <c r="E250" t="str">
        <f t="shared" si="24"/>
        <v>ali ibrahim</v>
      </c>
      <c r="F250" t="str">
        <f t="shared" si="25"/>
        <v>A</v>
      </c>
      <c r="G250" t="str">
        <f t="shared" si="26"/>
        <v>m</v>
      </c>
      <c r="H250" t="str">
        <f t="shared" si="27"/>
        <v>Ali I</v>
      </c>
    </row>
    <row r="251" spans="1:8">
      <c r="A251" t="s">
        <v>393</v>
      </c>
      <c r="B251" t="str">
        <f t="shared" si="21"/>
        <v>Abdi Sheikh</v>
      </c>
      <c r="C251" t="str">
        <f t="shared" si="22"/>
        <v>Abdi Sheikh</v>
      </c>
      <c r="D251" t="str">
        <f t="shared" si="23"/>
        <v>ABDI SHEIKH</v>
      </c>
      <c r="E251" t="str">
        <f t="shared" si="24"/>
        <v>abdi sheikh</v>
      </c>
      <c r="F251" t="str">
        <f t="shared" si="25"/>
        <v>A</v>
      </c>
      <c r="G251" t="str">
        <f t="shared" si="26"/>
        <v>h</v>
      </c>
      <c r="H251" t="str">
        <f t="shared" si="27"/>
        <v xml:space="preserve">Abdi </v>
      </c>
    </row>
    <row r="252" spans="1:8">
      <c r="A252" t="s">
        <v>1194</v>
      </c>
      <c r="B252" t="str">
        <f t="shared" si="21"/>
        <v>NASRA DAHIR</v>
      </c>
      <c r="C252" t="str">
        <f t="shared" si="22"/>
        <v>Nasra Dahir</v>
      </c>
      <c r="D252" t="str">
        <f t="shared" si="23"/>
        <v>NASRA DAHIR</v>
      </c>
      <c r="E252" t="str">
        <f t="shared" si="24"/>
        <v>nasra dahir</v>
      </c>
      <c r="F252" t="str">
        <f t="shared" si="25"/>
        <v>N</v>
      </c>
      <c r="G252" t="str">
        <f t="shared" si="26"/>
        <v>R</v>
      </c>
      <c r="H252" t="str">
        <f t="shared" si="27"/>
        <v>NASRA</v>
      </c>
    </row>
    <row r="253" spans="1:8">
      <c r="A253" t="s">
        <v>1199</v>
      </c>
      <c r="B253" t="str">
        <f t="shared" si="21"/>
        <v>Abdullahi Osman</v>
      </c>
      <c r="C253" t="str">
        <f t="shared" si="22"/>
        <v>Abdullahi Osman</v>
      </c>
      <c r="D253" t="str">
        <f t="shared" si="23"/>
        <v>ABDULLAHI OSMAN</v>
      </c>
      <c r="E253" t="str">
        <f t="shared" si="24"/>
        <v>abdullahi osman</v>
      </c>
      <c r="F253" t="str">
        <f t="shared" si="25"/>
        <v>A</v>
      </c>
      <c r="G253" t="str">
        <f t="shared" si="26"/>
        <v>n</v>
      </c>
      <c r="H253" t="str">
        <f t="shared" si="27"/>
        <v>Abdul</v>
      </c>
    </row>
    <row r="254" spans="1:8">
      <c r="A254" t="s">
        <v>1204</v>
      </c>
      <c r="B254" t="str">
        <f t="shared" si="21"/>
        <v>Nasra Isse</v>
      </c>
      <c r="C254" t="str">
        <f t="shared" si="22"/>
        <v>Nasra Isse</v>
      </c>
      <c r="D254" t="str">
        <f t="shared" si="23"/>
        <v>NASRA ISSE</v>
      </c>
      <c r="E254" t="str">
        <f t="shared" si="24"/>
        <v>nasra isse</v>
      </c>
      <c r="F254" t="str">
        <f t="shared" si="25"/>
        <v>N</v>
      </c>
      <c r="G254" t="str">
        <f t="shared" si="26"/>
        <v>e</v>
      </c>
      <c r="H254" t="str">
        <f t="shared" si="27"/>
        <v>Nasra</v>
      </c>
    </row>
    <row r="255" spans="1:8">
      <c r="A255" t="s">
        <v>1209</v>
      </c>
      <c r="B255" t="str">
        <f t="shared" si="21"/>
        <v>Ifrah Samatar</v>
      </c>
      <c r="C255" t="str">
        <f t="shared" si="22"/>
        <v>Ifrah Samatar</v>
      </c>
      <c r="D255" t="str">
        <f t="shared" si="23"/>
        <v>IFRAH SAMATAR</v>
      </c>
      <c r="E255" t="str">
        <f t="shared" si="24"/>
        <v>ifrah samatar</v>
      </c>
      <c r="F255" t="str">
        <f t="shared" si="25"/>
        <v>I</v>
      </c>
      <c r="G255" t="str">
        <f t="shared" si="26"/>
        <v>r</v>
      </c>
      <c r="H255" t="str">
        <f t="shared" si="27"/>
        <v>Ifrah</v>
      </c>
    </row>
    <row r="256" spans="1:8">
      <c r="A256" t="s">
        <v>1214</v>
      </c>
      <c r="B256" t="str">
        <f t="shared" si="21"/>
        <v>Ikram Warsame</v>
      </c>
      <c r="C256" t="str">
        <f t="shared" si="22"/>
        <v>Ikram Warsame</v>
      </c>
      <c r="D256" t="str">
        <f t="shared" si="23"/>
        <v>IKRAM WARSAME</v>
      </c>
      <c r="E256" t="str">
        <f t="shared" si="24"/>
        <v>ikram warsame</v>
      </c>
      <c r="F256" t="str">
        <f t="shared" si="25"/>
        <v>I</v>
      </c>
      <c r="G256" t="str">
        <f t="shared" si="26"/>
        <v>e</v>
      </c>
      <c r="H256" t="str">
        <f t="shared" si="27"/>
        <v>Ikram</v>
      </c>
    </row>
    <row r="257" spans="1:8">
      <c r="A257" t="s">
        <v>1219</v>
      </c>
      <c r="B257" t="str">
        <f t="shared" si="21"/>
        <v>Mohamed Osman</v>
      </c>
      <c r="C257" t="str">
        <f t="shared" si="22"/>
        <v>Mohamed Osman</v>
      </c>
      <c r="D257" t="str">
        <f t="shared" si="23"/>
        <v>MOHAMED OSMAN</v>
      </c>
      <c r="E257" t="str">
        <f t="shared" si="24"/>
        <v>mohamed osman</v>
      </c>
      <c r="F257" t="str">
        <f t="shared" si="25"/>
        <v>M</v>
      </c>
      <c r="G257" t="str">
        <f t="shared" si="26"/>
        <v>n</v>
      </c>
      <c r="H257" t="str">
        <f t="shared" si="27"/>
        <v>Moham</v>
      </c>
    </row>
    <row r="258" spans="1:8">
      <c r="A258" t="s">
        <v>981</v>
      </c>
      <c r="B258" t="str">
        <f t="shared" si="21"/>
        <v>Zahra Roble</v>
      </c>
      <c r="C258" t="str">
        <f t="shared" si="22"/>
        <v>Zahra Roble</v>
      </c>
      <c r="D258" t="str">
        <f t="shared" si="23"/>
        <v>ZAHRA ROBLE</v>
      </c>
      <c r="E258" t="str">
        <f t="shared" si="24"/>
        <v>zahra roble</v>
      </c>
      <c r="F258" t="str">
        <f t="shared" si="25"/>
        <v>Z</v>
      </c>
      <c r="G258" t="str">
        <f t="shared" si="26"/>
        <v>e</v>
      </c>
      <c r="H258" t="str">
        <f t="shared" si="27"/>
        <v>Zahra</v>
      </c>
    </row>
    <row r="259" spans="1:8">
      <c r="A259" t="s">
        <v>1228</v>
      </c>
      <c r="B259" t="str">
        <f t="shared" ref="B259:B296" si="28">TRIM(A259)</f>
        <v>Maryan Osman</v>
      </c>
      <c r="C259" t="str">
        <f t="shared" ref="C259:C296" si="29">PROPER(A259)</f>
        <v>Maryan Osman</v>
      </c>
      <c r="D259" t="str">
        <f t="shared" ref="D259:D296" si="30">UPPER(A259)</f>
        <v>MARYAN OSMAN</v>
      </c>
      <c r="E259" t="str">
        <f t="shared" ref="E259:E296" si="31">LOWER(A259)</f>
        <v>maryan osman</v>
      </c>
      <c r="F259" t="str">
        <f t="shared" ref="F259:F296" si="32">LEFT(A259)</f>
        <v>M</v>
      </c>
      <c r="G259" t="str">
        <f t="shared" ref="G259:G296" si="33">RIGHT(A259)</f>
        <v>n</v>
      </c>
      <c r="H259" t="str">
        <f t="shared" ref="H259:H296" si="34">MID(A259,1,5)</f>
        <v>Marya</v>
      </c>
    </row>
    <row r="260" spans="1:8">
      <c r="A260" t="s">
        <v>1233</v>
      </c>
      <c r="B260" t="str">
        <f t="shared" si="28"/>
        <v>Ahmed Omar</v>
      </c>
      <c r="C260" t="str">
        <f t="shared" si="29"/>
        <v>Ahmed Omar</v>
      </c>
      <c r="D260" t="str">
        <f t="shared" si="30"/>
        <v>AHMED OMAR</v>
      </c>
      <c r="E260" t="str">
        <f t="shared" si="31"/>
        <v>ahmed omar</v>
      </c>
      <c r="F260" t="str">
        <f t="shared" si="32"/>
        <v>A</v>
      </c>
      <c r="G260" t="str">
        <f t="shared" si="33"/>
        <v>r</v>
      </c>
      <c r="H260" t="str">
        <f t="shared" si="34"/>
        <v>Ahmed</v>
      </c>
    </row>
    <row r="261" spans="1:8">
      <c r="A261" t="s">
        <v>915</v>
      </c>
      <c r="B261" t="str">
        <f t="shared" si="28"/>
        <v>Mahad Mohamud</v>
      </c>
      <c r="C261" t="str">
        <f t="shared" si="29"/>
        <v>Mahad Mohamud</v>
      </c>
      <c r="D261" t="str">
        <f t="shared" si="30"/>
        <v>MAHAD MOHAMUD</v>
      </c>
      <c r="E261" t="str">
        <f t="shared" si="31"/>
        <v>mahad mohamud</v>
      </c>
      <c r="F261" t="str">
        <f t="shared" si="32"/>
        <v>M</v>
      </c>
      <c r="G261" t="str">
        <f t="shared" si="33"/>
        <v>d</v>
      </c>
      <c r="H261" t="str">
        <f t="shared" si="34"/>
        <v>Mahad</v>
      </c>
    </row>
    <row r="262" spans="1:8">
      <c r="A262" t="s">
        <v>1242</v>
      </c>
      <c r="B262" t="str">
        <f t="shared" si="28"/>
        <v>Fadumo Hassan</v>
      </c>
      <c r="C262" t="str">
        <f t="shared" si="29"/>
        <v>Fadumo Hassan</v>
      </c>
      <c r="D262" t="str">
        <f t="shared" si="30"/>
        <v>FADUMO HASSAN</v>
      </c>
      <c r="E262" t="str">
        <f t="shared" si="31"/>
        <v>fadumo hassan</v>
      </c>
      <c r="F262" t="str">
        <f t="shared" si="32"/>
        <v>F</v>
      </c>
      <c r="G262" t="str">
        <f t="shared" si="33"/>
        <v>n</v>
      </c>
      <c r="H262" t="str">
        <f t="shared" si="34"/>
        <v>Fadum</v>
      </c>
    </row>
    <row r="263" spans="1:8">
      <c r="A263" t="s">
        <v>251</v>
      </c>
      <c r="B263" t="str">
        <f t="shared" si="28"/>
        <v>Omar Warsame</v>
      </c>
      <c r="C263" t="str">
        <f t="shared" si="29"/>
        <v>Omar Warsame</v>
      </c>
      <c r="D263" t="str">
        <f t="shared" si="30"/>
        <v>OMAR WARSAME</v>
      </c>
      <c r="E263" t="str">
        <f t="shared" si="31"/>
        <v>omar warsame</v>
      </c>
      <c r="F263" t="str">
        <f t="shared" si="32"/>
        <v>O</v>
      </c>
      <c r="G263" t="str">
        <f t="shared" si="33"/>
        <v>e</v>
      </c>
      <c r="H263" t="str">
        <f t="shared" si="34"/>
        <v xml:space="preserve">Omar </v>
      </c>
    </row>
    <row r="264" spans="1:8">
      <c r="A264" t="s">
        <v>1251</v>
      </c>
      <c r="B264" t="str">
        <f t="shared" si="28"/>
        <v>Zahra Dualeh</v>
      </c>
      <c r="C264" t="str">
        <f t="shared" si="29"/>
        <v>Zahra Dualeh</v>
      </c>
      <c r="D264" t="str">
        <f t="shared" si="30"/>
        <v>ZAHRA DUALEH</v>
      </c>
      <c r="E264" t="str">
        <f t="shared" si="31"/>
        <v>zahra dualeh</v>
      </c>
      <c r="F264" t="str">
        <f t="shared" si="32"/>
        <v>Z</v>
      </c>
      <c r="G264" t="str">
        <f t="shared" si="33"/>
        <v>h</v>
      </c>
      <c r="H264" t="str">
        <f t="shared" si="34"/>
        <v>Zahra</v>
      </c>
    </row>
    <row r="265" spans="1:8">
      <c r="A265" t="s">
        <v>1256</v>
      </c>
      <c r="B265" t="str">
        <f t="shared" si="28"/>
        <v>Fadumo Aden</v>
      </c>
      <c r="C265" t="str">
        <f t="shared" si="29"/>
        <v>Fadumo Aden</v>
      </c>
      <c r="D265" t="str">
        <f t="shared" si="30"/>
        <v>FADUMO ADEN</v>
      </c>
      <c r="E265" t="str">
        <f t="shared" si="31"/>
        <v>fadumo aden</v>
      </c>
      <c r="F265" t="str">
        <f t="shared" si="32"/>
        <v>F</v>
      </c>
      <c r="G265" t="str">
        <f t="shared" si="33"/>
        <v>n</v>
      </c>
      <c r="H265" t="str">
        <f t="shared" si="34"/>
        <v>Fadum</v>
      </c>
    </row>
    <row r="266" spans="1:8">
      <c r="A266" t="s">
        <v>569</v>
      </c>
      <c r="B266" t="str">
        <f t="shared" si="28"/>
        <v>Fadumo Osman</v>
      </c>
      <c r="C266" t="str">
        <f t="shared" si="29"/>
        <v>Fadumo Osman</v>
      </c>
      <c r="D266" t="str">
        <f t="shared" si="30"/>
        <v>FADUMO OSMAN</v>
      </c>
      <c r="E266" t="str">
        <f t="shared" si="31"/>
        <v>fadumo osman</v>
      </c>
      <c r="F266" t="str">
        <f t="shared" si="32"/>
        <v>F</v>
      </c>
      <c r="G266" t="str">
        <f t="shared" si="33"/>
        <v>n</v>
      </c>
      <c r="H266" t="str">
        <f t="shared" si="34"/>
        <v>Fadum</v>
      </c>
    </row>
    <row r="267" spans="1:8">
      <c r="A267" t="s">
        <v>151</v>
      </c>
      <c r="B267" t="str">
        <f t="shared" si="28"/>
        <v>Amina Hassan</v>
      </c>
      <c r="C267" t="str">
        <f t="shared" si="29"/>
        <v>Amina Hassan</v>
      </c>
      <c r="D267" t="str">
        <f t="shared" si="30"/>
        <v>AMINA HASSAN</v>
      </c>
      <c r="E267" t="str">
        <f t="shared" si="31"/>
        <v>amina hassan</v>
      </c>
      <c r="F267" t="str">
        <f t="shared" si="32"/>
        <v>A</v>
      </c>
      <c r="G267" t="str">
        <f t="shared" si="33"/>
        <v>n</v>
      </c>
      <c r="H267" t="str">
        <f t="shared" si="34"/>
        <v>Amina</v>
      </c>
    </row>
    <row r="268" spans="1:8">
      <c r="A268" t="s">
        <v>1003</v>
      </c>
      <c r="B268" t="str">
        <f t="shared" si="28"/>
        <v>Fadumo Isse</v>
      </c>
      <c r="C268" t="str">
        <f t="shared" si="29"/>
        <v>Fadumo Isse</v>
      </c>
      <c r="D268" t="str">
        <f t="shared" si="30"/>
        <v>FADUMO ISSE</v>
      </c>
      <c r="E268" t="str">
        <f t="shared" si="31"/>
        <v>fadumo isse</v>
      </c>
      <c r="F268" t="str">
        <f t="shared" si="32"/>
        <v>F</v>
      </c>
      <c r="G268" t="str">
        <f t="shared" si="33"/>
        <v>e</v>
      </c>
      <c r="H268" t="str">
        <f t="shared" si="34"/>
        <v>Fadum</v>
      </c>
    </row>
    <row r="269" spans="1:8">
      <c r="A269" t="s">
        <v>109</v>
      </c>
      <c r="B269" t="str">
        <f t="shared" si="28"/>
        <v>Omar Hassan</v>
      </c>
      <c r="C269" t="str">
        <f t="shared" si="29"/>
        <v>Omar Hassan</v>
      </c>
      <c r="D269" t="str">
        <f t="shared" si="30"/>
        <v>OMAR HASSAN</v>
      </c>
      <c r="E269" t="str">
        <f t="shared" si="31"/>
        <v>omar hassan</v>
      </c>
      <c r="F269" t="str">
        <f t="shared" si="32"/>
        <v>O</v>
      </c>
      <c r="G269" t="str">
        <f t="shared" si="33"/>
        <v>n</v>
      </c>
      <c r="H269" t="str">
        <f t="shared" si="34"/>
        <v xml:space="preserve">Omar </v>
      </c>
    </row>
    <row r="270" spans="1:8">
      <c r="A270" t="s">
        <v>990</v>
      </c>
      <c r="B270" t="str">
        <f t="shared" si="28"/>
        <v>Mahad Muse</v>
      </c>
      <c r="C270" t="str">
        <f t="shared" si="29"/>
        <v>Mahad Muse</v>
      </c>
      <c r="D270" t="str">
        <f t="shared" si="30"/>
        <v>MAHAD MUSE</v>
      </c>
      <c r="E270" t="str">
        <f t="shared" si="31"/>
        <v>mahad muse</v>
      </c>
      <c r="F270" t="str">
        <f t="shared" si="32"/>
        <v>M</v>
      </c>
      <c r="G270" t="str">
        <f t="shared" si="33"/>
        <v>e</v>
      </c>
      <c r="H270" t="str">
        <f t="shared" si="34"/>
        <v>Mahad</v>
      </c>
    </row>
    <row r="271" spans="1:8">
      <c r="A271" t="s">
        <v>1281</v>
      </c>
      <c r="B271" t="str">
        <f t="shared" si="28"/>
        <v>Sahra Samatar</v>
      </c>
      <c r="C271" t="str">
        <f t="shared" si="29"/>
        <v>Sahra Samatar</v>
      </c>
      <c r="D271" t="str">
        <f t="shared" si="30"/>
        <v>SAHRA SAMATAR</v>
      </c>
      <c r="E271" t="str">
        <f t="shared" si="31"/>
        <v>sahra samatar</v>
      </c>
      <c r="F271" t="str">
        <f t="shared" si="32"/>
        <v>S</v>
      </c>
      <c r="G271" t="str">
        <f t="shared" si="33"/>
        <v>r</v>
      </c>
      <c r="H271" t="str">
        <f t="shared" si="34"/>
        <v>Sahra</v>
      </c>
    </row>
    <row r="272" spans="1:8">
      <c r="A272" t="s">
        <v>1008</v>
      </c>
      <c r="B272" t="str">
        <f t="shared" si="28"/>
        <v>Ikram Jama</v>
      </c>
      <c r="C272" t="str">
        <f t="shared" si="29"/>
        <v>Ikram Jama</v>
      </c>
      <c r="D272" t="str">
        <f t="shared" si="30"/>
        <v>IKRAM JAMA</v>
      </c>
      <c r="E272" t="str">
        <f t="shared" si="31"/>
        <v>ikram jama</v>
      </c>
      <c r="F272" t="str">
        <f t="shared" si="32"/>
        <v>I</v>
      </c>
      <c r="G272" t="str">
        <f t="shared" si="33"/>
        <v>a</v>
      </c>
      <c r="H272" t="str">
        <f t="shared" si="34"/>
        <v>Ikram</v>
      </c>
    </row>
    <row r="273" spans="1:8">
      <c r="A273" t="s">
        <v>298</v>
      </c>
      <c r="B273" t="str">
        <f t="shared" si="28"/>
        <v>Sahra Farah</v>
      </c>
      <c r="C273" t="str">
        <f t="shared" si="29"/>
        <v>Sahra Farah</v>
      </c>
      <c r="D273" t="str">
        <f t="shared" si="30"/>
        <v>SAHRA FARAH</v>
      </c>
      <c r="E273" t="str">
        <f t="shared" si="31"/>
        <v>sahra farah</v>
      </c>
      <c r="F273" t="str">
        <f t="shared" si="32"/>
        <v>S</v>
      </c>
      <c r="G273" t="str">
        <f t="shared" si="33"/>
        <v>h</v>
      </c>
      <c r="H273" t="str">
        <f t="shared" si="34"/>
        <v>Sahra</v>
      </c>
    </row>
    <row r="274" spans="1:8">
      <c r="A274" t="s">
        <v>1294</v>
      </c>
      <c r="B274" t="str">
        <f t="shared" si="28"/>
        <v>Ikram Hassan</v>
      </c>
      <c r="C274" t="str">
        <f t="shared" si="29"/>
        <v>Ikram Hassan</v>
      </c>
      <c r="D274" t="str">
        <f t="shared" si="30"/>
        <v>IKRAM HASSAN</v>
      </c>
      <c r="E274" t="str">
        <f t="shared" si="31"/>
        <v>ikram hassan</v>
      </c>
      <c r="F274" t="str">
        <f t="shared" si="32"/>
        <v>I</v>
      </c>
      <c r="G274" t="str">
        <f t="shared" si="33"/>
        <v>n</v>
      </c>
      <c r="H274" t="str">
        <f t="shared" si="34"/>
        <v>Ikram</v>
      </c>
    </row>
    <row r="275" spans="1:8">
      <c r="A275" t="s">
        <v>1299</v>
      </c>
      <c r="B275" t="str">
        <f t="shared" si="28"/>
        <v>Sahra Muse</v>
      </c>
      <c r="C275" t="str">
        <f t="shared" si="29"/>
        <v>Sahra Muse</v>
      </c>
      <c r="D275" t="str">
        <f t="shared" si="30"/>
        <v>SAHRA MUSE</v>
      </c>
      <c r="E275" t="str">
        <f t="shared" si="31"/>
        <v>sahra muse</v>
      </c>
      <c r="F275" t="str">
        <f t="shared" si="32"/>
        <v>S</v>
      </c>
      <c r="G275" t="str">
        <f t="shared" si="33"/>
        <v>e</v>
      </c>
      <c r="H275" t="str">
        <f t="shared" si="34"/>
        <v>Sahra</v>
      </c>
    </row>
    <row r="276" spans="1:8">
      <c r="A276" t="s">
        <v>1304</v>
      </c>
      <c r="B276" t="str">
        <f t="shared" si="28"/>
        <v>Hodan Osman</v>
      </c>
      <c r="C276" t="str">
        <f t="shared" si="29"/>
        <v>Hodan Osman</v>
      </c>
      <c r="D276" t="str">
        <f t="shared" si="30"/>
        <v>HODAN OSMAN</v>
      </c>
      <c r="E276" t="str">
        <f t="shared" si="31"/>
        <v>hodan osman</v>
      </c>
      <c r="F276" t="str">
        <f t="shared" si="32"/>
        <v>H</v>
      </c>
      <c r="G276" t="str">
        <f t="shared" si="33"/>
        <v>n</v>
      </c>
      <c r="H276" t="str">
        <f t="shared" si="34"/>
        <v>Hodan</v>
      </c>
    </row>
    <row r="277" spans="1:8">
      <c r="A277" t="s">
        <v>679</v>
      </c>
      <c r="B277" t="str">
        <f t="shared" si="28"/>
        <v>Khalid Isse</v>
      </c>
      <c r="C277" t="str">
        <f t="shared" si="29"/>
        <v>Khalid Isse</v>
      </c>
      <c r="D277" t="str">
        <f t="shared" si="30"/>
        <v>KHALID ISSE</v>
      </c>
      <c r="E277" t="str">
        <f t="shared" si="31"/>
        <v>khalid isse</v>
      </c>
      <c r="F277" t="str">
        <f t="shared" si="32"/>
        <v>K</v>
      </c>
      <c r="G277" t="str">
        <f t="shared" si="33"/>
        <v>e</v>
      </c>
      <c r="H277" t="str">
        <f t="shared" si="34"/>
        <v>Khali</v>
      </c>
    </row>
    <row r="278" spans="1:8">
      <c r="A278" t="s">
        <v>1314</v>
      </c>
      <c r="B278" t="str">
        <f t="shared" si="28"/>
        <v>Fadumo Dahir</v>
      </c>
      <c r="C278" t="str">
        <f t="shared" si="29"/>
        <v>Fadumo Dahir</v>
      </c>
      <c r="D278" t="str">
        <f t="shared" si="30"/>
        <v>FADUMO DAHIR</v>
      </c>
      <c r="E278" t="str">
        <f t="shared" si="31"/>
        <v>fadumo dahir</v>
      </c>
      <c r="F278" t="str">
        <f t="shared" si="32"/>
        <v>F</v>
      </c>
      <c r="G278" t="str">
        <f t="shared" si="33"/>
        <v>r</v>
      </c>
      <c r="H278" t="str">
        <f t="shared" si="34"/>
        <v>Fadum</v>
      </c>
    </row>
    <row r="279" spans="1:8">
      <c r="A279" t="s">
        <v>1319</v>
      </c>
      <c r="B279" t="str">
        <f t="shared" si="28"/>
        <v>Fadumo Roble</v>
      </c>
      <c r="C279" t="str">
        <f t="shared" si="29"/>
        <v>Fadumo Roble</v>
      </c>
      <c r="D279" t="str">
        <f t="shared" si="30"/>
        <v>FADUMO ROBLE</v>
      </c>
      <c r="E279" t="str">
        <f t="shared" si="31"/>
        <v>fadumo roble</v>
      </c>
      <c r="F279" t="str">
        <f t="shared" si="32"/>
        <v>F</v>
      </c>
      <c r="G279" t="str">
        <f t="shared" si="33"/>
        <v>e</v>
      </c>
      <c r="H279" t="str">
        <f t="shared" si="34"/>
        <v>Fadum</v>
      </c>
    </row>
    <row r="280" spans="1:8">
      <c r="A280" t="s">
        <v>1035</v>
      </c>
      <c r="B280" t="str">
        <f t="shared" si="28"/>
        <v>Khalid Farah</v>
      </c>
      <c r="C280" t="str">
        <f t="shared" si="29"/>
        <v>Khalid Farah</v>
      </c>
      <c r="D280" t="str">
        <f t="shared" si="30"/>
        <v>KHALID FARAH</v>
      </c>
      <c r="E280" t="str">
        <f t="shared" si="31"/>
        <v>khalid farah</v>
      </c>
      <c r="F280" t="str">
        <f t="shared" si="32"/>
        <v>K</v>
      </c>
      <c r="G280" t="str">
        <f t="shared" si="33"/>
        <v>h</v>
      </c>
      <c r="H280" t="str">
        <f t="shared" si="34"/>
        <v>Khali</v>
      </c>
    </row>
    <row r="281" spans="1:8">
      <c r="A281" t="s">
        <v>981</v>
      </c>
      <c r="B281" t="str">
        <f t="shared" si="28"/>
        <v>Zahra Roble</v>
      </c>
      <c r="C281" t="str">
        <f t="shared" si="29"/>
        <v>Zahra Roble</v>
      </c>
      <c r="D281" t="str">
        <f t="shared" si="30"/>
        <v>ZAHRA ROBLE</v>
      </c>
      <c r="E281" t="str">
        <f t="shared" si="31"/>
        <v>zahra roble</v>
      </c>
      <c r="F281" t="str">
        <f t="shared" si="32"/>
        <v>Z</v>
      </c>
      <c r="G281" t="str">
        <f t="shared" si="33"/>
        <v>e</v>
      </c>
      <c r="H281" t="str">
        <f t="shared" si="34"/>
        <v>Zahra</v>
      </c>
    </row>
    <row r="282" spans="1:8">
      <c r="A282" t="s">
        <v>770</v>
      </c>
      <c r="B282" t="str">
        <f t="shared" si="28"/>
        <v>Sahra Warsame</v>
      </c>
      <c r="C282" t="str">
        <f t="shared" si="29"/>
        <v>Sahra Warsame</v>
      </c>
      <c r="D282" t="str">
        <f t="shared" si="30"/>
        <v>SAHRA WARSAME</v>
      </c>
      <c r="E282" t="str">
        <f t="shared" si="31"/>
        <v>sahra warsame</v>
      </c>
      <c r="F282" t="str">
        <f t="shared" si="32"/>
        <v>S</v>
      </c>
      <c r="G282" t="str">
        <f t="shared" si="33"/>
        <v>e</v>
      </c>
      <c r="H282" t="str">
        <f t="shared" si="34"/>
        <v>Sahra</v>
      </c>
    </row>
    <row r="283" spans="1:8">
      <c r="A283" t="s">
        <v>203</v>
      </c>
      <c r="B283" t="str">
        <f t="shared" si="28"/>
        <v>Nimo Jama</v>
      </c>
      <c r="C283" t="str">
        <f t="shared" si="29"/>
        <v>Nimo Jama</v>
      </c>
      <c r="D283" t="str">
        <f t="shared" si="30"/>
        <v>NIMO JAMA</v>
      </c>
      <c r="E283" t="str">
        <f t="shared" si="31"/>
        <v>nimo jama</v>
      </c>
      <c r="F283" t="str">
        <f t="shared" si="32"/>
        <v>N</v>
      </c>
      <c r="G283" t="str">
        <f t="shared" si="33"/>
        <v>a</v>
      </c>
      <c r="H283" t="str">
        <f t="shared" si="34"/>
        <v xml:space="preserve">Nimo </v>
      </c>
    </row>
    <row r="284" spans="1:8">
      <c r="A284" t="s">
        <v>1340</v>
      </c>
      <c r="B284" t="str">
        <f t="shared" si="28"/>
        <v>Zahra Isse</v>
      </c>
      <c r="C284" t="str">
        <f t="shared" si="29"/>
        <v>Zahra Isse</v>
      </c>
      <c r="D284" t="str">
        <f t="shared" si="30"/>
        <v>ZAHRA ISSE</v>
      </c>
      <c r="E284" t="str">
        <f t="shared" si="31"/>
        <v>zahra isse</v>
      </c>
      <c r="F284" t="str">
        <f t="shared" si="32"/>
        <v>Z</v>
      </c>
      <c r="G284" t="str">
        <f t="shared" si="33"/>
        <v>e</v>
      </c>
      <c r="H284" t="str">
        <f t="shared" si="34"/>
        <v>Zahra</v>
      </c>
    </row>
    <row r="285" spans="1:8">
      <c r="A285" t="s">
        <v>953</v>
      </c>
      <c r="B285" t="str">
        <f t="shared" si="28"/>
        <v>Sahra Sheikh</v>
      </c>
      <c r="C285" t="str">
        <f t="shared" si="29"/>
        <v>Sahra Sheikh</v>
      </c>
      <c r="D285" t="str">
        <f t="shared" si="30"/>
        <v>SAHRA SHEIKH</v>
      </c>
      <c r="E285" t="str">
        <f t="shared" si="31"/>
        <v>sahra sheikh</v>
      </c>
      <c r="F285" t="str">
        <f t="shared" si="32"/>
        <v>S</v>
      </c>
      <c r="G285" t="str">
        <f t="shared" si="33"/>
        <v>h</v>
      </c>
      <c r="H285" t="str">
        <f t="shared" si="34"/>
        <v>Sahra</v>
      </c>
    </row>
    <row r="286" spans="1:8">
      <c r="A286" t="s">
        <v>1349</v>
      </c>
      <c r="B286" t="str">
        <f t="shared" si="28"/>
        <v>Abdullahi Abdi</v>
      </c>
      <c r="C286" t="str">
        <f t="shared" si="29"/>
        <v>Abdullahi Abdi</v>
      </c>
      <c r="D286" t="str">
        <f t="shared" si="30"/>
        <v>ABDULLAHI ABDI</v>
      </c>
      <c r="E286" t="str">
        <f t="shared" si="31"/>
        <v>abdullahi abdi</v>
      </c>
      <c r="F286" t="str">
        <f t="shared" si="32"/>
        <v>A</v>
      </c>
      <c r="G286" t="str">
        <f t="shared" si="33"/>
        <v>i</v>
      </c>
      <c r="H286" t="str">
        <f t="shared" si="34"/>
        <v>Abdul</v>
      </c>
    </row>
    <row r="287" spans="1:8">
      <c r="A287" t="s">
        <v>1354</v>
      </c>
      <c r="B287" t="str">
        <f t="shared" si="28"/>
        <v>Mahad Isse</v>
      </c>
      <c r="C287" t="str">
        <f t="shared" si="29"/>
        <v>Mahad Isse</v>
      </c>
      <c r="D287" t="str">
        <f t="shared" si="30"/>
        <v>MAHAD ISSE</v>
      </c>
      <c r="E287" t="str">
        <f t="shared" si="31"/>
        <v>mahad isse</v>
      </c>
      <c r="F287" t="str">
        <f t="shared" si="32"/>
        <v>M</v>
      </c>
      <c r="G287" t="str">
        <f t="shared" si="33"/>
        <v>e</v>
      </c>
      <c r="H287" t="str">
        <f t="shared" si="34"/>
        <v>Mahad</v>
      </c>
    </row>
    <row r="288" spans="1:8">
      <c r="A288" t="s">
        <v>1359</v>
      </c>
      <c r="B288" t="str">
        <f t="shared" si="28"/>
        <v>Yusuf Osman</v>
      </c>
      <c r="C288" t="str">
        <f t="shared" si="29"/>
        <v>Yusuf Osman</v>
      </c>
      <c r="D288" t="str">
        <f t="shared" si="30"/>
        <v>YUSUF OSMAN</v>
      </c>
      <c r="E288" t="str">
        <f t="shared" si="31"/>
        <v>yusuf osman</v>
      </c>
      <c r="F288" t="str">
        <f t="shared" si="32"/>
        <v>Y</v>
      </c>
      <c r="G288" t="str">
        <f t="shared" si="33"/>
        <v>n</v>
      </c>
      <c r="H288" t="str">
        <f t="shared" si="34"/>
        <v>Yusuf</v>
      </c>
    </row>
    <row r="289" spans="1:8">
      <c r="A289" t="s">
        <v>1364</v>
      </c>
      <c r="B289" t="str">
        <f t="shared" si="28"/>
        <v>Sahra Nur</v>
      </c>
      <c r="C289" t="str">
        <f t="shared" si="29"/>
        <v>Sahra Nur</v>
      </c>
      <c r="D289" t="str">
        <f t="shared" si="30"/>
        <v>SAHRA NUR</v>
      </c>
      <c r="E289" t="str">
        <f t="shared" si="31"/>
        <v>sahra nur</v>
      </c>
      <c r="F289" t="str">
        <f t="shared" si="32"/>
        <v>S</v>
      </c>
      <c r="G289" t="str">
        <f t="shared" si="33"/>
        <v>r</v>
      </c>
      <c r="H289" t="str">
        <f t="shared" si="34"/>
        <v>Sahra</v>
      </c>
    </row>
    <row r="290" spans="1:8">
      <c r="A290" t="s">
        <v>1369</v>
      </c>
      <c r="B290" t="str">
        <f t="shared" si="28"/>
        <v>Ikram Muse</v>
      </c>
      <c r="C290" t="str">
        <f t="shared" si="29"/>
        <v>Ikram Muse</v>
      </c>
      <c r="D290" t="str">
        <f t="shared" si="30"/>
        <v>IKRAM MUSE</v>
      </c>
      <c r="E290" t="str">
        <f t="shared" si="31"/>
        <v>ikram muse</v>
      </c>
      <c r="F290" t="str">
        <f t="shared" si="32"/>
        <v>I</v>
      </c>
      <c r="G290" t="str">
        <f t="shared" si="33"/>
        <v>e</v>
      </c>
      <c r="H290" t="str">
        <f t="shared" si="34"/>
        <v>Ikram</v>
      </c>
    </row>
    <row r="291" spans="1:8">
      <c r="A291" t="s">
        <v>232</v>
      </c>
      <c r="B291" t="str">
        <f t="shared" si="28"/>
        <v>Abdi Warsame</v>
      </c>
      <c r="C291" t="str">
        <f t="shared" si="29"/>
        <v>Abdi Warsame</v>
      </c>
      <c r="D291" t="str">
        <f t="shared" si="30"/>
        <v>ABDI WARSAME</v>
      </c>
      <c r="E291" t="str">
        <f t="shared" si="31"/>
        <v>abdi warsame</v>
      </c>
      <c r="F291" t="str">
        <f t="shared" si="32"/>
        <v>A</v>
      </c>
      <c r="G291" t="str">
        <f t="shared" si="33"/>
        <v>e</v>
      </c>
      <c r="H291" t="str">
        <f t="shared" si="34"/>
        <v xml:space="preserve">Abdi </v>
      </c>
    </row>
    <row r="292" spans="1:8">
      <c r="A292" t="s">
        <v>981</v>
      </c>
      <c r="B292" t="str">
        <f t="shared" si="28"/>
        <v>Zahra Roble</v>
      </c>
      <c r="C292" t="str">
        <f t="shared" si="29"/>
        <v>Zahra Roble</v>
      </c>
      <c r="D292" t="str">
        <f t="shared" si="30"/>
        <v>ZAHRA ROBLE</v>
      </c>
      <c r="E292" t="str">
        <f t="shared" si="31"/>
        <v>zahra roble</v>
      </c>
      <c r="F292" t="str">
        <f t="shared" si="32"/>
        <v>Z</v>
      </c>
      <c r="G292" t="str">
        <f t="shared" si="33"/>
        <v>e</v>
      </c>
      <c r="H292" t="str">
        <f t="shared" si="34"/>
        <v>Zahra</v>
      </c>
    </row>
    <row r="293" spans="1:8">
      <c r="A293" t="s">
        <v>698</v>
      </c>
      <c r="B293" t="str">
        <f t="shared" si="28"/>
        <v>Zahra Farah</v>
      </c>
      <c r="C293" t="str">
        <f t="shared" si="29"/>
        <v>Zahra Farah</v>
      </c>
      <c r="D293" t="str">
        <f t="shared" si="30"/>
        <v>ZAHRA FARAH</v>
      </c>
      <c r="E293" t="str">
        <f t="shared" si="31"/>
        <v>zahra farah</v>
      </c>
      <c r="F293" t="str">
        <f t="shared" si="32"/>
        <v>Z</v>
      </c>
      <c r="G293" t="str">
        <f t="shared" si="33"/>
        <v>h</v>
      </c>
      <c r="H293" t="str">
        <f t="shared" si="34"/>
        <v>Zahra</v>
      </c>
    </row>
    <row r="294" spans="1:8">
      <c r="A294" t="s">
        <v>1386</v>
      </c>
      <c r="B294" t="str">
        <f t="shared" si="28"/>
        <v>Abdullahi Roble</v>
      </c>
      <c r="C294" t="str">
        <f t="shared" si="29"/>
        <v>Abdullahi Roble</v>
      </c>
      <c r="D294" t="str">
        <f t="shared" si="30"/>
        <v>ABDULLAHI ROBLE</v>
      </c>
      <c r="E294" t="str">
        <f t="shared" si="31"/>
        <v>abdullahi roble</v>
      </c>
      <c r="F294" t="str">
        <f t="shared" si="32"/>
        <v>A</v>
      </c>
      <c r="G294" t="str">
        <f t="shared" si="33"/>
        <v>e</v>
      </c>
      <c r="H294" t="str">
        <f t="shared" si="34"/>
        <v>Abdul</v>
      </c>
    </row>
    <row r="295" spans="1:8">
      <c r="A295" t="s">
        <v>1391</v>
      </c>
      <c r="B295" t="str">
        <f t="shared" si="28"/>
        <v>Nimo Aden</v>
      </c>
      <c r="C295" t="str">
        <f t="shared" si="29"/>
        <v>Nimo Aden</v>
      </c>
      <c r="D295" t="str">
        <f t="shared" si="30"/>
        <v>NIMO ADEN</v>
      </c>
      <c r="E295" t="str">
        <f t="shared" si="31"/>
        <v>nimo aden</v>
      </c>
      <c r="F295" t="str">
        <f t="shared" si="32"/>
        <v>N</v>
      </c>
      <c r="G295" t="str">
        <f t="shared" si="33"/>
        <v>n</v>
      </c>
      <c r="H295" t="str">
        <f t="shared" si="34"/>
        <v xml:space="preserve">Nimo </v>
      </c>
    </row>
    <row r="296" spans="1:8">
      <c r="A296" t="s">
        <v>262</v>
      </c>
      <c r="B296" t="str">
        <f t="shared" si="28"/>
        <v>Amina Dahir</v>
      </c>
      <c r="C296" t="str">
        <f t="shared" si="29"/>
        <v>Amina Dahir</v>
      </c>
      <c r="D296" t="str">
        <f t="shared" si="30"/>
        <v>AMINA DAHIR</v>
      </c>
      <c r="E296" t="str">
        <f t="shared" si="31"/>
        <v>amina dahir</v>
      </c>
      <c r="F296" t="str">
        <f t="shared" si="32"/>
        <v>A</v>
      </c>
      <c r="G296" t="str">
        <f t="shared" si="33"/>
        <v>r</v>
      </c>
      <c r="H296" t="str">
        <f t="shared" si="34"/>
        <v>Amina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Raw_Student_Data (2)</vt:lpstr>
      <vt:lpstr>Cleaned_Data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2026-08-10T10:26:04Z</dcterms:modified>
</cp:coreProperties>
</file>